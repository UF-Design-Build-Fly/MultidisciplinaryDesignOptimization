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ethan\Documents\GitHub\DBF\Sensitivity-Analysis\"/>
    </mc:Choice>
  </mc:AlternateContent>
  <xr:revisionPtr revIDLastSave="0" documentId="13_ncr:1_{6A59660D-5FA4-46F4-B567-770098C0A182}" xr6:coauthVersionLast="47" xr6:coauthVersionMax="47" xr10:uidLastSave="{00000000-0000-0000-0000-000000000000}"/>
  <bookViews>
    <workbookView xWindow="-108" yWindow="-108" windowWidth="23256" windowHeight="12576" xr2:uid="{95D824CD-B06E-4D43-B8AB-93B002BC7FC6}"/>
  </bookViews>
  <sheets>
    <sheet name="Full Motor List" sheetId="3" r:id="rId1"/>
    <sheet name="Batt Capacity and Sys Weight" sheetId="26" r:id="rId2"/>
    <sheet name="Sorted Motor List 2021-2022" sheetId="28" r:id="rId3"/>
    <sheet name="Sheet1" sheetId="29" r:id="rId4"/>
    <sheet name="Tempest Motor Data" sheetId="1" r:id="rId5"/>
    <sheet name="In the works" sheetId="2" r:id="rId6"/>
  </sheets>
  <functionGroups builtInGroupCount="19"/>
  <definedNames>
    <definedName name="_xlnm._FilterDatabase" localSheetId="0" hidden="1">'Full Motor List'!$A$1:$P$1502</definedName>
    <definedName name="_xlnm._FilterDatabase" localSheetId="2" hidden="1">'Sorted Motor List 2021-2022'!$A$1:$M$676</definedName>
    <definedName name="_xlnm._FilterDatabase" localSheetId="4" hidden="1">'Tempest Motor Data'!$D$1:$D$1030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3"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2" i="3"/>
  <c r="K3" i="3"/>
  <c r="K4" i="3"/>
  <c r="K5" i="3"/>
  <c r="K6" i="3"/>
  <c r="K7" i="3"/>
  <c r="K8" i="3"/>
  <c r="K9" i="3"/>
  <c r="K10" i="3"/>
  <c r="K11" i="3"/>
  <c r="K12" i="3"/>
  <c r="K13" i="3"/>
  <c r="K14" i="3"/>
  <c r="K15" i="3"/>
  <c r="K16" i="3"/>
  <c r="K17" i="3"/>
  <c r="K18" i="3"/>
  <c r="P18" i="3" s="1"/>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P194" i="3" s="1"/>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P306" i="3" s="1"/>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P410" i="3" s="1"/>
  <c r="K411" i="3"/>
  <c r="K412" i="3"/>
  <c r="K413" i="3"/>
  <c r="K414" i="3"/>
  <c r="K415" i="3"/>
  <c r="K416" i="3"/>
  <c r="K417" i="3"/>
  <c r="K418" i="3"/>
  <c r="P418" i="3" s="1"/>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P514" i="3" s="1"/>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P658" i="3" s="1"/>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P834" i="3" s="1"/>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P898" i="3" s="1"/>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P1210" i="3" s="1"/>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P1322" i="3" s="1"/>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2" i="3"/>
  <c r="R1126" i="3"/>
  <c r="R1125" i="3"/>
  <c r="R1124" i="3"/>
  <c r="R1123" i="3"/>
  <c r="R1122" i="3"/>
  <c r="R1121" i="3"/>
  <c r="R1120" i="3"/>
  <c r="R1099" i="3"/>
  <c r="R1098" i="3"/>
  <c r="R1097" i="3"/>
  <c r="R1096" i="3"/>
  <c r="R1095" i="3"/>
  <c r="R1094" i="3"/>
  <c r="R1093" i="3"/>
  <c r="R1092" i="3"/>
  <c r="R1091" i="3"/>
  <c r="R1090" i="3"/>
  <c r="R1089" i="3"/>
  <c r="R1088" i="3"/>
  <c r="R1087" i="3"/>
  <c r="R1086" i="3"/>
  <c r="R1085" i="3"/>
  <c r="R1084" i="3"/>
  <c r="R1083" i="3"/>
  <c r="R1082" i="3"/>
  <c r="R1081" i="3"/>
  <c r="R936" i="3"/>
  <c r="R935" i="3"/>
  <c r="R934" i="3"/>
  <c r="R933" i="3"/>
  <c r="R932" i="3"/>
  <c r="R931" i="3"/>
  <c r="R930" i="3"/>
  <c r="R929" i="3"/>
  <c r="R928" i="3"/>
  <c r="R927" i="3"/>
  <c r="R926" i="3"/>
  <c r="R925" i="3"/>
  <c r="R924" i="3"/>
  <c r="R923" i="3"/>
  <c r="R922" i="3"/>
  <c r="R861" i="3"/>
  <c r="R860" i="3"/>
  <c r="R859" i="3"/>
  <c r="R858" i="3"/>
  <c r="R857" i="3"/>
  <c r="R856" i="3"/>
  <c r="R855" i="3"/>
  <c r="R854" i="3"/>
  <c r="R853" i="3"/>
  <c r="R852" i="3"/>
  <c r="R851" i="3"/>
  <c r="R850" i="3"/>
  <c r="R849" i="3"/>
  <c r="R848" i="3"/>
  <c r="R847" i="3"/>
  <c r="R810" i="3"/>
  <c r="R809" i="3"/>
  <c r="R808" i="3"/>
  <c r="R807" i="3"/>
  <c r="R806" i="3"/>
  <c r="R805" i="3"/>
  <c r="R804" i="3"/>
  <c r="R803" i="3"/>
  <c r="R802" i="3"/>
  <c r="R801" i="3"/>
  <c r="R800" i="3"/>
  <c r="R799" i="3"/>
  <c r="R798" i="3"/>
  <c r="R797" i="3"/>
  <c r="R796" i="3"/>
  <c r="R795" i="3"/>
  <c r="R794" i="3"/>
  <c r="R793" i="3"/>
  <c r="R792" i="3"/>
  <c r="R791" i="3"/>
  <c r="R790" i="3"/>
  <c r="R789" i="3"/>
  <c r="R788" i="3"/>
  <c r="R787" i="3"/>
  <c r="R786" i="3"/>
  <c r="R785" i="3"/>
  <c r="R784" i="3"/>
  <c r="R783" i="3"/>
  <c r="R782" i="3"/>
  <c r="R781" i="3"/>
  <c r="R780" i="3"/>
  <c r="R779" i="3"/>
  <c r="R778" i="3"/>
  <c r="R674" i="3"/>
  <c r="R673" i="3"/>
  <c r="R672" i="3"/>
  <c r="R671" i="3"/>
  <c r="R670" i="3"/>
  <c r="R669" i="3"/>
  <c r="R613" i="3"/>
  <c r="R612" i="3"/>
  <c r="R611" i="3"/>
  <c r="R610" i="3"/>
  <c r="R609" i="3"/>
  <c r="R608" i="3"/>
  <c r="R607" i="3"/>
  <c r="R606" i="3"/>
  <c r="R605" i="3"/>
  <c r="R604" i="3"/>
  <c r="R603" i="3"/>
  <c r="R541" i="3"/>
  <c r="R540" i="3"/>
  <c r="R539" i="3"/>
  <c r="R538" i="3"/>
  <c r="R537" i="3"/>
  <c r="R536" i="3"/>
  <c r="R535" i="3"/>
  <c r="R534" i="3"/>
  <c r="R533" i="3"/>
  <c r="R532" i="3"/>
  <c r="R531" i="3"/>
  <c r="R530" i="3"/>
  <c r="R529" i="3"/>
  <c r="R528" i="3"/>
  <c r="R527" i="3"/>
  <c r="R526" i="3"/>
  <c r="R433" i="3"/>
  <c r="R432" i="3"/>
  <c r="R431" i="3"/>
  <c r="R430" i="3"/>
  <c r="R429" i="3"/>
  <c r="R428" i="3"/>
  <c r="R427" i="3"/>
  <c r="R426" i="3"/>
  <c r="R425" i="3"/>
  <c r="R424" i="3"/>
  <c r="R423" i="3"/>
  <c r="R422" i="3"/>
  <c r="R421" i="3"/>
  <c r="R420" i="3"/>
  <c r="R419" i="3"/>
  <c r="R418" i="3"/>
  <c r="R417" i="3"/>
  <c r="R416" i="3"/>
  <c r="R415" i="3"/>
  <c r="R414" i="3"/>
  <c r="R413" i="3"/>
  <c r="R412" i="3"/>
  <c r="R411" i="3"/>
  <c r="R410" i="3"/>
  <c r="R409" i="3"/>
  <c r="R408" i="3"/>
  <c r="R407" i="3"/>
  <c r="R406" i="3"/>
  <c r="R394" i="3"/>
  <c r="R393" i="3"/>
  <c r="R392" i="3"/>
  <c r="R391" i="3"/>
  <c r="R390" i="3"/>
  <c r="R389" i="3"/>
  <c r="R388" i="3"/>
  <c r="R387" i="3"/>
  <c r="R386" i="3"/>
  <c r="R385" i="3"/>
  <c r="R384" i="3"/>
  <c r="R383" i="3"/>
  <c r="R382" i="3"/>
  <c r="R381" i="3"/>
  <c r="R380" i="3"/>
  <c r="R379" i="3"/>
  <c r="R378" i="3"/>
  <c r="R377" i="3"/>
  <c r="R376" i="3"/>
  <c r="R375" i="3"/>
  <c r="R374" i="3"/>
  <c r="R373" i="3"/>
  <c r="R372" i="3"/>
  <c r="R371" i="3"/>
  <c r="R370" i="3"/>
  <c r="R364" i="3"/>
  <c r="R363" i="3"/>
  <c r="R362" i="3"/>
  <c r="R361" i="3"/>
  <c r="R360" i="3"/>
  <c r="R359" i="3"/>
  <c r="R358" i="3"/>
  <c r="R357" i="3"/>
  <c r="R356" i="3"/>
  <c r="R355" i="3"/>
  <c r="R354" i="3"/>
  <c r="R353" i="3"/>
  <c r="R352" i="3"/>
  <c r="R351" i="3"/>
  <c r="R350" i="3"/>
  <c r="R349" i="3"/>
  <c r="R348" i="3"/>
  <c r="R347" i="3"/>
  <c r="R346" i="3"/>
  <c r="R345" i="3"/>
  <c r="R344" i="3"/>
  <c r="R343" i="3"/>
  <c r="R225" i="3"/>
  <c r="R224" i="3"/>
  <c r="R223" i="3"/>
  <c r="R222" i="3"/>
  <c r="R221" i="3"/>
  <c r="R220" i="3"/>
  <c r="R219" i="3"/>
  <c r="R218" i="3"/>
  <c r="R217" i="3"/>
  <c r="R216" i="3"/>
  <c r="R215" i="3"/>
  <c r="R214" i="3"/>
  <c r="R213" i="3"/>
  <c r="R212" i="3"/>
  <c r="R211" i="3"/>
  <c r="R210" i="3"/>
  <c r="R209" i="3"/>
  <c r="R208" i="3"/>
  <c r="R207" i="3"/>
  <c r="R206" i="3"/>
  <c r="R205" i="3"/>
  <c r="R204" i="3"/>
  <c r="R203" i="3"/>
  <c r="R202" i="3"/>
  <c r="R201" i="3"/>
  <c r="R200" i="3"/>
  <c r="R199" i="3"/>
  <c r="R198" i="3"/>
  <c r="R197" i="3"/>
  <c r="R196" i="3"/>
  <c r="R195" i="3"/>
  <c r="R194" i="3"/>
  <c r="R193" i="3"/>
  <c r="R192" i="3"/>
  <c r="R191" i="3"/>
  <c r="R190" i="3"/>
  <c r="R189" i="3"/>
  <c r="R181" i="3"/>
  <c r="R180" i="3"/>
  <c r="R179" i="3"/>
  <c r="R178" i="3"/>
  <c r="R177" i="3"/>
  <c r="R176" i="3"/>
  <c r="R175" i="3"/>
  <c r="R174" i="3"/>
  <c r="R173" i="3"/>
  <c r="R172" i="3"/>
  <c r="R171" i="3"/>
  <c r="R170" i="3"/>
  <c r="R169" i="3"/>
  <c r="R168" i="3"/>
  <c r="R167" i="3"/>
  <c r="R166" i="3"/>
  <c r="R165" i="3"/>
  <c r="R164" i="3"/>
  <c r="R163" i="3"/>
  <c r="R162" i="3"/>
  <c r="R18" i="3"/>
  <c r="R17" i="3"/>
  <c r="R16" i="3"/>
  <c r="R15" i="3"/>
  <c r="R14" i="3"/>
  <c r="R1502" i="3"/>
  <c r="R1501" i="3"/>
  <c r="R1500" i="3"/>
  <c r="R1499" i="3"/>
  <c r="R1498" i="3"/>
  <c r="R1462" i="3"/>
  <c r="R1461" i="3"/>
  <c r="R1460" i="3"/>
  <c r="R1459" i="3"/>
  <c r="R1411" i="3"/>
  <c r="R1410" i="3"/>
  <c r="R1409" i="3"/>
  <c r="R1351" i="3"/>
  <c r="R1350" i="3"/>
  <c r="R1349" i="3"/>
  <c r="R1325" i="3"/>
  <c r="R1324" i="3"/>
  <c r="R1323" i="3"/>
  <c r="R1322" i="3"/>
  <c r="R1321" i="3"/>
  <c r="R1320" i="3"/>
  <c r="R1319" i="3"/>
  <c r="R1234" i="3"/>
  <c r="R1211" i="3"/>
  <c r="R1210" i="3"/>
  <c r="R1209" i="3"/>
  <c r="R1208" i="3"/>
  <c r="R1207" i="3"/>
  <c r="R1206" i="3"/>
  <c r="R1205" i="3"/>
  <c r="R1179" i="3"/>
  <c r="R1178" i="3"/>
  <c r="R1177" i="3"/>
  <c r="R1176" i="3"/>
  <c r="R1175" i="3"/>
  <c r="R1174" i="3"/>
  <c r="R1173" i="3"/>
  <c r="R1172" i="3"/>
  <c r="R1171" i="3"/>
  <c r="R1046" i="3"/>
  <c r="R1045" i="3"/>
  <c r="R1044" i="3"/>
  <c r="R1043" i="3"/>
  <c r="R1042" i="3"/>
  <c r="R1041" i="3"/>
  <c r="R1040" i="3"/>
  <c r="R1039" i="3"/>
  <c r="R1038" i="3"/>
  <c r="R1037" i="3"/>
  <c r="R1036" i="3"/>
  <c r="R1035" i="3"/>
  <c r="R1034" i="3"/>
  <c r="R989" i="3"/>
  <c r="R988" i="3"/>
  <c r="R987" i="3"/>
  <c r="R986" i="3"/>
  <c r="R985" i="3"/>
  <c r="R984" i="3"/>
  <c r="R983" i="3"/>
  <c r="R982" i="3"/>
  <c r="R981" i="3"/>
  <c r="R980" i="3"/>
  <c r="R979" i="3"/>
  <c r="R978" i="3"/>
  <c r="R977" i="3"/>
  <c r="R976" i="3"/>
  <c r="R921" i="3"/>
  <c r="R920" i="3"/>
  <c r="R919" i="3"/>
  <c r="R918" i="3"/>
  <c r="R917" i="3"/>
  <c r="R916" i="3"/>
  <c r="R915" i="3"/>
  <c r="R914" i="3"/>
  <c r="R913" i="3"/>
  <c r="R912" i="3"/>
  <c r="R911" i="3"/>
  <c r="R910" i="3"/>
  <c r="R909" i="3"/>
  <c r="R908" i="3"/>
  <c r="R907" i="3"/>
  <c r="R906" i="3"/>
  <c r="R905" i="3"/>
  <c r="R904" i="3"/>
  <c r="R903" i="3"/>
  <c r="R902" i="3"/>
  <c r="R846" i="3"/>
  <c r="R845" i="3"/>
  <c r="R844" i="3"/>
  <c r="R843" i="3"/>
  <c r="R842" i="3"/>
  <c r="R841" i="3"/>
  <c r="R840" i="3"/>
  <c r="R839" i="3"/>
  <c r="R838" i="3"/>
  <c r="R837" i="3"/>
  <c r="R836" i="3"/>
  <c r="R835" i="3"/>
  <c r="R834" i="3"/>
  <c r="R833" i="3"/>
  <c r="R832" i="3"/>
  <c r="R831" i="3"/>
  <c r="R830" i="3"/>
  <c r="R829" i="3"/>
  <c r="R828" i="3"/>
  <c r="R777" i="3"/>
  <c r="R776" i="3"/>
  <c r="R775" i="3"/>
  <c r="R774" i="3"/>
  <c r="R773" i="3"/>
  <c r="R772" i="3"/>
  <c r="R771" i="3"/>
  <c r="R770" i="3"/>
  <c r="R769" i="3"/>
  <c r="R768" i="3"/>
  <c r="R767" i="3"/>
  <c r="R766" i="3"/>
  <c r="R765" i="3"/>
  <c r="R764" i="3"/>
  <c r="R763" i="3"/>
  <c r="R762" i="3"/>
  <c r="R761" i="3"/>
  <c r="R760" i="3"/>
  <c r="R759" i="3"/>
  <c r="R758" i="3"/>
  <c r="R757" i="3"/>
  <c r="R756" i="3"/>
  <c r="R755" i="3"/>
  <c r="R754" i="3"/>
  <c r="R719" i="3"/>
  <c r="R718" i="3"/>
  <c r="R717" i="3"/>
  <c r="R716" i="3"/>
  <c r="R715" i="3"/>
  <c r="R714" i="3"/>
  <c r="R713" i="3"/>
  <c r="R712" i="3"/>
  <c r="R711" i="3"/>
  <c r="R710" i="3"/>
  <c r="R709" i="3"/>
  <c r="R708" i="3"/>
  <c r="R707" i="3"/>
  <c r="R706" i="3"/>
  <c r="R668" i="3"/>
  <c r="R667" i="3"/>
  <c r="R666" i="3"/>
  <c r="R665" i="3"/>
  <c r="R664" i="3"/>
  <c r="R663" i="3"/>
  <c r="R662" i="3"/>
  <c r="R661" i="3"/>
  <c r="R660" i="3"/>
  <c r="R659" i="3"/>
  <c r="R658" i="3"/>
  <c r="R657" i="3"/>
  <c r="R656" i="3"/>
  <c r="R655" i="3"/>
  <c r="R654" i="3"/>
  <c r="R653" i="3"/>
  <c r="R602" i="3"/>
  <c r="R601" i="3"/>
  <c r="R600" i="3"/>
  <c r="R599" i="3"/>
  <c r="R598" i="3"/>
  <c r="R597" i="3"/>
  <c r="R596" i="3"/>
  <c r="R595" i="3"/>
  <c r="R594" i="3"/>
  <c r="R593" i="3"/>
  <c r="R592" i="3"/>
  <c r="R591" i="3"/>
  <c r="R590" i="3"/>
  <c r="R589" i="3"/>
  <c r="R588" i="3"/>
  <c r="R587" i="3"/>
  <c r="R586" i="3"/>
  <c r="R525" i="3"/>
  <c r="R524" i="3"/>
  <c r="R523" i="3"/>
  <c r="R522" i="3"/>
  <c r="R521" i="3"/>
  <c r="R520" i="3"/>
  <c r="R519" i="3"/>
  <c r="R518" i="3"/>
  <c r="R517" i="3"/>
  <c r="R516" i="3"/>
  <c r="R515" i="3"/>
  <c r="R514" i="3"/>
  <c r="R513" i="3"/>
  <c r="R512" i="3"/>
  <c r="R511" i="3"/>
  <c r="R342" i="3"/>
  <c r="R341" i="3"/>
  <c r="R340" i="3"/>
  <c r="R339" i="3"/>
  <c r="R338" i="3"/>
  <c r="R337" i="3"/>
  <c r="R336" i="3"/>
  <c r="R335" i="3"/>
  <c r="R334" i="3"/>
  <c r="R333" i="3"/>
  <c r="R332" i="3"/>
  <c r="R331" i="3"/>
  <c r="R330" i="3"/>
  <c r="R329" i="3"/>
  <c r="R303" i="3"/>
  <c r="R302" i="3"/>
  <c r="R301" i="3"/>
  <c r="R274" i="3"/>
  <c r="R273" i="3"/>
  <c r="R272" i="3"/>
  <c r="R271" i="3"/>
  <c r="R188" i="3"/>
  <c r="R187" i="3"/>
  <c r="R186" i="3"/>
  <c r="R185" i="3"/>
  <c r="R184" i="3"/>
  <c r="R183" i="3"/>
  <c r="R182" i="3"/>
  <c r="R161" i="3"/>
  <c r="R160" i="3"/>
  <c r="R159" i="3"/>
  <c r="R158" i="3"/>
  <c r="R157" i="3"/>
  <c r="R156" i="3"/>
  <c r="R155" i="3"/>
  <c r="R154" i="3"/>
  <c r="R153" i="3"/>
  <c r="R152" i="3"/>
  <c r="R151" i="3"/>
  <c r="R150" i="3"/>
  <c r="R149" i="3"/>
  <c r="R148" i="3"/>
  <c r="R147" i="3"/>
  <c r="R146" i="3"/>
  <c r="R145" i="3"/>
  <c r="R144" i="3"/>
  <c r="R143" i="3"/>
  <c r="R142" i="3"/>
  <c r="R141" i="3"/>
  <c r="R117" i="3"/>
  <c r="R116" i="3"/>
  <c r="R115" i="3"/>
  <c r="R114" i="3"/>
  <c r="R113" i="3"/>
  <c r="R112" i="3"/>
  <c r="R111" i="3"/>
  <c r="R110" i="3"/>
  <c r="R85" i="3"/>
  <c r="R84" i="3"/>
  <c r="R83" i="3"/>
  <c r="R55" i="3"/>
  <c r="R54" i="3"/>
  <c r="R1497" i="3"/>
  <c r="R1496" i="3"/>
  <c r="R1495" i="3"/>
  <c r="R1494" i="3"/>
  <c r="R1493" i="3"/>
  <c r="R1458" i="3"/>
  <c r="R1457" i="3"/>
  <c r="R1456" i="3"/>
  <c r="R1455" i="3"/>
  <c r="R1454" i="3"/>
  <c r="R1453" i="3"/>
  <c r="R1408" i="3"/>
  <c r="R1407" i="3"/>
  <c r="R1406" i="3"/>
  <c r="R1405" i="3"/>
  <c r="R1404" i="3"/>
  <c r="R1403" i="3"/>
  <c r="R1402" i="3"/>
  <c r="R1401" i="3"/>
  <c r="R1400" i="3"/>
  <c r="R1348" i="3"/>
  <c r="R1347" i="3"/>
  <c r="R1346" i="3"/>
  <c r="R1345" i="3"/>
  <c r="R1344" i="3"/>
  <c r="R1343" i="3"/>
  <c r="R1318" i="3"/>
  <c r="R1317" i="3"/>
  <c r="R1316" i="3"/>
  <c r="R1315" i="3"/>
  <c r="R1314" i="3"/>
  <c r="R1285" i="3"/>
  <c r="R1284" i="3"/>
  <c r="R1283" i="3"/>
  <c r="R1282" i="3"/>
  <c r="R1281" i="3"/>
  <c r="R1280" i="3"/>
  <c r="R1250" i="3"/>
  <c r="R1233" i="3"/>
  <c r="R1232" i="3"/>
  <c r="R1231" i="3"/>
  <c r="R1230" i="3"/>
  <c r="R1229" i="3"/>
  <c r="R1228" i="3"/>
  <c r="R1227" i="3"/>
  <c r="R1204" i="3"/>
  <c r="R1203" i="3"/>
  <c r="R1202" i="3"/>
  <c r="R1201" i="3"/>
  <c r="R1200" i="3"/>
  <c r="R1199" i="3"/>
  <c r="R1198" i="3"/>
  <c r="R1197" i="3"/>
  <c r="R1196" i="3"/>
  <c r="R1170" i="3"/>
  <c r="R1169" i="3"/>
  <c r="R1168" i="3"/>
  <c r="R1167" i="3"/>
  <c r="R1166" i="3"/>
  <c r="R1165" i="3"/>
  <c r="R1033" i="3"/>
  <c r="R1032" i="3"/>
  <c r="R1031" i="3"/>
  <c r="R1030" i="3"/>
  <c r="R1029" i="3"/>
  <c r="R1028" i="3"/>
  <c r="R1027" i="3"/>
  <c r="R1026" i="3"/>
  <c r="R1025" i="3"/>
  <c r="R1024" i="3"/>
  <c r="R1023" i="3"/>
  <c r="R1022" i="3"/>
  <c r="R1021" i="3"/>
  <c r="R1020" i="3"/>
  <c r="R1019" i="3"/>
  <c r="R1018" i="3"/>
  <c r="R1017" i="3"/>
  <c r="R1016" i="3"/>
  <c r="R1015" i="3"/>
  <c r="R975" i="3"/>
  <c r="R974" i="3"/>
  <c r="R973" i="3"/>
  <c r="R972" i="3"/>
  <c r="R971" i="3"/>
  <c r="R970" i="3"/>
  <c r="R969" i="3"/>
  <c r="R968" i="3"/>
  <c r="R967" i="3"/>
  <c r="R966" i="3"/>
  <c r="R965" i="3"/>
  <c r="R964" i="3"/>
  <c r="R963" i="3"/>
  <c r="R962" i="3"/>
  <c r="R961" i="3"/>
  <c r="R960" i="3"/>
  <c r="R959" i="3"/>
  <c r="R958" i="3"/>
  <c r="R957" i="3"/>
  <c r="R956" i="3"/>
  <c r="R901" i="3"/>
  <c r="R900" i="3"/>
  <c r="R899" i="3"/>
  <c r="R898" i="3"/>
  <c r="R897" i="3"/>
  <c r="R896" i="3"/>
  <c r="R895" i="3"/>
  <c r="R894" i="3"/>
  <c r="R893" i="3"/>
  <c r="R892" i="3"/>
  <c r="R891" i="3"/>
  <c r="R890" i="3"/>
  <c r="R889" i="3"/>
  <c r="R888" i="3"/>
  <c r="R887" i="3"/>
  <c r="R886" i="3"/>
  <c r="R885" i="3"/>
  <c r="R884" i="3"/>
  <c r="R883" i="3"/>
  <c r="R882" i="3"/>
  <c r="R827" i="3"/>
  <c r="R826" i="3"/>
  <c r="R825" i="3"/>
  <c r="R824" i="3"/>
  <c r="R823" i="3"/>
  <c r="R822" i="3"/>
  <c r="R821" i="3"/>
  <c r="R820" i="3"/>
  <c r="R819" i="3"/>
  <c r="R818" i="3"/>
  <c r="R817" i="3"/>
  <c r="R816" i="3"/>
  <c r="R815" i="3"/>
  <c r="R814" i="3"/>
  <c r="R813" i="3"/>
  <c r="R812" i="3"/>
  <c r="R811" i="3"/>
  <c r="R753" i="3"/>
  <c r="R752" i="3"/>
  <c r="R751" i="3"/>
  <c r="R750" i="3"/>
  <c r="R749" i="3"/>
  <c r="R748" i="3"/>
  <c r="R747" i="3"/>
  <c r="R746" i="3"/>
  <c r="R745" i="3"/>
  <c r="R744" i="3"/>
  <c r="R743" i="3"/>
  <c r="R742" i="3"/>
  <c r="R741" i="3"/>
  <c r="R740" i="3"/>
  <c r="R705" i="3"/>
  <c r="R704" i="3"/>
  <c r="R703" i="3"/>
  <c r="R702" i="3"/>
  <c r="R701" i="3"/>
  <c r="R700" i="3"/>
  <c r="R699" i="3"/>
  <c r="R698" i="3"/>
  <c r="R697" i="3"/>
  <c r="R696" i="3"/>
  <c r="R695" i="3"/>
  <c r="R694" i="3"/>
  <c r="R693" i="3"/>
  <c r="R692" i="3"/>
  <c r="R691" i="3"/>
  <c r="R690" i="3"/>
  <c r="R689" i="3"/>
  <c r="R652" i="3"/>
  <c r="R651" i="3"/>
  <c r="R650" i="3"/>
  <c r="R649" i="3"/>
  <c r="R648" i="3"/>
  <c r="R647" i="3"/>
  <c r="R646" i="3"/>
  <c r="R645" i="3"/>
  <c r="R644" i="3"/>
  <c r="R643" i="3"/>
  <c r="R642" i="3"/>
  <c r="R641" i="3"/>
  <c r="R640" i="3"/>
  <c r="R639" i="3"/>
  <c r="R638" i="3"/>
  <c r="R637" i="3"/>
  <c r="R636" i="3"/>
  <c r="R585" i="3"/>
  <c r="R584" i="3"/>
  <c r="R583" i="3"/>
  <c r="R582" i="3"/>
  <c r="R581" i="3"/>
  <c r="R580" i="3"/>
  <c r="R579" i="3"/>
  <c r="R578" i="3"/>
  <c r="R577" i="3"/>
  <c r="R576" i="3"/>
  <c r="R575" i="3"/>
  <c r="R574" i="3"/>
  <c r="R573" i="3"/>
  <c r="R572" i="3"/>
  <c r="R571" i="3"/>
  <c r="R570" i="3"/>
  <c r="R569" i="3"/>
  <c r="R568" i="3"/>
  <c r="R567" i="3"/>
  <c r="R566" i="3"/>
  <c r="R565" i="3"/>
  <c r="R510" i="3"/>
  <c r="R509" i="3"/>
  <c r="R508" i="3"/>
  <c r="R507" i="3"/>
  <c r="R506" i="3"/>
  <c r="R505" i="3"/>
  <c r="R504" i="3"/>
  <c r="R503" i="3"/>
  <c r="R502" i="3"/>
  <c r="R501" i="3"/>
  <c r="R500" i="3"/>
  <c r="R499" i="3"/>
  <c r="R498" i="3"/>
  <c r="R497" i="3"/>
  <c r="R496" i="3"/>
  <c r="R495" i="3"/>
  <c r="R494" i="3"/>
  <c r="R493" i="3"/>
  <c r="R492" i="3"/>
  <c r="R491" i="3"/>
  <c r="R473" i="3"/>
  <c r="R472" i="3"/>
  <c r="R328" i="3"/>
  <c r="R327" i="3"/>
  <c r="R326" i="3"/>
  <c r="R325" i="3"/>
  <c r="R324" i="3"/>
  <c r="R323" i="3"/>
  <c r="R322" i="3"/>
  <c r="R321" i="3"/>
  <c r="R320" i="3"/>
  <c r="R319" i="3"/>
  <c r="R318" i="3"/>
  <c r="R317" i="3"/>
  <c r="R316" i="3"/>
  <c r="R315" i="3"/>
  <c r="R300" i="3"/>
  <c r="R299" i="3"/>
  <c r="R298" i="3"/>
  <c r="R297" i="3"/>
  <c r="R270" i="3"/>
  <c r="R269" i="3"/>
  <c r="R268" i="3"/>
  <c r="R251" i="3"/>
  <c r="R250" i="3"/>
  <c r="R236" i="3"/>
  <c r="R235" i="3"/>
  <c r="R234" i="3"/>
  <c r="R140" i="3"/>
  <c r="R139" i="3"/>
  <c r="R138" i="3"/>
  <c r="R137" i="3"/>
  <c r="R136" i="3"/>
  <c r="R135" i="3"/>
  <c r="R134" i="3"/>
  <c r="R133" i="3"/>
  <c r="R132" i="3"/>
  <c r="R109" i="3"/>
  <c r="R108" i="3"/>
  <c r="R107" i="3"/>
  <c r="R106" i="3"/>
  <c r="R105" i="3"/>
  <c r="R104" i="3"/>
  <c r="R103" i="3"/>
  <c r="R102" i="3"/>
  <c r="R101" i="3"/>
  <c r="R100" i="3"/>
  <c r="R99" i="3"/>
  <c r="R82" i="3"/>
  <c r="R81" i="3"/>
  <c r="R80" i="3"/>
  <c r="R79" i="3"/>
  <c r="R78" i="3"/>
  <c r="R77" i="3"/>
  <c r="R76" i="3"/>
  <c r="R75" i="3"/>
  <c r="R53" i="3"/>
  <c r="R52" i="3"/>
  <c r="R51" i="3"/>
  <c r="R13" i="3"/>
  <c r="R1492" i="3"/>
  <c r="R1491" i="3"/>
  <c r="R1490" i="3"/>
  <c r="R1489" i="3"/>
  <c r="R1488" i="3"/>
  <c r="R1487" i="3"/>
  <c r="R1486" i="3"/>
  <c r="R1485" i="3"/>
  <c r="R1484" i="3"/>
  <c r="R1483" i="3"/>
  <c r="R1452" i="3"/>
  <c r="R1451" i="3"/>
  <c r="R1450" i="3"/>
  <c r="R1449" i="3"/>
  <c r="R1448" i="3"/>
  <c r="R1447" i="3"/>
  <c r="R1446" i="3"/>
  <c r="R1445" i="3"/>
  <c r="R1444" i="3"/>
  <c r="R1443" i="3"/>
  <c r="R1442" i="3"/>
  <c r="R1399" i="3"/>
  <c r="R1398" i="3"/>
  <c r="R1397" i="3"/>
  <c r="R1396" i="3"/>
  <c r="R1395" i="3"/>
  <c r="R1394" i="3"/>
  <c r="R1393" i="3"/>
  <c r="R1392" i="3"/>
  <c r="R1391" i="3"/>
  <c r="R1390" i="3"/>
  <c r="R1389" i="3"/>
  <c r="R1388" i="3"/>
  <c r="R1387" i="3"/>
  <c r="R1386" i="3"/>
  <c r="R1385" i="3"/>
  <c r="R1384" i="3"/>
  <c r="R1383" i="3"/>
  <c r="R1382" i="3"/>
  <c r="R1381" i="3"/>
  <c r="R1342" i="3"/>
  <c r="R1341" i="3"/>
  <c r="R1340" i="3"/>
  <c r="R1339" i="3"/>
  <c r="R1338" i="3"/>
  <c r="R1337" i="3"/>
  <c r="R1313" i="3"/>
  <c r="R1312" i="3"/>
  <c r="R1311" i="3"/>
  <c r="R1310" i="3"/>
  <c r="R1309" i="3"/>
  <c r="R1308" i="3"/>
  <c r="R1307" i="3"/>
  <c r="R1279" i="3"/>
  <c r="R1278" i="3"/>
  <c r="R1277" i="3"/>
  <c r="R1276" i="3"/>
  <c r="R1275" i="3"/>
  <c r="R1274" i="3"/>
  <c r="R1273" i="3"/>
  <c r="R1272" i="3"/>
  <c r="R1271" i="3"/>
  <c r="R1249" i="3"/>
  <c r="R1248" i="3"/>
  <c r="R1247" i="3"/>
  <c r="R1246" i="3"/>
  <c r="R1245" i="3"/>
  <c r="R1244" i="3"/>
  <c r="R1243" i="3"/>
  <c r="R1226" i="3"/>
  <c r="R1225" i="3"/>
  <c r="R1224" i="3"/>
  <c r="R1223" i="3"/>
  <c r="R1222" i="3"/>
  <c r="R1221" i="3"/>
  <c r="R1220" i="3"/>
  <c r="R1219" i="3"/>
  <c r="R1218" i="3"/>
  <c r="R1195" i="3"/>
  <c r="R1194" i="3"/>
  <c r="R1193" i="3"/>
  <c r="R1192" i="3"/>
  <c r="R1191" i="3"/>
  <c r="R1190" i="3"/>
  <c r="R1189" i="3"/>
  <c r="R1164" i="3"/>
  <c r="R1163" i="3"/>
  <c r="R1162" i="3"/>
  <c r="R1161" i="3"/>
  <c r="R1160" i="3"/>
  <c r="R1159" i="3"/>
  <c r="R1158" i="3"/>
  <c r="R1157" i="3"/>
  <c r="R1156" i="3"/>
  <c r="R1139" i="3"/>
  <c r="R1138" i="3"/>
  <c r="R1137" i="3"/>
  <c r="R1136" i="3"/>
  <c r="R1119" i="3"/>
  <c r="R1118" i="3"/>
  <c r="R1117" i="3"/>
  <c r="R1116" i="3"/>
  <c r="R1115" i="3"/>
  <c r="R1114" i="3"/>
  <c r="R1113" i="3"/>
  <c r="R1112" i="3"/>
  <c r="R1111" i="3"/>
  <c r="R1110" i="3"/>
  <c r="R1109" i="3"/>
  <c r="R1108" i="3"/>
  <c r="R1107" i="3"/>
  <c r="R1080" i="3"/>
  <c r="R1079" i="3"/>
  <c r="R1078" i="3"/>
  <c r="R1077" i="3"/>
  <c r="R1076" i="3"/>
  <c r="R1075" i="3"/>
  <c r="R1067" i="3"/>
  <c r="R1066" i="3"/>
  <c r="R1065" i="3"/>
  <c r="R1064" i="3"/>
  <c r="R1063" i="3"/>
  <c r="R1062" i="3"/>
  <c r="R1061" i="3"/>
  <c r="R1060" i="3"/>
  <c r="R1014" i="3"/>
  <c r="R1013" i="3"/>
  <c r="R1012" i="3"/>
  <c r="R1011" i="3"/>
  <c r="R1010" i="3"/>
  <c r="R1009" i="3"/>
  <c r="R1008" i="3"/>
  <c r="R1007" i="3"/>
  <c r="R1006" i="3"/>
  <c r="R1005" i="3"/>
  <c r="R1004" i="3"/>
  <c r="R1003" i="3"/>
  <c r="R1002" i="3"/>
  <c r="R1001" i="3"/>
  <c r="R1000" i="3"/>
  <c r="R999" i="3"/>
  <c r="R998" i="3"/>
  <c r="R997" i="3"/>
  <c r="R996" i="3"/>
  <c r="R995" i="3"/>
  <c r="R994" i="3"/>
  <c r="R993" i="3"/>
  <c r="R992" i="3"/>
  <c r="R991" i="3"/>
  <c r="R990" i="3"/>
  <c r="R955" i="3"/>
  <c r="R954" i="3"/>
  <c r="R953" i="3"/>
  <c r="R952" i="3"/>
  <c r="R951" i="3"/>
  <c r="R950" i="3"/>
  <c r="R949" i="3"/>
  <c r="R948" i="3"/>
  <c r="R947" i="3"/>
  <c r="R946" i="3"/>
  <c r="R945" i="3"/>
  <c r="R944" i="3"/>
  <c r="R943" i="3"/>
  <c r="R942" i="3"/>
  <c r="R941" i="3"/>
  <c r="R940" i="3"/>
  <c r="R939" i="3"/>
  <c r="R938" i="3"/>
  <c r="R937" i="3"/>
  <c r="R881" i="3"/>
  <c r="R880" i="3"/>
  <c r="R879" i="3"/>
  <c r="R878" i="3"/>
  <c r="R877" i="3"/>
  <c r="R876" i="3"/>
  <c r="R875" i="3"/>
  <c r="R874" i="3"/>
  <c r="R873" i="3"/>
  <c r="R872" i="3"/>
  <c r="R871" i="3"/>
  <c r="R870" i="3"/>
  <c r="R869" i="3"/>
  <c r="R868" i="3"/>
  <c r="R867" i="3"/>
  <c r="R866" i="3"/>
  <c r="R865" i="3"/>
  <c r="R864" i="3"/>
  <c r="R863" i="3"/>
  <c r="R862" i="3"/>
  <c r="R739" i="3"/>
  <c r="R738" i="3"/>
  <c r="R737" i="3"/>
  <c r="R736" i="3"/>
  <c r="R735" i="3"/>
  <c r="R734" i="3"/>
  <c r="R733" i="3"/>
  <c r="R732" i="3"/>
  <c r="R731" i="3"/>
  <c r="R730" i="3"/>
  <c r="R729" i="3"/>
  <c r="R728" i="3"/>
  <c r="R727" i="3"/>
  <c r="R726" i="3"/>
  <c r="R725" i="3"/>
  <c r="R724" i="3"/>
  <c r="R723" i="3"/>
  <c r="R722" i="3"/>
  <c r="R721" i="3"/>
  <c r="R720" i="3"/>
  <c r="R688" i="3"/>
  <c r="R687" i="3"/>
  <c r="R686" i="3"/>
  <c r="R685" i="3"/>
  <c r="R684" i="3"/>
  <c r="R683" i="3"/>
  <c r="R682" i="3"/>
  <c r="R681" i="3"/>
  <c r="R680" i="3"/>
  <c r="R679" i="3"/>
  <c r="R678" i="3"/>
  <c r="R677" i="3"/>
  <c r="R676" i="3"/>
  <c r="R675" i="3"/>
  <c r="R635" i="3"/>
  <c r="R634" i="3"/>
  <c r="R633" i="3"/>
  <c r="R632" i="3"/>
  <c r="R631" i="3"/>
  <c r="R630" i="3"/>
  <c r="R629" i="3"/>
  <c r="R628" i="3"/>
  <c r="R627" i="3"/>
  <c r="R626" i="3"/>
  <c r="R625" i="3"/>
  <c r="R624" i="3"/>
  <c r="R623" i="3"/>
  <c r="R622" i="3"/>
  <c r="R621" i="3"/>
  <c r="R620" i="3"/>
  <c r="R619" i="3"/>
  <c r="R618" i="3"/>
  <c r="R617" i="3"/>
  <c r="R616" i="3"/>
  <c r="R615" i="3"/>
  <c r="R614" i="3"/>
  <c r="R564" i="3"/>
  <c r="R563" i="3"/>
  <c r="R562" i="3"/>
  <c r="R561" i="3"/>
  <c r="R560" i="3"/>
  <c r="R559" i="3"/>
  <c r="R558" i="3"/>
  <c r="R557" i="3"/>
  <c r="R556" i="3"/>
  <c r="R555" i="3"/>
  <c r="R554" i="3"/>
  <c r="R553" i="3"/>
  <c r="R552" i="3"/>
  <c r="R551" i="3"/>
  <c r="R550" i="3"/>
  <c r="R549" i="3"/>
  <c r="R548" i="3"/>
  <c r="R547" i="3"/>
  <c r="R546" i="3"/>
  <c r="R545" i="3"/>
  <c r="R544" i="3"/>
  <c r="R543" i="3"/>
  <c r="R542" i="3"/>
  <c r="R490" i="3"/>
  <c r="R489" i="3"/>
  <c r="R488" i="3"/>
  <c r="R487" i="3"/>
  <c r="R486" i="3"/>
  <c r="R485" i="3"/>
  <c r="R484" i="3"/>
  <c r="R483" i="3"/>
  <c r="R482" i="3"/>
  <c r="R481" i="3"/>
  <c r="R480" i="3"/>
  <c r="R479" i="3"/>
  <c r="R478" i="3"/>
  <c r="R477" i="3"/>
  <c r="R476" i="3"/>
  <c r="R475" i="3"/>
  <c r="R474" i="3"/>
  <c r="R471" i="3"/>
  <c r="R470" i="3"/>
  <c r="R469" i="3"/>
  <c r="R468" i="3"/>
  <c r="R314" i="3"/>
  <c r="R313" i="3"/>
  <c r="R312" i="3"/>
  <c r="R311" i="3"/>
  <c r="R310" i="3"/>
  <c r="R309" i="3"/>
  <c r="R308" i="3"/>
  <c r="R307" i="3"/>
  <c r="R306" i="3"/>
  <c r="R305" i="3"/>
  <c r="R304" i="3"/>
  <c r="R296" i="3"/>
  <c r="R295" i="3"/>
  <c r="R294" i="3"/>
  <c r="R293" i="3"/>
  <c r="R292" i="3"/>
  <c r="R291" i="3"/>
  <c r="R290" i="3"/>
  <c r="R289" i="3"/>
  <c r="R267" i="3"/>
  <c r="R266" i="3"/>
  <c r="R265" i="3"/>
  <c r="R264" i="3"/>
  <c r="R263" i="3"/>
  <c r="R249" i="3"/>
  <c r="R248" i="3"/>
  <c r="R247" i="3"/>
  <c r="R246" i="3"/>
  <c r="R233" i="3"/>
  <c r="R232" i="3"/>
  <c r="R231" i="3"/>
  <c r="R230" i="3"/>
  <c r="R229" i="3"/>
  <c r="R131" i="3"/>
  <c r="R130" i="3"/>
  <c r="R129" i="3"/>
  <c r="R128" i="3"/>
  <c r="R127" i="3"/>
  <c r="R126" i="3"/>
  <c r="R125" i="3"/>
  <c r="R124" i="3"/>
  <c r="R123" i="3"/>
  <c r="R122" i="3"/>
  <c r="R121" i="3"/>
  <c r="R120" i="3"/>
  <c r="R119" i="3"/>
  <c r="R118" i="3"/>
  <c r="R98" i="3"/>
  <c r="R97" i="3"/>
  <c r="R96" i="3"/>
  <c r="R95" i="3"/>
  <c r="R94" i="3"/>
  <c r="R93" i="3"/>
  <c r="R92" i="3"/>
  <c r="R91" i="3"/>
  <c r="R90" i="3"/>
  <c r="R89" i="3"/>
  <c r="R88" i="3"/>
  <c r="R87" i="3"/>
  <c r="R86" i="3"/>
  <c r="R74" i="3"/>
  <c r="R73" i="3"/>
  <c r="R72" i="3"/>
  <c r="R71" i="3"/>
  <c r="R70" i="3"/>
  <c r="R69" i="3"/>
  <c r="R68" i="3"/>
  <c r="R67" i="3"/>
  <c r="R50" i="3"/>
  <c r="R49" i="3"/>
  <c r="R48" i="3"/>
  <c r="R47" i="3"/>
  <c r="R46" i="3"/>
  <c r="R45" i="3"/>
  <c r="R44" i="3"/>
  <c r="R43" i="3"/>
  <c r="R33" i="3"/>
  <c r="R32" i="3"/>
  <c r="R31" i="3"/>
  <c r="R30" i="3"/>
  <c r="R29" i="3"/>
  <c r="R12" i="3"/>
  <c r="R11" i="3"/>
  <c r="R10" i="3"/>
  <c r="R9" i="3"/>
  <c r="R5" i="3"/>
  <c r="R1482" i="3"/>
  <c r="R1481" i="3"/>
  <c r="R1480" i="3"/>
  <c r="R1479" i="3"/>
  <c r="R1478" i="3"/>
  <c r="R1477" i="3"/>
  <c r="R1476" i="3"/>
  <c r="R1475" i="3"/>
  <c r="R1474" i="3"/>
  <c r="R1473" i="3"/>
  <c r="R1472" i="3"/>
  <c r="R1471" i="3"/>
  <c r="R1470" i="3"/>
  <c r="R1469" i="3"/>
  <c r="R1468" i="3"/>
  <c r="R1467" i="3"/>
  <c r="R1466" i="3"/>
  <c r="R1465" i="3"/>
  <c r="R1464" i="3"/>
  <c r="R1463" i="3"/>
  <c r="R1441" i="3"/>
  <c r="R1440" i="3"/>
  <c r="R1439" i="3"/>
  <c r="R1438" i="3"/>
  <c r="R1437" i="3"/>
  <c r="R1436" i="3"/>
  <c r="R1435" i="3"/>
  <c r="R1434" i="3"/>
  <c r="R1433" i="3"/>
  <c r="R1432" i="3"/>
  <c r="R1431" i="3"/>
  <c r="R1430" i="3"/>
  <c r="R1429" i="3"/>
  <c r="R1428" i="3"/>
  <c r="R1427" i="3"/>
  <c r="R1426" i="3"/>
  <c r="R1425" i="3"/>
  <c r="R1424" i="3"/>
  <c r="R1423" i="3"/>
  <c r="R1422" i="3"/>
  <c r="R1421" i="3"/>
  <c r="R1420" i="3"/>
  <c r="R1419" i="3"/>
  <c r="R1418" i="3"/>
  <c r="R1417" i="3"/>
  <c r="R1416" i="3"/>
  <c r="R1415" i="3"/>
  <c r="R1414" i="3"/>
  <c r="R1413" i="3"/>
  <c r="R1412" i="3"/>
  <c r="R1380" i="3"/>
  <c r="R1379" i="3"/>
  <c r="R1378" i="3"/>
  <c r="R1377" i="3"/>
  <c r="R1376" i="3"/>
  <c r="R1375" i="3"/>
  <c r="R1374" i="3"/>
  <c r="R1373" i="3"/>
  <c r="R1372" i="3"/>
  <c r="R1371" i="3"/>
  <c r="R1370" i="3"/>
  <c r="R1369" i="3"/>
  <c r="R1368" i="3"/>
  <c r="R1367" i="3"/>
  <c r="R1366" i="3"/>
  <c r="R1365" i="3"/>
  <c r="R1364" i="3"/>
  <c r="R1363" i="3"/>
  <c r="R1362" i="3"/>
  <c r="R1361" i="3"/>
  <c r="R1360" i="3"/>
  <c r="R1359" i="3"/>
  <c r="R1358" i="3"/>
  <c r="R1357" i="3"/>
  <c r="R1356" i="3"/>
  <c r="R1355" i="3"/>
  <c r="R1354" i="3"/>
  <c r="R1353" i="3"/>
  <c r="R1352" i="3"/>
  <c r="R1336" i="3"/>
  <c r="R1335" i="3"/>
  <c r="R1334" i="3"/>
  <c r="R1333" i="3"/>
  <c r="R1332" i="3"/>
  <c r="R1331" i="3"/>
  <c r="R1330" i="3"/>
  <c r="R1329" i="3"/>
  <c r="R1328" i="3"/>
  <c r="R1327" i="3"/>
  <c r="R1326" i="3"/>
  <c r="R1306" i="3"/>
  <c r="R1305" i="3"/>
  <c r="R1304" i="3"/>
  <c r="R1303" i="3"/>
  <c r="R1302" i="3"/>
  <c r="R1301" i="3"/>
  <c r="R1300" i="3"/>
  <c r="R1299" i="3"/>
  <c r="R1298" i="3"/>
  <c r="R1297" i="3"/>
  <c r="R1296" i="3"/>
  <c r="R1295" i="3"/>
  <c r="R1294" i="3"/>
  <c r="R1293" i="3"/>
  <c r="R1292" i="3"/>
  <c r="R1291" i="3"/>
  <c r="R1290" i="3"/>
  <c r="R1289" i="3"/>
  <c r="R1288" i="3"/>
  <c r="R1287" i="3"/>
  <c r="R1286" i="3"/>
  <c r="R1270" i="3"/>
  <c r="R1269" i="3"/>
  <c r="R1268" i="3"/>
  <c r="R1267" i="3"/>
  <c r="R1266" i="3"/>
  <c r="R1265" i="3"/>
  <c r="R1264" i="3"/>
  <c r="R1263" i="3"/>
  <c r="R1262" i="3"/>
  <c r="R1261" i="3"/>
  <c r="R1260" i="3"/>
  <c r="R1259" i="3"/>
  <c r="R1258" i="3"/>
  <c r="R1257" i="3"/>
  <c r="R1256" i="3"/>
  <c r="R1255" i="3"/>
  <c r="R1254" i="3"/>
  <c r="R1253" i="3"/>
  <c r="R1252" i="3"/>
  <c r="R1251" i="3"/>
  <c r="R1242" i="3"/>
  <c r="R1241" i="3"/>
  <c r="R1240" i="3"/>
  <c r="R1239" i="3"/>
  <c r="R1238" i="3"/>
  <c r="R1237" i="3"/>
  <c r="R1236" i="3"/>
  <c r="R1235" i="3"/>
  <c r="R1217" i="3"/>
  <c r="R1216" i="3"/>
  <c r="R1215" i="3"/>
  <c r="R1214" i="3"/>
  <c r="R1213" i="3"/>
  <c r="R1212" i="3"/>
  <c r="R1188" i="3"/>
  <c r="R1187" i="3"/>
  <c r="R1186" i="3"/>
  <c r="R1185" i="3"/>
  <c r="R1184" i="3"/>
  <c r="R1183" i="3"/>
  <c r="R1182" i="3"/>
  <c r="R1181" i="3"/>
  <c r="R1180" i="3"/>
  <c r="R1155" i="3"/>
  <c r="R1154" i="3"/>
  <c r="R1153" i="3"/>
  <c r="R1152" i="3"/>
  <c r="R1151" i="3"/>
  <c r="R1150" i="3"/>
  <c r="R1149" i="3"/>
  <c r="R1148" i="3"/>
  <c r="R1147" i="3"/>
  <c r="R1146" i="3"/>
  <c r="R1145" i="3"/>
  <c r="R1144" i="3"/>
  <c r="R1143" i="3"/>
  <c r="R1142" i="3"/>
  <c r="R1141" i="3"/>
  <c r="R1140" i="3"/>
  <c r="R1135" i="3"/>
  <c r="R1134" i="3"/>
  <c r="R1133" i="3"/>
  <c r="R1132" i="3"/>
  <c r="R1131" i="3"/>
  <c r="R1130" i="3"/>
  <c r="R1129" i="3"/>
  <c r="R1128" i="3"/>
  <c r="R1127" i="3"/>
  <c r="R1106" i="3"/>
  <c r="R1105" i="3"/>
  <c r="R1104" i="3"/>
  <c r="R1103" i="3"/>
  <c r="R1102" i="3"/>
  <c r="R1101" i="3"/>
  <c r="R1100" i="3"/>
  <c r="R1074" i="3"/>
  <c r="R1073" i="3"/>
  <c r="R1072" i="3"/>
  <c r="R1071" i="3"/>
  <c r="R1070" i="3"/>
  <c r="R1069" i="3"/>
  <c r="R1068" i="3"/>
  <c r="R1059" i="3"/>
  <c r="R1058" i="3"/>
  <c r="R1057" i="3"/>
  <c r="R1056" i="3"/>
  <c r="R1055" i="3"/>
  <c r="R1054" i="3"/>
  <c r="R1053" i="3"/>
  <c r="R1052" i="3"/>
  <c r="R1051" i="3"/>
  <c r="R1050" i="3"/>
  <c r="R1049" i="3"/>
  <c r="R1048" i="3"/>
  <c r="R1047" i="3"/>
  <c r="R467" i="3"/>
  <c r="R466" i="3"/>
  <c r="R465" i="3"/>
  <c r="R464" i="3"/>
  <c r="R463" i="3"/>
  <c r="R462" i="3"/>
  <c r="R461" i="3"/>
  <c r="R460" i="3"/>
  <c r="R459" i="3"/>
  <c r="R458" i="3"/>
  <c r="R457" i="3"/>
  <c r="R456" i="3"/>
  <c r="R455" i="3"/>
  <c r="R454" i="3"/>
  <c r="R453" i="3"/>
  <c r="R452" i="3"/>
  <c r="R451" i="3"/>
  <c r="R450" i="3"/>
  <c r="R449" i="3"/>
  <c r="R448" i="3"/>
  <c r="R447" i="3"/>
  <c r="R446" i="3"/>
  <c r="R445" i="3"/>
  <c r="R444" i="3"/>
  <c r="R443" i="3"/>
  <c r="R442" i="3"/>
  <c r="R441" i="3"/>
  <c r="R440" i="3"/>
  <c r="R439" i="3"/>
  <c r="R438" i="3"/>
  <c r="R437" i="3"/>
  <c r="R436" i="3"/>
  <c r="R435" i="3"/>
  <c r="R434" i="3"/>
  <c r="R405" i="3"/>
  <c r="R404" i="3"/>
  <c r="R403" i="3"/>
  <c r="R402" i="3"/>
  <c r="R401" i="3"/>
  <c r="R400" i="3"/>
  <c r="R399" i="3"/>
  <c r="R398" i="3"/>
  <c r="R397" i="3"/>
  <c r="R396" i="3"/>
  <c r="R395" i="3"/>
  <c r="R369" i="3"/>
  <c r="R368" i="3"/>
  <c r="R367" i="3"/>
  <c r="R366" i="3"/>
  <c r="R365" i="3"/>
  <c r="R288" i="3"/>
  <c r="R287" i="3"/>
  <c r="R286" i="3"/>
  <c r="R285" i="3"/>
  <c r="R284" i="3"/>
  <c r="R283" i="3"/>
  <c r="R282" i="3"/>
  <c r="R281" i="3"/>
  <c r="R280" i="3"/>
  <c r="R279" i="3"/>
  <c r="R278" i="3"/>
  <c r="R277" i="3"/>
  <c r="R276" i="3"/>
  <c r="R275" i="3"/>
  <c r="R262" i="3"/>
  <c r="R261" i="3"/>
  <c r="R260" i="3"/>
  <c r="R259" i="3"/>
  <c r="R258" i="3"/>
  <c r="R257" i="3"/>
  <c r="R256" i="3"/>
  <c r="R255" i="3"/>
  <c r="R254" i="3"/>
  <c r="R253" i="3"/>
  <c r="R252" i="3"/>
  <c r="R245" i="3"/>
  <c r="R244" i="3"/>
  <c r="R243" i="3"/>
  <c r="R242" i="3"/>
  <c r="R241" i="3"/>
  <c r="R240" i="3"/>
  <c r="R239" i="3"/>
  <c r="R238" i="3"/>
  <c r="R237" i="3"/>
  <c r="R228" i="3"/>
  <c r="R227" i="3"/>
  <c r="R226" i="3"/>
  <c r="R66" i="3"/>
  <c r="R65" i="3"/>
  <c r="R64" i="3"/>
  <c r="R63" i="3"/>
  <c r="R62" i="3"/>
  <c r="R61" i="3"/>
  <c r="R60" i="3"/>
  <c r="R59" i="3"/>
  <c r="R58" i="3"/>
  <c r="R57" i="3"/>
  <c r="R56" i="3"/>
  <c r="R42" i="3"/>
  <c r="R41" i="3"/>
  <c r="R40" i="3"/>
  <c r="R39" i="3"/>
  <c r="R38" i="3"/>
  <c r="R37" i="3"/>
  <c r="R36" i="3"/>
  <c r="R35" i="3"/>
  <c r="R34" i="3"/>
  <c r="R28" i="3"/>
  <c r="R27" i="3"/>
  <c r="R26" i="3"/>
  <c r="R25" i="3"/>
  <c r="R24" i="3"/>
  <c r="R23" i="3"/>
  <c r="R22" i="3"/>
  <c r="R21" i="3"/>
  <c r="R20" i="3"/>
  <c r="R19" i="3"/>
  <c r="R8" i="3"/>
  <c r="R7" i="3"/>
  <c r="R6" i="3"/>
  <c r="R4" i="3"/>
  <c r="R3" i="3"/>
  <c r="R2" i="3"/>
  <c r="I1502" i="3"/>
  <c r="I1501" i="3"/>
  <c r="I1500" i="3"/>
  <c r="I1499" i="3"/>
  <c r="I1498" i="3"/>
  <c r="I1497" i="3"/>
  <c r="I1496" i="3"/>
  <c r="I1495" i="3"/>
  <c r="I1494" i="3"/>
  <c r="I1493" i="3"/>
  <c r="I1492" i="3"/>
  <c r="I1491" i="3"/>
  <c r="I1490" i="3"/>
  <c r="I1489" i="3"/>
  <c r="I1488" i="3"/>
  <c r="I1487" i="3"/>
  <c r="I1486" i="3"/>
  <c r="I1485" i="3"/>
  <c r="I1484" i="3"/>
  <c r="I1483" i="3"/>
  <c r="I1482" i="3"/>
  <c r="I1481" i="3"/>
  <c r="I1480" i="3"/>
  <c r="I1479" i="3"/>
  <c r="I1478" i="3"/>
  <c r="I1477" i="3"/>
  <c r="I1476" i="3"/>
  <c r="I1475" i="3"/>
  <c r="I1474" i="3"/>
  <c r="I1473" i="3"/>
  <c r="I1472" i="3"/>
  <c r="I1471" i="3"/>
  <c r="I1470" i="3"/>
  <c r="I1469" i="3"/>
  <c r="I1468" i="3"/>
  <c r="I1467" i="3"/>
  <c r="I1466" i="3"/>
  <c r="I1465" i="3"/>
  <c r="I1464" i="3"/>
  <c r="I1463" i="3"/>
  <c r="I1462" i="3"/>
  <c r="I1461" i="3"/>
  <c r="I1460" i="3"/>
  <c r="I1459" i="3"/>
  <c r="I1458" i="3"/>
  <c r="I1457" i="3"/>
  <c r="I1456" i="3"/>
  <c r="I1455" i="3"/>
  <c r="I1454" i="3"/>
  <c r="I1453" i="3"/>
  <c r="I1452" i="3"/>
  <c r="I1451" i="3"/>
  <c r="I1450" i="3"/>
  <c r="I1449" i="3"/>
  <c r="I1448" i="3"/>
  <c r="I1447" i="3"/>
  <c r="I1446" i="3"/>
  <c r="I1445" i="3"/>
  <c r="I1444" i="3"/>
  <c r="I1443" i="3"/>
  <c r="I1442" i="3"/>
  <c r="I1441" i="3"/>
  <c r="I1440" i="3"/>
  <c r="I1439" i="3"/>
  <c r="I1438" i="3"/>
  <c r="I1437" i="3"/>
  <c r="I1436" i="3"/>
  <c r="I1435" i="3"/>
  <c r="I1434" i="3"/>
  <c r="I1433" i="3"/>
  <c r="I1432" i="3"/>
  <c r="I1431" i="3"/>
  <c r="I1430" i="3"/>
  <c r="I1429" i="3"/>
  <c r="I1428" i="3"/>
  <c r="I1427" i="3"/>
  <c r="I1426" i="3"/>
  <c r="I1425" i="3"/>
  <c r="I1424" i="3"/>
  <c r="I1423" i="3"/>
  <c r="I1422" i="3"/>
  <c r="I1421" i="3"/>
  <c r="I1420" i="3"/>
  <c r="I1419" i="3"/>
  <c r="I1418" i="3"/>
  <c r="I1417" i="3"/>
  <c r="I1416" i="3"/>
  <c r="I1415" i="3"/>
  <c r="I1414" i="3"/>
  <c r="I1413" i="3"/>
  <c r="I1412" i="3"/>
  <c r="I1411" i="3"/>
  <c r="I1410" i="3"/>
  <c r="I1409" i="3"/>
  <c r="I1408" i="3"/>
  <c r="I1407" i="3"/>
  <c r="I1406" i="3"/>
  <c r="I1405" i="3"/>
  <c r="I1404" i="3"/>
  <c r="I1403" i="3"/>
  <c r="I1402" i="3"/>
  <c r="I1401" i="3"/>
  <c r="I1400" i="3"/>
  <c r="I1399" i="3"/>
  <c r="I1398" i="3"/>
  <c r="I1397" i="3"/>
  <c r="I1396" i="3"/>
  <c r="I1395" i="3"/>
  <c r="I1394" i="3"/>
  <c r="I1393" i="3"/>
  <c r="I1392" i="3"/>
  <c r="I1391" i="3"/>
  <c r="I1390" i="3"/>
  <c r="I1389" i="3"/>
  <c r="I1388" i="3"/>
  <c r="I1387" i="3"/>
  <c r="I1386" i="3"/>
  <c r="I1385" i="3"/>
  <c r="I1384" i="3"/>
  <c r="I1383" i="3"/>
  <c r="I1382" i="3"/>
  <c r="I1381" i="3"/>
  <c r="I1380" i="3"/>
  <c r="I1379" i="3"/>
  <c r="I1378" i="3"/>
  <c r="I1377" i="3"/>
  <c r="I1376" i="3"/>
  <c r="I1375" i="3"/>
  <c r="I1374" i="3"/>
  <c r="I1373" i="3"/>
  <c r="I1372" i="3"/>
  <c r="I1371" i="3"/>
  <c r="I1370" i="3"/>
  <c r="I1369" i="3"/>
  <c r="I1368" i="3"/>
  <c r="I1367" i="3"/>
  <c r="I1366" i="3"/>
  <c r="I1365" i="3"/>
  <c r="I1364" i="3"/>
  <c r="I1363" i="3"/>
  <c r="I1362" i="3"/>
  <c r="I1361" i="3"/>
  <c r="I1360" i="3"/>
  <c r="I1359" i="3"/>
  <c r="I1358" i="3"/>
  <c r="I1357" i="3"/>
  <c r="I1356" i="3"/>
  <c r="I1355" i="3"/>
  <c r="I1354" i="3"/>
  <c r="I1353" i="3"/>
  <c r="I1352" i="3"/>
  <c r="I1351" i="3"/>
  <c r="I1350" i="3"/>
  <c r="I1349" i="3"/>
  <c r="I1348" i="3"/>
  <c r="I1347" i="3"/>
  <c r="I1346" i="3"/>
  <c r="I1345" i="3"/>
  <c r="I1344" i="3"/>
  <c r="I1343" i="3"/>
  <c r="I1342" i="3"/>
  <c r="I1341" i="3"/>
  <c r="I1340" i="3"/>
  <c r="I1339" i="3"/>
  <c r="I1338" i="3"/>
  <c r="I1337" i="3"/>
  <c r="I1336" i="3"/>
  <c r="I1335" i="3"/>
  <c r="I1334" i="3"/>
  <c r="I1333" i="3"/>
  <c r="I1332" i="3"/>
  <c r="I1331" i="3"/>
  <c r="I1330" i="3"/>
  <c r="I1329" i="3"/>
  <c r="I1328" i="3"/>
  <c r="I1327" i="3"/>
  <c r="I1326" i="3"/>
  <c r="I1325" i="3"/>
  <c r="I1324" i="3"/>
  <c r="I1323" i="3"/>
  <c r="I1322" i="3"/>
  <c r="I1321" i="3"/>
  <c r="I1320" i="3"/>
  <c r="I1319" i="3"/>
  <c r="I1318" i="3"/>
  <c r="I1317" i="3"/>
  <c r="I1316" i="3"/>
  <c r="I1315" i="3"/>
  <c r="I1314" i="3"/>
  <c r="I1313" i="3"/>
  <c r="I1312" i="3"/>
  <c r="I1311" i="3"/>
  <c r="I1310" i="3"/>
  <c r="I1309" i="3"/>
  <c r="I1308" i="3"/>
  <c r="I1307" i="3"/>
  <c r="I1306" i="3"/>
  <c r="I1305" i="3"/>
  <c r="I1304" i="3"/>
  <c r="I1303" i="3"/>
  <c r="I1302" i="3"/>
  <c r="I1301" i="3"/>
  <c r="I1300" i="3"/>
  <c r="I1299" i="3"/>
  <c r="I1298" i="3"/>
  <c r="I1297" i="3"/>
  <c r="I1296" i="3"/>
  <c r="I1295" i="3"/>
  <c r="I1294" i="3"/>
  <c r="I1293" i="3"/>
  <c r="I1292" i="3"/>
  <c r="I1291" i="3"/>
  <c r="I1290" i="3"/>
  <c r="I1289" i="3"/>
  <c r="I1288" i="3"/>
  <c r="I1287" i="3"/>
  <c r="I1286" i="3"/>
  <c r="I1285" i="3"/>
  <c r="I1284" i="3"/>
  <c r="I1283" i="3"/>
  <c r="I1282" i="3"/>
  <c r="I1281" i="3"/>
  <c r="I1280" i="3"/>
  <c r="I1279" i="3"/>
  <c r="I1278" i="3"/>
  <c r="I1277" i="3"/>
  <c r="I1276" i="3"/>
  <c r="I1275" i="3"/>
  <c r="I1274" i="3"/>
  <c r="I1273" i="3"/>
  <c r="I1272" i="3"/>
  <c r="I1271" i="3"/>
  <c r="I1270" i="3"/>
  <c r="I1269" i="3"/>
  <c r="I1268" i="3"/>
  <c r="I1267" i="3"/>
  <c r="I1266" i="3"/>
  <c r="I1265" i="3"/>
  <c r="I1264" i="3"/>
  <c r="I1263" i="3"/>
  <c r="I1262" i="3"/>
  <c r="I1261" i="3"/>
  <c r="I1260" i="3"/>
  <c r="I1259" i="3"/>
  <c r="I1258" i="3"/>
  <c r="I1257" i="3"/>
  <c r="I1256" i="3"/>
  <c r="I1255" i="3"/>
  <c r="I1254" i="3"/>
  <c r="I1253" i="3"/>
  <c r="I1252" i="3"/>
  <c r="I1251" i="3"/>
  <c r="I1250" i="3"/>
  <c r="I1249" i="3"/>
  <c r="I1248" i="3"/>
  <c r="I1247" i="3"/>
  <c r="I1246" i="3"/>
  <c r="I1245" i="3"/>
  <c r="I1244" i="3"/>
  <c r="I1243" i="3"/>
  <c r="I1242" i="3"/>
  <c r="I1241" i="3"/>
  <c r="I1240" i="3"/>
  <c r="I1239" i="3"/>
  <c r="I1238" i="3"/>
  <c r="I1237" i="3"/>
  <c r="I1236" i="3"/>
  <c r="I1235" i="3"/>
  <c r="I1234" i="3"/>
  <c r="I1233" i="3"/>
  <c r="I1232" i="3"/>
  <c r="I1231" i="3"/>
  <c r="I1230" i="3"/>
  <c r="I1229" i="3"/>
  <c r="I1228" i="3"/>
  <c r="I1227" i="3"/>
  <c r="I1226" i="3"/>
  <c r="I1225" i="3"/>
  <c r="I1224" i="3"/>
  <c r="I1223" i="3"/>
  <c r="I1222" i="3"/>
  <c r="I1221" i="3"/>
  <c r="I1220" i="3"/>
  <c r="I1219" i="3"/>
  <c r="I1218" i="3"/>
  <c r="I1217" i="3"/>
  <c r="I1216" i="3"/>
  <c r="I1215" i="3"/>
  <c r="I1214" i="3"/>
  <c r="I1213" i="3"/>
  <c r="I1212" i="3"/>
  <c r="I1211" i="3"/>
  <c r="I1210" i="3"/>
  <c r="I1209" i="3"/>
  <c r="I1208" i="3"/>
  <c r="I1207" i="3"/>
  <c r="I1206" i="3"/>
  <c r="I1205" i="3"/>
  <c r="I1204" i="3"/>
  <c r="I1203" i="3"/>
  <c r="I1202" i="3"/>
  <c r="I1201" i="3"/>
  <c r="I1200" i="3"/>
  <c r="I1199" i="3"/>
  <c r="I1198" i="3"/>
  <c r="I1197" i="3"/>
  <c r="I1196" i="3"/>
  <c r="I1195" i="3"/>
  <c r="I1194" i="3"/>
  <c r="I1193" i="3"/>
  <c r="I1192" i="3"/>
  <c r="I1191" i="3"/>
  <c r="I1190" i="3"/>
  <c r="I1189" i="3"/>
  <c r="I1188" i="3"/>
  <c r="I1187" i="3"/>
  <c r="I1186" i="3"/>
  <c r="I1185" i="3"/>
  <c r="I1184" i="3"/>
  <c r="I1183" i="3"/>
  <c r="I1182" i="3"/>
  <c r="I1181" i="3"/>
  <c r="I1180" i="3"/>
  <c r="I1179" i="3"/>
  <c r="I1178" i="3"/>
  <c r="I1177" i="3"/>
  <c r="I1176" i="3"/>
  <c r="I1175" i="3"/>
  <c r="I1174" i="3"/>
  <c r="I1173" i="3"/>
  <c r="I1172" i="3"/>
  <c r="I1171" i="3"/>
  <c r="I1170" i="3"/>
  <c r="I1169" i="3"/>
  <c r="I1168" i="3"/>
  <c r="I1167" i="3"/>
  <c r="I1166" i="3"/>
  <c r="I1165" i="3"/>
  <c r="I1164" i="3"/>
  <c r="I1163" i="3"/>
  <c r="I1162" i="3"/>
  <c r="I1161" i="3"/>
  <c r="I1160" i="3"/>
  <c r="I1159" i="3"/>
  <c r="I1158" i="3"/>
  <c r="I1157" i="3"/>
  <c r="I1156" i="3"/>
  <c r="I1155" i="3"/>
  <c r="I1154" i="3"/>
  <c r="I1153" i="3"/>
  <c r="I1152" i="3"/>
  <c r="I1151" i="3"/>
  <c r="I1150" i="3"/>
  <c r="I1149" i="3"/>
  <c r="I1148" i="3"/>
  <c r="I1147" i="3"/>
  <c r="I1146" i="3"/>
  <c r="I1145" i="3"/>
  <c r="I1144" i="3"/>
  <c r="I1143" i="3"/>
  <c r="I1142" i="3"/>
  <c r="I1141" i="3"/>
  <c r="I1140" i="3"/>
  <c r="I1139" i="3"/>
  <c r="I1138" i="3"/>
  <c r="I1137" i="3"/>
  <c r="I1136" i="3"/>
  <c r="I1135" i="3"/>
  <c r="I1134" i="3"/>
  <c r="I1133" i="3"/>
  <c r="I1132" i="3"/>
  <c r="I1131" i="3"/>
  <c r="I1130" i="3"/>
  <c r="I1129" i="3"/>
  <c r="I1128" i="3"/>
  <c r="I1127" i="3"/>
  <c r="I1126" i="3"/>
  <c r="I1125" i="3"/>
  <c r="I1124" i="3"/>
  <c r="I1123" i="3"/>
  <c r="I1122" i="3"/>
  <c r="I1121" i="3"/>
  <c r="I1120" i="3"/>
  <c r="I1119" i="3"/>
  <c r="I1118" i="3"/>
  <c r="I1117" i="3"/>
  <c r="I1116" i="3"/>
  <c r="I1115" i="3"/>
  <c r="I1114" i="3"/>
  <c r="I1113" i="3"/>
  <c r="I1112" i="3"/>
  <c r="I1111" i="3"/>
  <c r="I1110" i="3"/>
  <c r="I1109" i="3"/>
  <c r="I1108" i="3"/>
  <c r="I1107" i="3"/>
  <c r="I1106" i="3"/>
  <c r="I1105" i="3"/>
  <c r="I1104" i="3"/>
  <c r="I1103" i="3"/>
  <c r="I1102" i="3"/>
  <c r="I1101" i="3"/>
  <c r="I1100" i="3"/>
  <c r="I1099" i="3"/>
  <c r="I1098" i="3"/>
  <c r="I1097" i="3"/>
  <c r="I1096" i="3"/>
  <c r="I1095" i="3"/>
  <c r="I1094" i="3"/>
  <c r="I1093" i="3"/>
  <c r="I1092" i="3"/>
  <c r="I1091" i="3"/>
  <c r="I1090" i="3"/>
  <c r="I1089" i="3"/>
  <c r="I1088" i="3"/>
  <c r="I1087" i="3"/>
  <c r="I1086" i="3"/>
  <c r="I1085" i="3"/>
  <c r="I1084" i="3"/>
  <c r="I1083" i="3"/>
  <c r="I1082" i="3"/>
  <c r="I1081" i="3"/>
  <c r="I1080" i="3"/>
  <c r="I1079" i="3"/>
  <c r="I1078" i="3"/>
  <c r="I1077" i="3"/>
  <c r="I1076" i="3"/>
  <c r="I1075" i="3"/>
  <c r="I1074" i="3"/>
  <c r="I1073" i="3"/>
  <c r="I1072" i="3"/>
  <c r="I1071" i="3"/>
  <c r="I1070" i="3"/>
  <c r="I1069" i="3"/>
  <c r="I1068" i="3"/>
  <c r="I1067" i="3"/>
  <c r="I1066" i="3"/>
  <c r="I1065" i="3"/>
  <c r="I1064" i="3"/>
  <c r="I1063" i="3"/>
  <c r="I1062" i="3"/>
  <c r="I1061" i="3"/>
  <c r="I1060" i="3"/>
  <c r="I1059" i="3"/>
  <c r="I1058" i="3"/>
  <c r="I1057" i="3"/>
  <c r="I1056" i="3"/>
  <c r="I1055" i="3"/>
  <c r="I1054" i="3"/>
  <c r="I1053" i="3"/>
  <c r="I1052" i="3"/>
  <c r="I1051" i="3"/>
  <c r="I1050" i="3"/>
  <c r="I1049" i="3"/>
  <c r="I1048" i="3"/>
  <c r="I1047" i="3"/>
  <c r="I1046" i="3"/>
  <c r="I1045" i="3"/>
  <c r="I1044" i="3"/>
  <c r="I1043" i="3"/>
  <c r="I1042" i="3"/>
  <c r="I1041" i="3"/>
  <c r="I1040" i="3"/>
  <c r="I1039" i="3"/>
  <c r="I1038" i="3"/>
  <c r="I1037" i="3"/>
  <c r="I1036" i="3"/>
  <c r="I1035" i="3"/>
  <c r="I1034" i="3"/>
  <c r="I1033" i="3"/>
  <c r="I1032" i="3"/>
  <c r="I1031" i="3"/>
  <c r="I1030" i="3"/>
  <c r="I1029" i="3"/>
  <c r="I1028" i="3"/>
  <c r="I1027" i="3"/>
  <c r="I1026" i="3"/>
  <c r="I1025" i="3"/>
  <c r="I1024" i="3"/>
  <c r="I1023" i="3"/>
  <c r="I1022" i="3"/>
  <c r="I1021" i="3"/>
  <c r="I1020" i="3"/>
  <c r="I1019" i="3"/>
  <c r="I1018" i="3"/>
  <c r="I1017" i="3"/>
  <c r="I1016" i="3"/>
  <c r="I1015" i="3"/>
  <c r="I1014" i="3"/>
  <c r="I1013" i="3"/>
  <c r="I1012" i="3"/>
  <c r="I1011" i="3"/>
  <c r="I1010" i="3"/>
  <c r="I1009" i="3"/>
  <c r="I1008" i="3"/>
  <c r="I1007" i="3"/>
  <c r="I1006" i="3"/>
  <c r="I1005" i="3"/>
  <c r="I1004" i="3"/>
  <c r="I1003" i="3"/>
  <c r="I1002" i="3"/>
  <c r="I1001" i="3"/>
  <c r="I1000" i="3"/>
  <c r="I999" i="3"/>
  <c r="I998" i="3"/>
  <c r="I997" i="3"/>
  <c r="I996" i="3"/>
  <c r="I995" i="3"/>
  <c r="I994" i="3"/>
  <c r="I993" i="3"/>
  <c r="I992" i="3"/>
  <c r="I991" i="3"/>
  <c r="I990" i="3"/>
  <c r="I989" i="3"/>
  <c r="I988" i="3"/>
  <c r="I987" i="3"/>
  <c r="I986" i="3"/>
  <c r="I985" i="3"/>
  <c r="I984" i="3"/>
  <c r="I983" i="3"/>
  <c r="I982" i="3"/>
  <c r="I981" i="3"/>
  <c r="I980" i="3"/>
  <c r="I979" i="3"/>
  <c r="I978" i="3"/>
  <c r="I977" i="3"/>
  <c r="I976" i="3"/>
  <c r="I975" i="3"/>
  <c r="I974" i="3"/>
  <c r="I973" i="3"/>
  <c r="I972" i="3"/>
  <c r="I971" i="3"/>
  <c r="I970" i="3"/>
  <c r="I969" i="3"/>
  <c r="I968" i="3"/>
  <c r="I967" i="3"/>
  <c r="I966" i="3"/>
  <c r="I965" i="3"/>
  <c r="I964" i="3"/>
  <c r="I963" i="3"/>
  <c r="I962" i="3"/>
  <c r="I961" i="3"/>
  <c r="I960" i="3"/>
  <c r="I959" i="3"/>
  <c r="I958" i="3"/>
  <c r="I957" i="3"/>
  <c r="I956" i="3"/>
  <c r="I955" i="3"/>
  <c r="I954" i="3"/>
  <c r="I953" i="3"/>
  <c r="I952" i="3"/>
  <c r="I951" i="3"/>
  <c r="I950" i="3"/>
  <c r="I949" i="3"/>
  <c r="I948" i="3"/>
  <c r="I947" i="3"/>
  <c r="I946" i="3"/>
  <c r="I945" i="3"/>
  <c r="I944" i="3"/>
  <c r="I943" i="3"/>
  <c r="I942" i="3"/>
  <c r="I941" i="3"/>
  <c r="I940" i="3"/>
  <c r="I939" i="3"/>
  <c r="I938" i="3"/>
  <c r="I937" i="3"/>
  <c r="I936" i="3"/>
  <c r="I935" i="3"/>
  <c r="I934" i="3"/>
  <c r="I933" i="3"/>
  <c r="I932" i="3"/>
  <c r="I931" i="3"/>
  <c r="I930" i="3"/>
  <c r="I929" i="3"/>
  <c r="I928" i="3"/>
  <c r="I927" i="3"/>
  <c r="I926" i="3"/>
  <c r="I925" i="3"/>
  <c r="I924" i="3"/>
  <c r="I923" i="3"/>
  <c r="I922" i="3"/>
  <c r="I921" i="3"/>
  <c r="I920" i="3"/>
  <c r="I919" i="3"/>
  <c r="I918" i="3"/>
  <c r="I917" i="3"/>
  <c r="I916" i="3"/>
  <c r="I915" i="3"/>
  <c r="I914" i="3"/>
  <c r="I913" i="3"/>
  <c r="I912" i="3"/>
  <c r="I911" i="3"/>
  <c r="I910" i="3"/>
  <c r="I909" i="3"/>
  <c r="I908" i="3"/>
  <c r="I907" i="3"/>
  <c r="I906" i="3"/>
  <c r="I905" i="3"/>
  <c r="I904" i="3"/>
  <c r="I903" i="3"/>
  <c r="I902" i="3"/>
  <c r="I901" i="3"/>
  <c r="I900" i="3"/>
  <c r="I899" i="3"/>
  <c r="I898" i="3"/>
  <c r="I897" i="3"/>
  <c r="I896" i="3"/>
  <c r="I895" i="3"/>
  <c r="I894" i="3"/>
  <c r="I893" i="3"/>
  <c r="I892" i="3"/>
  <c r="I891" i="3"/>
  <c r="I890" i="3"/>
  <c r="I889" i="3"/>
  <c r="I888" i="3"/>
  <c r="I887" i="3"/>
  <c r="I886" i="3"/>
  <c r="I885" i="3"/>
  <c r="I884" i="3"/>
  <c r="I883" i="3"/>
  <c r="I882" i="3"/>
  <c r="I881" i="3"/>
  <c r="I880" i="3"/>
  <c r="I879" i="3"/>
  <c r="I878" i="3"/>
  <c r="I877" i="3"/>
  <c r="I876" i="3"/>
  <c r="I875" i="3"/>
  <c r="I874" i="3"/>
  <c r="I873" i="3"/>
  <c r="I872" i="3"/>
  <c r="I871" i="3"/>
  <c r="I870" i="3"/>
  <c r="I869" i="3"/>
  <c r="I868" i="3"/>
  <c r="I867" i="3"/>
  <c r="I866" i="3"/>
  <c r="I865" i="3"/>
  <c r="I864" i="3"/>
  <c r="I863" i="3"/>
  <c r="I862" i="3"/>
  <c r="I861" i="3"/>
  <c r="I860" i="3"/>
  <c r="I859" i="3"/>
  <c r="I858" i="3"/>
  <c r="I857" i="3"/>
  <c r="I856" i="3"/>
  <c r="I855" i="3"/>
  <c r="I854" i="3"/>
  <c r="I853" i="3"/>
  <c r="I852" i="3"/>
  <c r="I851" i="3"/>
  <c r="I850" i="3"/>
  <c r="I849" i="3"/>
  <c r="I848" i="3"/>
  <c r="I847" i="3"/>
  <c r="I846" i="3"/>
  <c r="I845" i="3"/>
  <c r="I844" i="3"/>
  <c r="I843" i="3"/>
  <c r="I842" i="3"/>
  <c r="I841" i="3"/>
  <c r="I840" i="3"/>
  <c r="I839" i="3"/>
  <c r="I838" i="3"/>
  <c r="I837" i="3"/>
  <c r="I836" i="3"/>
  <c r="I835" i="3"/>
  <c r="I834" i="3"/>
  <c r="I833" i="3"/>
  <c r="I832" i="3"/>
  <c r="I831" i="3"/>
  <c r="I830" i="3"/>
  <c r="I829" i="3"/>
  <c r="I828" i="3"/>
  <c r="I827" i="3"/>
  <c r="I826" i="3"/>
  <c r="I825" i="3"/>
  <c r="I824" i="3"/>
  <c r="I823" i="3"/>
  <c r="I822" i="3"/>
  <c r="I821" i="3"/>
  <c r="I820" i="3"/>
  <c r="I819" i="3"/>
  <c r="I818" i="3"/>
  <c r="I817" i="3"/>
  <c r="I816" i="3"/>
  <c r="I815" i="3"/>
  <c r="I814" i="3"/>
  <c r="I813" i="3"/>
  <c r="I812" i="3"/>
  <c r="I811" i="3"/>
  <c r="I810" i="3"/>
  <c r="I809" i="3"/>
  <c r="I808" i="3"/>
  <c r="I807" i="3"/>
  <c r="I806" i="3"/>
  <c r="I805" i="3"/>
  <c r="I804" i="3"/>
  <c r="I803" i="3"/>
  <c r="I802" i="3"/>
  <c r="I801" i="3"/>
  <c r="I800" i="3"/>
  <c r="I799" i="3"/>
  <c r="I798" i="3"/>
  <c r="I797" i="3"/>
  <c r="I796" i="3"/>
  <c r="I795" i="3"/>
  <c r="I794" i="3"/>
  <c r="I793" i="3"/>
  <c r="I792" i="3"/>
  <c r="I791" i="3"/>
  <c r="I790" i="3"/>
  <c r="I789" i="3"/>
  <c r="I788" i="3"/>
  <c r="I787" i="3"/>
  <c r="I786" i="3"/>
  <c r="I785" i="3"/>
  <c r="I784" i="3"/>
  <c r="I783" i="3"/>
  <c r="I782" i="3"/>
  <c r="I781" i="3"/>
  <c r="I780" i="3"/>
  <c r="I779" i="3"/>
  <c r="I778" i="3"/>
  <c r="I777" i="3"/>
  <c r="I776" i="3"/>
  <c r="I775" i="3"/>
  <c r="I774" i="3"/>
  <c r="I773" i="3"/>
  <c r="I772" i="3"/>
  <c r="I771" i="3"/>
  <c r="I770" i="3"/>
  <c r="I769" i="3"/>
  <c r="I768" i="3"/>
  <c r="I767" i="3"/>
  <c r="I766" i="3"/>
  <c r="I765" i="3"/>
  <c r="I764" i="3"/>
  <c r="I763" i="3"/>
  <c r="I762" i="3"/>
  <c r="I761" i="3"/>
  <c r="I760" i="3"/>
  <c r="I759" i="3"/>
  <c r="I758" i="3"/>
  <c r="I757" i="3"/>
  <c r="I756" i="3"/>
  <c r="I755" i="3"/>
  <c r="I754" i="3"/>
  <c r="I753" i="3"/>
  <c r="I752" i="3"/>
  <c r="I751" i="3"/>
  <c r="I750" i="3"/>
  <c r="I749" i="3"/>
  <c r="I748" i="3"/>
  <c r="I747" i="3"/>
  <c r="I746" i="3"/>
  <c r="I745" i="3"/>
  <c r="I744" i="3"/>
  <c r="I743" i="3"/>
  <c r="I742" i="3"/>
  <c r="I741" i="3"/>
  <c r="I740" i="3"/>
  <c r="I739" i="3"/>
  <c r="I738" i="3"/>
  <c r="I737" i="3"/>
  <c r="I736" i="3"/>
  <c r="I735" i="3"/>
  <c r="I734" i="3"/>
  <c r="I733" i="3"/>
  <c r="I732" i="3"/>
  <c r="I731" i="3"/>
  <c r="I730" i="3"/>
  <c r="I729" i="3"/>
  <c r="I728" i="3"/>
  <c r="I727" i="3"/>
  <c r="I726" i="3"/>
  <c r="I725" i="3"/>
  <c r="I724" i="3"/>
  <c r="I723" i="3"/>
  <c r="I722" i="3"/>
  <c r="I721" i="3"/>
  <c r="I720" i="3"/>
  <c r="I719" i="3"/>
  <c r="I718" i="3"/>
  <c r="I717" i="3"/>
  <c r="I716" i="3"/>
  <c r="I715" i="3"/>
  <c r="I714" i="3"/>
  <c r="I713" i="3"/>
  <c r="I712" i="3"/>
  <c r="I711" i="3"/>
  <c r="I710" i="3"/>
  <c r="I709" i="3"/>
  <c r="I708" i="3"/>
  <c r="I707" i="3"/>
  <c r="I706" i="3"/>
  <c r="I705" i="3"/>
  <c r="I704" i="3"/>
  <c r="I703" i="3"/>
  <c r="I702" i="3"/>
  <c r="I701" i="3"/>
  <c r="I700" i="3"/>
  <c r="I699" i="3"/>
  <c r="I698" i="3"/>
  <c r="I697" i="3"/>
  <c r="I696" i="3"/>
  <c r="I695" i="3"/>
  <c r="I694" i="3"/>
  <c r="I693" i="3"/>
  <c r="I692" i="3"/>
  <c r="I691" i="3"/>
  <c r="I690" i="3"/>
  <c r="I689" i="3"/>
  <c r="I688" i="3"/>
  <c r="I687" i="3"/>
  <c r="I686" i="3"/>
  <c r="I685" i="3"/>
  <c r="I684" i="3"/>
  <c r="I683" i="3"/>
  <c r="I682" i="3"/>
  <c r="I681" i="3"/>
  <c r="I680" i="3"/>
  <c r="I679" i="3"/>
  <c r="I678" i="3"/>
  <c r="I677" i="3"/>
  <c r="I676" i="3"/>
  <c r="I675" i="3"/>
  <c r="I674" i="3"/>
  <c r="I673" i="3"/>
  <c r="I672" i="3"/>
  <c r="I671" i="3"/>
  <c r="I670" i="3"/>
  <c r="I669" i="3"/>
  <c r="I668" i="3"/>
  <c r="I667" i="3"/>
  <c r="I666" i="3"/>
  <c r="I665" i="3"/>
  <c r="I664" i="3"/>
  <c r="I663" i="3"/>
  <c r="I662" i="3"/>
  <c r="I661" i="3"/>
  <c r="I660" i="3"/>
  <c r="I659" i="3"/>
  <c r="I658" i="3"/>
  <c r="I657" i="3"/>
  <c r="I656" i="3"/>
  <c r="I655" i="3"/>
  <c r="I654" i="3"/>
  <c r="I653" i="3"/>
  <c r="I652" i="3"/>
  <c r="I651" i="3"/>
  <c r="I650" i="3"/>
  <c r="I649" i="3"/>
  <c r="I648" i="3"/>
  <c r="I647" i="3"/>
  <c r="I646" i="3"/>
  <c r="I645" i="3"/>
  <c r="I644" i="3"/>
  <c r="I643" i="3"/>
  <c r="I642" i="3"/>
  <c r="I641" i="3"/>
  <c r="I640" i="3"/>
  <c r="I639" i="3"/>
  <c r="I638" i="3"/>
  <c r="I637" i="3"/>
  <c r="I636" i="3"/>
  <c r="I635" i="3"/>
  <c r="I634" i="3"/>
  <c r="I633" i="3"/>
  <c r="I632" i="3"/>
  <c r="I631" i="3"/>
  <c r="I630" i="3"/>
  <c r="I629" i="3"/>
  <c r="I628" i="3"/>
  <c r="I627" i="3"/>
  <c r="I626" i="3"/>
  <c r="I625" i="3"/>
  <c r="I624" i="3"/>
  <c r="I623" i="3"/>
  <c r="I622" i="3"/>
  <c r="I621" i="3"/>
  <c r="I620" i="3"/>
  <c r="I619" i="3"/>
  <c r="I618" i="3"/>
  <c r="I617" i="3"/>
  <c r="I616" i="3"/>
  <c r="I615" i="3"/>
  <c r="I614" i="3"/>
  <c r="I613" i="3"/>
  <c r="I612" i="3"/>
  <c r="I611" i="3"/>
  <c r="I610" i="3"/>
  <c r="I609" i="3"/>
  <c r="I608" i="3"/>
  <c r="I607" i="3"/>
  <c r="I606" i="3"/>
  <c r="I605" i="3"/>
  <c r="I604" i="3"/>
  <c r="I603" i="3"/>
  <c r="I602" i="3"/>
  <c r="I601" i="3"/>
  <c r="I600" i="3"/>
  <c r="I599" i="3"/>
  <c r="I598" i="3"/>
  <c r="I597" i="3"/>
  <c r="I596" i="3"/>
  <c r="I595" i="3"/>
  <c r="I594" i="3"/>
  <c r="I593" i="3"/>
  <c r="I592" i="3"/>
  <c r="I591" i="3"/>
  <c r="I590" i="3"/>
  <c r="I589" i="3"/>
  <c r="I588" i="3"/>
  <c r="I587" i="3"/>
  <c r="I586" i="3"/>
  <c r="I585" i="3"/>
  <c r="I584" i="3"/>
  <c r="I583" i="3"/>
  <c r="I582" i="3"/>
  <c r="I581" i="3"/>
  <c r="I580" i="3"/>
  <c r="I579" i="3"/>
  <c r="I578" i="3"/>
  <c r="I577" i="3"/>
  <c r="I576" i="3"/>
  <c r="I575" i="3"/>
  <c r="I574" i="3"/>
  <c r="I573" i="3"/>
  <c r="I572" i="3"/>
  <c r="I571" i="3"/>
  <c r="I570" i="3"/>
  <c r="I569" i="3"/>
  <c r="I568" i="3"/>
  <c r="I567" i="3"/>
  <c r="I566" i="3"/>
  <c r="I565" i="3"/>
  <c r="I564" i="3"/>
  <c r="I563" i="3"/>
  <c r="I562" i="3"/>
  <c r="I561" i="3"/>
  <c r="I560" i="3"/>
  <c r="I559" i="3"/>
  <c r="I558" i="3"/>
  <c r="I557" i="3"/>
  <c r="I556" i="3"/>
  <c r="I555" i="3"/>
  <c r="I554" i="3"/>
  <c r="I553" i="3"/>
  <c r="I552" i="3"/>
  <c r="I551" i="3"/>
  <c r="I550" i="3"/>
  <c r="I549" i="3"/>
  <c r="I548" i="3"/>
  <c r="I547" i="3"/>
  <c r="I546" i="3"/>
  <c r="I545" i="3"/>
  <c r="I544" i="3"/>
  <c r="I543" i="3"/>
  <c r="I542" i="3"/>
  <c r="I541" i="3"/>
  <c r="I540" i="3"/>
  <c r="I539" i="3"/>
  <c r="I538" i="3"/>
  <c r="I537" i="3"/>
  <c r="I536" i="3"/>
  <c r="I535" i="3"/>
  <c r="I534" i="3"/>
  <c r="I533" i="3"/>
  <c r="I532" i="3"/>
  <c r="I531" i="3"/>
  <c r="I530" i="3"/>
  <c r="I529" i="3"/>
  <c r="I528" i="3"/>
  <c r="I527" i="3"/>
  <c r="I526" i="3"/>
  <c r="I525" i="3"/>
  <c r="I524" i="3"/>
  <c r="I523" i="3"/>
  <c r="I522" i="3"/>
  <c r="I521" i="3"/>
  <c r="I520" i="3"/>
  <c r="I519" i="3"/>
  <c r="I518" i="3"/>
  <c r="I517" i="3"/>
  <c r="I516" i="3"/>
  <c r="I515" i="3"/>
  <c r="I514" i="3"/>
  <c r="I513" i="3"/>
  <c r="I512" i="3"/>
  <c r="I511" i="3"/>
  <c r="I510" i="3"/>
  <c r="I509" i="3"/>
  <c r="I508" i="3"/>
  <c r="I507" i="3"/>
  <c r="I506" i="3"/>
  <c r="I505" i="3"/>
  <c r="I504" i="3"/>
  <c r="I503" i="3"/>
  <c r="I502" i="3"/>
  <c r="I501" i="3"/>
  <c r="I500" i="3"/>
  <c r="I499" i="3"/>
  <c r="I498" i="3"/>
  <c r="I497" i="3"/>
  <c r="I496" i="3"/>
  <c r="I495" i="3"/>
  <c r="I494" i="3"/>
  <c r="I493" i="3"/>
  <c r="I492" i="3"/>
  <c r="I491" i="3"/>
  <c r="I490" i="3"/>
  <c r="I489" i="3"/>
  <c r="I488" i="3"/>
  <c r="I487" i="3"/>
  <c r="I486" i="3"/>
  <c r="I485" i="3"/>
  <c r="I484" i="3"/>
  <c r="I483" i="3"/>
  <c r="I482" i="3"/>
  <c r="I481" i="3"/>
  <c r="I480" i="3"/>
  <c r="I479" i="3"/>
  <c r="I478" i="3"/>
  <c r="I477" i="3"/>
  <c r="I476" i="3"/>
  <c r="I475" i="3"/>
  <c r="I474" i="3"/>
  <c r="I473" i="3"/>
  <c r="I472" i="3"/>
  <c r="I471" i="3"/>
  <c r="I470" i="3"/>
  <c r="I469" i="3"/>
  <c r="I468" i="3"/>
  <c r="I467" i="3"/>
  <c r="I466" i="3"/>
  <c r="I465" i="3"/>
  <c r="I464" i="3"/>
  <c r="I463" i="3"/>
  <c r="I462" i="3"/>
  <c r="I461" i="3"/>
  <c r="I460" i="3"/>
  <c r="I459" i="3"/>
  <c r="I458" i="3"/>
  <c r="I457" i="3"/>
  <c r="I456" i="3"/>
  <c r="I455" i="3"/>
  <c r="I454" i="3"/>
  <c r="I453" i="3"/>
  <c r="I452" i="3"/>
  <c r="I451" i="3"/>
  <c r="I450" i="3"/>
  <c r="I449" i="3"/>
  <c r="I448" i="3"/>
  <c r="I447" i="3"/>
  <c r="I446" i="3"/>
  <c r="I445" i="3"/>
  <c r="I444" i="3"/>
  <c r="I443" i="3"/>
  <c r="I442" i="3"/>
  <c r="I441" i="3"/>
  <c r="I440" i="3"/>
  <c r="I439" i="3"/>
  <c r="I438" i="3"/>
  <c r="I437" i="3"/>
  <c r="I436" i="3"/>
  <c r="I435" i="3"/>
  <c r="I434" i="3"/>
  <c r="I433" i="3"/>
  <c r="I432" i="3"/>
  <c r="I431" i="3"/>
  <c r="I430" i="3"/>
  <c r="I429" i="3"/>
  <c r="I428" i="3"/>
  <c r="I427" i="3"/>
  <c r="I426" i="3"/>
  <c r="I425" i="3"/>
  <c r="I424" i="3"/>
  <c r="I423" i="3"/>
  <c r="I422" i="3"/>
  <c r="I421" i="3"/>
  <c r="I420" i="3"/>
  <c r="I419" i="3"/>
  <c r="I418" i="3"/>
  <c r="I417" i="3"/>
  <c r="I416" i="3"/>
  <c r="I415" i="3"/>
  <c r="I414" i="3"/>
  <c r="I413" i="3"/>
  <c r="I412" i="3"/>
  <c r="I411" i="3"/>
  <c r="I410" i="3"/>
  <c r="I409" i="3"/>
  <c r="I408" i="3"/>
  <c r="I407" i="3"/>
  <c r="I406" i="3"/>
  <c r="I405" i="3"/>
  <c r="I404" i="3"/>
  <c r="I403" i="3"/>
  <c r="I402" i="3"/>
  <c r="I401" i="3"/>
  <c r="I400" i="3"/>
  <c r="I399" i="3"/>
  <c r="I398" i="3"/>
  <c r="I397" i="3"/>
  <c r="I396" i="3"/>
  <c r="I395" i="3"/>
  <c r="I394" i="3"/>
  <c r="I393" i="3"/>
  <c r="I392" i="3"/>
  <c r="I391" i="3"/>
  <c r="I390" i="3"/>
  <c r="I389" i="3"/>
  <c r="I388" i="3"/>
  <c r="I387" i="3"/>
  <c r="I386" i="3"/>
  <c r="I385" i="3"/>
  <c r="I384" i="3"/>
  <c r="I383" i="3"/>
  <c r="I382" i="3"/>
  <c r="I381" i="3"/>
  <c r="I380" i="3"/>
  <c r="I379" i="3"/>
  <c r="I378" i="3"/>
  <c r="I377" i="3"/>
  <c r="I376" i="3"/>
  <c r="I375" i="3"/>
  <c r="I374" i="3"/>
  <c r="I373" i="3"/>
  <c r="I372" i="3"/>
  <c r="I371" i="3"/>
  <c r="I370" i="3"/>
  <c r="I369" i="3"/>
  <c r="I368" i="3"/>
  <c r="I367" i="3"/>
  <c r="I366" i="3"/>
  <c r="I365" i="3"/>
  <c r="I364" i="3"/>
  <c r="I363" i="3"/>
  <c r="I362" i="3"/>
  <c r="I361" i="3"/>
  <c r="I360" i="3"/>
  <c r="I359" i="3"/>
  <c r="I358" i="3"/>
  <c r="I357" i="3"/>
  <c r="I356" i="3"/>
  <c r="I355" i="3"/>
  <c r="I354" i="3"/>
  <c r="I353" i="3"/>
  <c r="I352" i="3"/>
  <c r="I351" i="3"/>
  <c r="I350" i="3"/>
  <c r="I349" i="3"/>
  <c r="I348" i="3"/>
  <c r="I347" i="3"/>
  <c r="I346" i="3"/>
  <c r="I345" i="3"/>
  <c r="I344" i="3"/>
  <c r="I343" i="3"/>
  <c r="I342" i="3"/>
  <c r="I341" i="3"/>
  <c r="I340" i="3"/>
  <c r="I339" i="3"/>
  <c r="I338" i="3"/>
  <c r="I337" i="3"/>
  <c r="I336" i="3"/>
  <c r="I335" i="3"/>
  <c r="I334" i="3"/>
  <c r="I333" i="3"/>
  <c r="I332" i="3"/>
  <c r="I331" i="3"/>
  <c r="I330" i="3"/>
  <c r="I329" i="3"/>
  <c r="I328" i="3"/>
  <c r="I327" i="3"/>
  <c r="I326" i="3"/>
  <c r="I325" i="3"/>
  <c r="I324" i="3"/>
  <c r="I323" i="3"/>
  <c r="I322" i="3"/>
  <c r="I321" i="3"/>
  <c r="I320" i="3"/>
  <c r="I319" i="3"/>
  <c r="I318" i="3"/>
  <c r="I317" i="3"/>
  <c r="I316" i="3"/>
  <c r="I315" i="3"/>
  <c r="I314" i="3"/>
  <c r="I313" i="3"/>
  <c r="I312" i="3"/>
  <c r="I311" i="3"/>
  <c r="I310" i="3"/>
  <c r="I309" i="3"/>
  <c r="I308" i="3"/>
  <c r="I307" i="3"/>
  <c r="I306" i="3"/>
  <c r="I305" i="3"/>
  <c r="I304" i="3"/>
  <c r="I303" i="3"/>
  <c r="I302" i="3"/>
  <c r="I301" i="3"/>
  <c r="I300" i="3"/>
  <c r="I299" i="3"/>
  <c r="I298" i="3"/>
  <c r="I297" i="3"/>
  <c r="I296" i="3"/>
  <c r="I295" i="3"/>
  <c r="I294" i="3"/>
  <c r="I293" i="3"/>
  <c r="I292" i="3"/>
  <c r="I291" i="3"/>
  <c r="I290" i="3"/>
  <c r="I289" i="3"/>
  <c r="I288" i="3"/>
  <c r="I287" i="3"/>
  <c r="I286" i="3"/>
  <c r="I285" i="3"/>
  <c r="I284" i="3"/>
  <c r="I283" i="3"/>
  <c r="I282" i="3"/>
  <c r="I281" i="3"/>
  <c r="I280" i="3"/>
  <c r="I279" i="3"/>
  <c r="I278" i="3"/>
  <c r="I277" i="3"/>
  <c r="I276" i="3"/>
  <c r="I275" i="3"/>
  <c r="I274" i="3"/>
  <c r="I273" i="3"/>
  <c r="I272" i="3"/>
  <c r="I271" i="3"/>
  <c r="I270" i="3"/>
  <c r="I269" i="3"/>
  <c r="I268" i="3"/>
  <c r="I267" i="3"/>
  <c r="I266" i="3"/>
  <c r="I265" i="3"/>
  <c r="I264" i="3"/>
  <c r="I263" i="3"/>
  <c r="I262" i="3"/>
  <c r="I261" i="3"/>
  <c r="I260" i="3"/>
  <c r="I259" i="3"/>
  <c r="I258" i="3"/>
  <c r="I257" i="3"/>
  <c r="I256" i="3"/>
  <c r="I255" i="3"/>
  <c r="I254" i="3"/>
  <c r="I253" i="3"/>
  <c r="I252" i="3"/>
  <c r="I251" i="3"/>
  <c r="I250" i="3"/>
  <c r="I249" i="3"/>
  <c r="I248" i="3"/>
  <c r="I247" i="3"/>
  <c r="I246" i="3"/>
  <c r="I245" i="3"/>
  <c r="I244" i="3"/>
  <c r="I243" i="3"/>
  <c r="I242" i="3"/>
  <c r="I241" i="3"/>
  <c r="I240" i="3"/>
  <c r="I239" i="3"/>
  <c r="I238" i="3"/>
  <c r="I237" i="3"/>
  <c r="I236" i="3"/>
  <c r="I235" i="3"/>
  <c r="I234" i="3"/>
  <c r="I233" i="3"/>
  <c r="I232" i="3"/>
  <c r="I231" i="3"/>
  <c r="I230" i="3"/>
  <c r="I229" i="3"/>
  <c r="I228" i="3"/>
  <c r="I227" i="3"/>
  <c r="I226" i="3"/>
  <c r="I225" i="3"/>
  <c r="I224" i="3"/>
  <c r="I223" i="3"/>
  <c r="I222" i="3"/>
  <c r="I221" i="3"/>
  <c r="I220" i="3"/>
  <c r="I219" i="3"/>
  <c r="I218" i="3"/>
  <c r="I217" i="3"/>
  <c r="I216" i="3"/>
  <c r="I215" i="3"/>
  <c r="I214" i="3"/>
  <c r="I213" i="3"/>
  <c r="I212" i="3"/>
  <c r="I211" i="3"/>
  <c r="I210" i="3"/>
  <c r="I209" i="3"/>
  <c r="I208" i="3"/>
  <c r="I207" i="3"/>
  <c r="I206" i="3"/>
  <c r="I205" i="3"/>
  <c r="I204" i="3"/>
  <c r="I203" i="3"/>
  <c r="I202" i="3"/>
  <c r="I201" i="3"/>
  <c r="I200" i="3"/>
  <c r="I199" i="3"/>
  <c r="I198" i="3"/>
  <c r="I197" i="3"/>
  <c r="I196" i="3"/>
  <c r="I195" i="3"/>
  <c r="I194" i="3"/>
  <c r="I193" i="3"/>
  <c r="I192" i="3"/>
  <c r="I191" i="3"/>
  <c r="I190" i="3"/>
  <c r="I189" i="3"/>
  <c r="I188" i="3"/>
  <c r="I187" i="3"/>
  <c r="I186" i="3"/>
  <c r="I185" i="3"/>
  <c r="I184" i="3"/>
  <c r="I183" i="3"/>
  <c r="I182" i="3"/>
  <c r="I181" i="3"/>
  <c r="I180" i="3"/>
  <c r="I179" i="3"/>
  <c r="I178" i="3"/>
  <c r="I177" i="3"/>
  <c r="I176" i="3"/>
  <c r="I175"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I25" i="3"/>
  <c r="I24" i="3"/>
  <c r="I23" i="3"/>
  <c r="I22" i="3"/>
  <c r="I21" i="3"/>
  <c r="I20" i="3"/>
  <c r="I19" i="3"/>
  <c r="I18" i="3"/>
  <c r="I17" i="3"/>
  <c r="I16" i="3"/>
  <c r="I15" i="3"/>
  <c r="I14" i="3"/>
  <c r="I13" i="3"/>
  <c r="I12" i="3"/>
  <c r="I11" i="3"/>
  <c r="I10" i="3"/>
  <c r="I9" i="3"/>
  <c r="I8" i="3"/>
  <c r="I7" i="3"/>
  <c r="I6" i="3"/>
  <c r="I5" i="3"/>
  <c r="I4" i="3"/>
  <c r="I3" i="3"/>
  <c r="I2" i="3"/>
  <c r="Q1502" i="3"/>
  <c r="Q1501" i="3"/>
  <c r="Q1500" i="3"/>
  <c r="Q1499" i="3"/>
  <c r="Q1498" i="3"/>
  <c r="Q1462" i="3"/>
  <c r="Q1461" i="3"/>
  <c r="Q1460" i="3"/>
  <c r="Q1459" i="3"/>
  <c r="Q1411" i="3"/>
  <c r="Q1410" i="3"/>
  <c r="Q1409" i="3"/>
  <c r="Q1351" i="3"/>
  <c r="Q1350" i="3"/>
  <c r="Q1349" i="3"/>
  <c r="Q1325" i="3"/>
  <c r="Q1324" i="3"/>
  <c r="Q1323" i="3"/>
  <c r="Q1322" i="3"/>
  <c r="Q1321" i="3"/>
  <c r="Q1320" i="3"/>
  <c r="Q1319" i="3"/>
  <c r="Q1234" i="3"/>
  <c r="Q1211" i="3"/>
  <c r="Q1210" i="3"/>
  <c r="Q1209" i="3"/>
  <c r="Q1208" i="3"/>
  <c r="Q1207" i="3"/>
  <c r="Q1206" i="3"/>
  <c r="Q1205" i="3"/>
  <c r="Q1179" i="3"/>
  <c r="Q1178" i="3"/>
  <c r="Q1177" i="3"/>
  <c r="Q1176" i="3"/>
  <c r="Q1175" i="3"/>
  <c r="Q1174" i="3"/>
  <c r="Q1173" i="3"/>
  <c r="Q1172" i="3"/>
  <c r="Q1171" i="3"/>
  <c r="Q1046" i="3"/>
  <c r="Q1045" i="3"/>
  <c r="Q1044" i="3"/>
  <c r="Q1043" i="3"/>
  <c r="Q1042" i="3"/>
  <c r="Q1041" i="3"/>
  <c r="Q1040" i="3"/>
  <c r="Q1039" i="3"/>
  <c r="Q1038" i="3"/>
  <c r="Q1037" i="3"/>
  <c r="Q1036" i="3"/>
  <c r="Q1035" i="3"/>
  <c r="Q1034" i="3"/>
  <c r="Q989" i="3"/>
  <c r="Q988" i="3"/>
  <c r="Q987" i="3"/>
  <c r="Q986" i="3"/>
  <c r="Q985" i="3"/>
  <c r="Q984" i="3"/>
  <c r="Q983" i="3"/>
  <c r="Q982" i="3"/>
  <c r="Q981" i="3"/>
  <c r="Q980" i="3"/>
  <c r="Q979" i="3"/>
  <c r="Q978" i="3"/>
  <c r="Q977" i="3"/>
  <c r="Q976" i="3"/>
  <c r="Q921" i="3"/>
  <c r="Q920" i="3"/>
  <c r="Q919" i="3"/>
  <c r="Q918" i="3"/>
  <c r="Q917" i="3"/>
  <c r="Q916" i="3"/>
  <c r="Q915" i="3"/>
  <c r="Q914" i="3"/>
  <c r="Q913" i="3"/>
  <c r="Q912" i="3"/>
  <c r="Q911" i="3"/>
  <c r="Q910" i="3"/>
  <c r="Q909" i="3"/>
  <c r="Q908" i="3"/>
  <c r="Q907" i="3"/>
  <c r="Q906" i="3"/>
  <c r="Q905" i="3"/>
  <c r="Q904" i="3"/>
  <c r="Q903" i="3"/>
  <c r="Q902" i="3"/>
  <c r="Q846" i="3"/>
  <c r="Q845" i="3"/>
  <c r="Q844" i="3"/>
  <c r="Q843" i="3"/>
  <c r="Q842" i="3"/>
  <c r="Q841" i="3"/>
  <c r="Q840" i="3"/>
  <c r="Q839" i="3"/>
  <c r="Q838" i="3"/>
  <c r="Q837" i="3"/>
  <c r="Q836" i="3"/>
  <c r="Q835" i="3"/>
  <c r="Q834" i="3"/>
  <c r="Q833" i="3"/>
  <c r="Q832" i="3"/>
  <c r="Q831" i="3"/>
  <c r="Q830" i="3"/>
  <c r="Q829" i="3"/>
  <c r="Q828" i="3"/>
  <c r="Q777" i="3"/>
  <c r="Q776" i="3"/>
  <c r="Q775" i="3"/>
  <c r="Q774" i="3"/>
  <c r="Q773" i="3"/>
  <c r="Q772" i="3"/>
  <c r="Q771" i="3"/>
  <c r="Q770" i="3"/>
  <c r="Q769" i="3"/>
  <c r="Q768" i="3"/>
  <c r="Q767" i="3"/>
  <c r="Q766" i="3"/>
  <c r="Q765" i="3"/>
  <c r="Q764" i="3"/>
  <c r="Q763" i="3"/>
  <c r="Q762" i="3"/>
  <c r="Q761" i="3"/>
  <c r="Q760" i="3"/>
  <c r="Q759" i="3"/>
  <c r="Q758" i="3"/>
  <c r="Q757" i="3"/>
  <c r="Q756" i="3"/>
  <c r="Q755" i="3"/>
  <c r="Q754" i="3"/>
  <c r="Q719" i="3"/>
  <c r="Q718" i="3"/>
  <c r="Q717" i="3"/>
  <c r="Q716" i="3"/>
  <c r="Q715" i="3"/>
  <c r="Q714" i="3"/>
  <c r="Q713" i="3"/>
  <c r="Q712" i="3"/>
  <c r="Q711" i="3"/>
  <c r="Q710" i="3"/>
  <c r="Q709" i="3"/>
  <c r="Q708" i="3"/>
  <c r="Q707" i="3"/>
  <c r="Q706" i="3"/>
  <c r="Q668" i="3"/>
  <c r="Q667" i="3"/>
  <c r="Q666" i="3"/>
  <c r="Q665" i="3"/>
  <c r="Q664" i="3"/>
  <c r="Q663" i="3"/>
  <c r="Q662" i="3"/>
  <c r="Q661" i="3"/>
  <c r="Q660" i="3"/>
  <c r="Q659" i="3"/>
  <c r="Q658" i="3"/>
  <c r="Q657" i="3"/>
  <c r="Q656" i="3"/>
  <c r="Q655" i="3"/>
  <c r="Q654" i="3"/>
  <c r="Q653" i="3"/>
  <c r="Q602" i="3"/>
  <c r="Q601" i="3"/>
  <c r="Q600" i="3"/>
  <c r="Q599" i="3"/>
  <c r="Q598" i="3"/>
  <c r="Q597" i="3"/>
  <c r="Q596" i="3"/>
  <c r="Q595" i="3"/>
  <c r="Q594" i="3"/>
  <c r="Q593" i="3"/>
  <c r="Q592" i="3"/>
  <c r="Q591" i="3"/>
  <c r="Q590" i="3"/>
  <c r="Q589" i="3"/>
  <c r="Q588" i="3"/>
  <c r="Q587" i="3"/>
  <c r="Q586" i="3"/>
  <c r="Q525" i="3"/>
  <c r="Q524" i="3"/>
  <c r="Q523" i="3"/>
  <c r="Q522" i="3"/>
  <c r="Q521" i="3"/>
  <c r="Q520" i="3"/>
  <c r="Q519" i="3"/>
  <c r="Q518" i="3"/>
  <c r="Q517" i="3"/>
  <c r="Q516" i="3"/>
  <c r="Q515" i="3"/>
  <c r="Q514" i="3"/>
  <c r="Q513" i="3"/>
  <c r="Q512" i="3"/>
  <c r="Q511" i="3"/>
  <c r="Q342" i="3"/>
  <c r="Q341" i="3"/>
  <c r="Q340" i="3"/>
  <c r="Q339" i="3"/>
  <c r="Q338" i="3"/>
  <c r="Q337" i="3"/>
  <c r="Q336" i="3"/>
  <c r="Q335" i="3"/>
  <c r="Q334" i="3"/>
  <c r="Q333" i="3"/>
  <c r="Q332" i="3"/>
  <c r="Q331" i="3"/>
  <c r="Q330" i="3"/>
  <c r="Q329" i="3"/>
  <c r="Q303" i="3"/>
  <c r="Q302" i="3"/>
  <c r="Q301" i="3"/>
  <c r="Q274" i="3"/>
  <c r="Q273" i="3"/>
  <c r="Q272" i="3"/>
  <c r="Q271" i="3"/>
  <c r="Q188" i="3"/>
  <c r="Q187" i="3"/>
  <c r="Q186" i="3"/>
  <c r="Q185" i="3"/>
  <c r="Q184" i="3"/>
  <c r="Q183" i="3"/>
  <c r="Q182" i="3"/>
  <c r="Q161" i="3"/>
  <c r="Q160" i="3"/>
  <c r="Q159" i="3"/>
  <c r="Q158" i="3"/>
  <c r="Q157" i="3"/>
  <c r="Q156" i="3"/>
  <c r="Q155" i="3"/>
  <c r="Q154" i="3"/>
  <c r="Q153" i="3"/>
  <c r="Q152" i="3"/>
  <c r="Q151" i="3"/>
  <c r="Q150" i="3"/>
  <c r="Q149" i="3"/>
  <c r="Q148" i="3"/>
  <c r="Q147" i="3"/>
  <c r="Q146" i="3"/>
  <c r="Q145" i="3"/>
  <c r="Q144" i="3"/>
  <c r="Q143" i="3"/>
  <c r="Q142" i="3"/>
  <c r="Q141" i="3"/>
  <c r="Q117" i="3"/>
  <c r="Q116" i="3"/>
  <c r="Q115" i="3"/>
  <c r="Q114" i="3"/>
  <c r="Q113" i="3"/>
  <c r="Q112" i="3"/>
  <c r="Q111" i="3"/>
  <c r="Q110" i="3"/>
  <c r="Q85" i="3"/>
  <c r="Q84" i="3"/>
  <c r="Q83" i="3"/>
  <c r="Q55" i="3"/>
  <c r="Q54" i="3"/>
  <c r="Q1497" i="3"/>
  <c r="Q1496" i="3"/>
  <c r="Q1495" i="3"/>
  <c r="Q1494" i="3"/>
  <c r="Q1493" i="3"/>
  <c r="Q1458" i="3"/>
  <c r="Q1457" i="3"/>
  <c r="Q1456" i="3"/>
  <c r="Q1455" i="3"/>
  <c r="Q1454" i="3"/>
  <c r="Q1453" i="3"/>
  <c r="Q1408" i="3"/>
  <c r="Q1407" i="3"/>
  <c r="Q1406" i="3"/>
  <c r="Q1405" i="3"/>
  <c r="Q1404" i="3"/>
  <c r="Q1403" i="3"/>
  <c r="Q1402" i="3"/>
  <c r="Q1401" i="3"/>
  <c r="Q1400" i="3"/>
  <c r="Q1348" i="3"/>
  <c r="Q1347" i="3"/>
  <c r="Q1346" i="3"/>
  <c r="Q1345" i="3"/>
  <c r="Q1344" i="3"/>
  <c r="Q1343" i="3"/>
  <c r="Q1318" i="3"/>
  <c r="Q1317" i="3"/>
  <c r="Q1316" i="3"/>
  <c r="Q1315" i="3"/>
  <c r="Q1314" i="3"/>
  <c r="Q1285" i="3"/>
  <c r="Q1284" i="3"/>
  <c r="Q1283" i="3"/>
  <c r="Q1282" i="3"/>
  <c r="Q1281" i="3"/>
  <c r="Q1280" i="3"/>
  <c r="Q1250" i="3"/>
  <c r="Q1233" i="3"/>
  <c r="Q1232" i="3"/>
  <c r="Q1231" i="3"/>
  <c r="Q1230" i="3"/>
  <c r="Q1229" i="3"/>
  <c r="Q1228" i="3"/>
  <c r="Q1227" i="3"/>
  <c r="Q1204" i="3"/>
  <c r="Q1203" i="3"/>
  <c r="Q1202" i="3"/>
  <c r="Q1201" i="3"/>
  <c r="Q1200" i="3"/>
  <c r="Q1199" i="3"/>
  <c r="Q1198" i="3"/>
  <c r="Q1197" i="3"/>
  <c r="Q1196" i="3"/>
  <c r="Q1170" i="3"/>
  <c r="Q1169" i="3"/>
  <c r="Q1168" i="3"/>
  <c r="Q1167" i="3"/>
  <c r="Q1166" i="3"/>
  <c r="Q1165" i="3"/>
  <c r="Q1033" i="3"/>
  <c r="Q1032" i="3"/>
  <c r="Q1031" i="3"/>
  <c r="Q1030" i="3"/>
  <c r="Q1029" i="3"/>
  <c r="Q1028" i="3"/>
  <c r="Q1027" i="3"/>
  <c r="Q1026" i="3"/>
  <c r="Q1025" i="3"/>
  <c r="Q1024" i="3"/>
  <c r="Q1023" i="3"/>
  <c r="Q1022" i="3"/>
  <c r="Q1021" i="3"/>
  <c r="Q1020" i="3"/>
  <c r="Q1019" i="3"/>
  <c r="Q1018" i="3"/>
  <c r="Q1017" i="3"/>
  <c r="Q1016" i="3"/>
  <c r="Q1015" i="3"/>
  <c r="Q975" i="3"/>
  <c r="Q974" i="3"/>
  <c r="Q973" i="3"/>
  <c r="Q972" i="3"/>
  <c r="Q971" i="3"/>
  <c r="Q970" i="3"/>
  <c r="Q969" i="3"/>
  <c r="Q968" i="3"/>
  <c r="Q967" i="3"/>
  <c r="Q966" i="3"/>
  <c r="Q965" i="3"/>
  <c r="Q964" i="3"/>
  <c r="Q963" i="3"/>
  <c r="Q962" i="3"/>
  <c r="Q961" i="3"/>
  <c r="Q960" i="3"/>
  <c r="Q959" i="3"/>
  <c r="Q958" i="3"/>
  <c r="Q957" i="3"/>
  <c r="Q956" i="3"/>
  <c r="Q901" i="3"/>
  <c r="Q900" i="3"/>
  <c r="Q899" i="3"/>
  <c r="Q898" i="3"/>
  <c r="Q897" i="3"/>
  <c r="Q896" i="3"/>
  <c r="Q895" i="3"/>
  <c r="Q894" i="3"/>
  <c r="Q893" i="3"/>
  <c r="Q892" i="3"/>
  <c r="Q891" i="3"/>
  <c r="Q890" i="3"/>
  <c r="Q889" i="3"/>
  <c r="Q888" i="3"/>
  <c r="Q887" i="3"/>
  <c r="Q886" i="3"/>
  <c r="Q885" i="3"/>
  <c r="Q884" i="3"/>
  <c r="Q883" i="3"/>
  <c r="Q882" i="3"/>
  <c r="Q827" i="3"/>
  <c r="Q826" i="3"/>
  <c r="Q825" i="3"/>
  <c r="Q824" i="3"/>
  <c r="Q823" i="3"/>
  <c r="Q822" i="3"/>
  <c r="Q821" i="3"/>
  <c r="Q820" i="3"/>
  <c r="Q819" i="3"/>
  <c r="Q818" i="3"/>
  <c r="Q817" i="3"/>
  <c r="Q816" i="3"/>
  <c r="Q815" i="3"/>
  <c r="Q814" i="3"/>
  <c r="Q813" i="3"/>
  <c r="Q812" i="3"/>
  <c r="Q811" i="3"/>
  <c r="Q753" i="3"/>
  <c r="Q752" i="3"/>
  <c r="Q751" i="3"/>
  <c r="Q750" i="3"/>
  <c r="Q749" i="3"/>
  <c r="Q748" i="3"/>
  <c r="Q747" i="3"/>
  <c r="Q746" i="3"/>
  <c r="Q745" i="3"/>
  <c r="Q744" i="3"/>
  <c r="Q743" i="3"/>
  <c r="Q742" i="3"/>
  <c r="Q741" i="3"/>
  <c r="Q740" i="3"/>
  <c r="Q705" i="3"/>
  <c r="Q704" i="3"/>
  <c r="Q703" i="3"/>
  <c r="Q702" i="3"/>
  <c r="Q701" i="3"/>
  <c r="Q700" i="3"/>
  <c r="Q699" i="3"/>
  <c r="Q698" i="3"/>
  <c r="Q697" i="3"/>
  <c r="Q696" i="3"/>
  <c r="Q695" i="3"/>
  <c r="Q694" i="3"/>
  <c r="Q693" i="3"/>
  <c r="Q692" i="3"/>
  <c r="Q691" i="3"/>
  <c r="Q690" i="3"/>
  <c r="Q689" i="3"/>
  <c r="Q652" i="3"/>
  <c r="Q651" i="3"/>
  <c r="Q650" i="3"/>
  <c r="Q649" i="3"/>
  <c r="Q648" i="3"/>
  <c r="Q647" i="3"/>
  <c r="Q646" i="3"/>
  <c r="Q645" i="3"/>
  <c r="Q644" i="3"/>
  <c r="Q643" i="3"/>
  <c r="Q642" i="3"/>
  <c r="Q641" i="3"/>
  <c r="Q640" i="3"/>
  <c r="Q639" i="3"/>
  <c r="Q638" i="3"/>
  <c r="Q637" i="3"/>
  <c r="Q636" i="3"/>
  <c r="Q585" i="3"/>
  <c r="Q584" i="3"/>
  <c r="Q583" i="3"/>
  <c r="Q582" i="3"/>
  <c r="Q581" i="3"/>
  <c r="Q580" i="3"/>
  <c r="Q579" i="3"/>
  <c r="Q578" i="3"/>
  <c r="Q577" i="3"/>
  <c r="Q576" i="3"/>
  <c r="Q575" i="3"/>
  <c r="Q574" i="3"/>
  <c r="Q573" i="3"/>
  <c r="Q572" i="3"/>
  <c r="Q571" i="3"/>
  <c r="Q570" i="3"/>
  <c r="Q569" i="3"/>
  <c r="Q568" i="3"/>
  <c r="Q567" i="3"/>
  <c r="Q566" i="3"/>
  <c r="Q565" i="3"/>
  <c r="Q510" i="3"/>
  <c r="Q509" i="3"/>
  <c r="Q508" i="3"/>
  <c r="Q507" i="3"/>
  <c r="Q506" i="3"/>
  <c r="Q505" i="3"/>
  <c r="Q504" i="3"/>
  <c r="Q503" i="3"/>
  <c r="Q502" i="3"/>
  <c r="Q501" i="3"/>
  <c r="Q500" i="3"/>
  <c r="Q499" i="3"/>
  <c r="Q498" i="3"/>
  <c r="Q497" i="3"/>
  <c r="Q496" i="3"/>
  <c r="Q495" i="3"/>
  <c r="Q494" i="3"/>
  <c r="Q493" i="3"/>
  <c r="Q492" i="3"/>
  <c r="Q491" i="3"/>
  <c r="Q473" i="3"/>
  <c r="Q472" i="3"/>
  <c r="Q328" i="3"/>
  <c r="Q327" i="3"/>
  <c r="Q326" i="3"/>
  <c r="Q325" i="3"/>
  <c r="Q324" i="3"/>
  <c r="Q323" i="3"/>
  <c r="Q322" i="3"/>
  <c r="Q321" i="3"/>
  <c r="Q320" i="3"/>
  <c r="Q319" i="3"/>
  <c r="Q318" i="3"/>
  <c r="Q317" i="3"/>
  <c r="Q316" i="3"/>
  <c r="Q315" i="3"/>
  <c r="Q300" i="3"/>
  <c r="Q299" i="3"/>
  <c r="Q298" i="3"/>
  <c r="Q297" i="3"/>
  <c r="Q270" i="3"/>
  <c r="Q269" i="3"/>
  <c r="Q268" i="3"/>
  <c r="Q251" i="3"/>
  <c r="Q250" i="3"/>
  <c r="Q236" i="3"/>
  <c r="Q235" i="3"/>
  <c r="Q234" i="3"/>
  <c r="Q140" i="3"/>
  <c r="Q139" i="3"/>
  <c r="Q138" i="3"/>
  <c r="Q137" i="3"/>
  <c r="Q136" i="3"/>
  <c r="Q135" i="3"/>
  <c r="Q134" i="3"/>
  <c r="Q133" i="3"/>
  <c r="Q132" i="3"/>
  <c r="Q109" i="3"/>
  <c r="Q108" i="3"/>
  <c r="Q107" i="3"/>
  <c r="Q106" i="3"/>
  <c r="Q105" i="3"/>
  <c r="Q104" i="3"/>
  <c r="Q103" i="3"/>
  <c r="Q102" i="3"/>
  <c r="Q101" i="3"/>
  <c r="Q100" i="3"/>
  <c r="Q99" i="3"/>
  <c r="Q82" i="3"/>
  <c r="Q81" i="3"/>
  <c r="Q80" i="3"/>
  <c r="Q79" i="3"/>
  <c r="Q78" i="3"/>
  <c r="Q77" i="3"/>
  <c r="Q76" i="3"/>
  <c r="Q75" i="3"/>
  <c r="Q53" i="3"/>
  <c r="Q52" i="3"/>
  <c r="Q51" i="3"/>
  <c r="Q13" i="3"/>
  <c r="Q1492" i="3"/>
  <c r="Q1491" i="3"/>
  <c r="Q1490" i="3"/>
  <c r="Q1489" i="3"/>
  <c r="Q1488" i="3"/>
  <c r="Q1487" i="3"/>
  <c r="Q1486" i="3"/>
  <c r="Q1485" i="3"/>
  <c r="Q1484" i="3"/>
  <c r="Q1483" i="3"/>
  <c r="Q1452" i="3"/>
  <c r="Q1451" i="3"/>
  <c r="Q1450" i="3"/>
  <c r="Q1449" i="3"/>
  <c r="Q1448" i="3"/>
  <c r="Q1447" i="3"/>
  <c r="Q1446" i="3"/>
  <c r="Q1445" i="3"/>
  <c r="Q1444" i="3"/>
  <c r="Q1443" i="3"/>
  <c r="Q1442" i="3"/>
  <c r="Q1399" i="3"/>
  <c r="Q1398" i="3"/>
  <c r="Q1397" i="3"/>
  <c r="Q1396" i="3"/>
  <c r="Q1395" i="3"/>
  <c r="Q1394" i="3"/>
  <c r="Q1393" i="3"/>
  <c r="Q1392" i="3"/>
  <c r="Q1391" i="3"/>
  <c r="Q1390" i="3"/>
  <c r="Q1389" i="3"/>
  <c r="Q1388" i="3"/>
  <c r="Q1387" i="3"/>
  <c r="Q1386" i="3"/>
  <c r="Q1385" i="3"/>
  <c r="Q1384" i="3"/>
  <c r="Q1383" i="3"/>
  <c r="Q1382" i="3"/>
  <c r="Q1381" i="3"/>
  <c r="Q1342" i="3"/>
  <c r="Q1341" i="3"/>
  <c r="Q1340" i="3"/>
  <c r="Q1339" i="3"/>
  <c r="Q1338" i="3"/>
  <c r="Q1337" i="3"/>
  <c r="Q1313" i="3"/>
  <c r="Q1312" i="3"/>
  <c r="Q1311" i="3"/>
  <c r="Q1310" i="3"/>
  <c r="Q1309" i="3"/>
  <c r="Q1308" i="3"/>
  <c r="Q1307" i="3"/>
  <c r="Q1279" i="3"/>
  <c r="Q1278" i="3"/>
  <c r="Q1277" i="3"/>
  <c r="Q1276" i="3"/>
  <c r="Q1275" i="3"/>
  <c r="Q1274" i="3"/>
  <c r="Q1273" i="3"/>
  <c r="Q1272" i="3"/>
  <c r="Q1271" i="3"/>
  <c r="Q1249" i="3"/>
  <c r="Q1248" i="3"/>
  <c r="Q1247" i="3"/>
  <c r="Q1246" i="3"/>
  <c r="Q1245" i="3"/>
  <c r="Q1244" i="3"/>
  <c r="Q1243" i="3"/>
  <c r="Q1226" i="3"/>
  <c r="Q1225" i="3"/>
  <c r="Q1224" i="3"/>
  <c r="Q1223" i="3"/>
  <c r="Q1222" i="3"/>
  <c r="Q1221" i="3"/>
  <c r="Q1220" i="3"/>
  <c r="Q1219" i="3"/>
  <c r="Q1218" i="3"/>
  <c r="Q1195" i="3"/>
  <c r="Q1194" i="3"/>
  <c r="Q1193" i="3"/>
  <c r="Q1192" i="3"/>
  <c r="Q1191" i="3"/>
  <c r="Q1190" i="3"/>
  <c r="Q1189" i="3"/>
  <c r="Q1164" i="3"/>
  <c r="Q1163" i="3"/>
  <c r="Q1162" i="3"/>
  <c r="Q1161" i="3"/>
  <c r="Q1160" i="3"/>
  <c r="Q1159" i="3"/>
  <c r="Q1158" i="3"/>
  <c r="Q1157" i="3"/>
  <c r="Q1156" i="3"/>
  <c r="Q1139" i="3"/>
  <c r="Q1138" i="3"/>
  <c r="Q1137" i="3"/>
  <c r="Q1136" i="3"/>
  <c r="Q1119" i="3"/>
  <c r="Q1118" i="3"/>
  <c r="Q1117" i="3"/>
  <c r="Q1116" i="3"/>
  <c r="Q1115" i="3"/>
  <c r="Q1114" i="3"/>
  <c r="Q1113" i="3"/>
  <c r="Q1112" i="3"/>
  <c r="Q1111" i="3"/>
  <c r="Q1110" i="3"/>
  <c r="Q1109" i="3"/>
  <c r="Q1108" i="3"/>
  <c r="Q1107" i="3"/>
  <c r="Q1080" i="3"/>
  <c r="Q1079" i="3"/>
  <c r="Q1078" i="3"/>
  <c r="Q1077" i="3"/>
  <c r="Q1076" i="3"/>
  <c r="Q1075" i="3"/>
  <c r="Q1067" i="3"/>
  <c r="Q1066" i="3"/>
  <c r="Q1065" i="3"/>
  <c r="Q1064" i="3"/>
  <c r="Q1063" i="3"/>
  <c r="Q1062" i="3"/>
  <c r="Q1061" i="3"/>
  <c r="Q1060" i="3"/>
  <c r="Q1014" i="3"/>
  <c r="Q1013" i="3"/>
  <c r="Q1012" i="3"/>
  <c r="Q1011" i="3"/>
  <c r="Q1010" i="3"/>
  <c r="Q1009" i="3"/>
  <c r="Q1008" i="3"/>
  <c r="Q1007" i="3"/>
  <c r="Q1006" i="3"/>
  <c r="Q1005" i="3"/>
  <c r="Q1004" i="3"/>
  <c r="Q1003" i="3"/>
  <c r="Q1002" i="3"/>
  <c r="Q1001" i="3"/>
  <c r="Q1000" i="3"/>
  <c r="Q999" i="3"/>
  <c r="Q998" i="3"/>
  <c r="Q997" i="3"/>
  <c r="Q996" i="3"/>
  <c r="Q995" i="3"/>
  <c r="Q994" i="3"/>
  <c r="Q993" i="3"/>
  <c r="Q992" i="3"/>
  <c r="Q991" i="3"/>
  <c r="Q990" i="3"/>
  <c r="Q955" i="3"/>
  <c r="Q954" i="3"/>
  <c r="Q953" i="3"/>
  <c r="Q952" i="3"/>
  <c r="Q951" i="3"/>
  <c r="Q950" i="3"/>
  <c r="Q949" i="3"/>
  <c r="Q948" i="3"/>
  <c r="Q947" i="3"/>
  <c r="Q946" i="3"/>
  <c r="Q945" i="3"/>
  <c r="Q944" i="3"/>
  <c r="Q943" i="3"/>
  <c r="Q942" i="3"/>
  <c r="Q941" i="3"/>
  <c r="Q940" i="3"/>
  <c r="Q939" i="3"/>
  <c r="Q938" i="3"/>
  <c r="Q937" i="3"/>
  <c r="Q881" i="3"/>
  <c r="Q880" i="3"/>
  <c r="Q879" i="3"/>
  <c r="Q878" i="3"/>
  <c r="Q877" i="3"/>
  <c r="Q876" i="3"/>
  <c r="Q875" i="3"/>
  <c r="Q874" i="3"/>
  <c r="Q873" i="3"/>
  <c r="Q872" i="3"/>
  <c r="Q871" i="3"/>
  <c r="Q870" i="3"/>
  <c r="Q869" i="3"/>
  <c r="Q868" i="3"/>
  <c r="Q867" i="3"/>
  <c r="Q866" i="3"/>
  <c r="Q865" i="3"/>
  <c r="Q864" i="3"/>
  <c r="Q863" i="3"/>
  <c r="Q862" i="3"/>
  <c r="Q739" i="3"/>
  <c r="Q738" i="3"/>
  <c r="Q737" i="3"/>
  <c r="Q736" i="3"/>
  <c r="Q735" i="3"/>
  <c r="Q734" i="3"/>
  <c r="Q733" i="3"/>
  <c r="Q732" i="3"/>
  <c r="Q731" i="3"/>
  <c r="Q730" i="3"/>
  <c r="Q729" i="3"/>
  <c r="Q728" i="3"/>
  <c r="Q727" i="3"/>
  <c r="Q726" i="3"/>
  <c r="Q725" i="3"/>
  <c r="Q724" i="3"/>
  <c r="Q723" i="3"/>
  <c r="Q722" i="3"/>
  <c r="Q721" i="3"/>
  <c r="Q720" i="3"/>
  <c r="Q688" i="3"/>
  <c r="Q687" i="3"/>
  <c r="Q686" i="3"/>
  <c r="Q685" i="3"/>
  <c r="Q684" i="3"/>
  <c r="Q683" i="3"/>
  <c r="Q682" i="3"/>
  <c r="Q681" i="3"/>
  <c r="Q680" i="3"/>
  <c r="Q679" i="3"/>
  <c r="Q678" i="3"/>
  <c r="Q677" i="3"/>
  <c r="Q676" i="3"/>
  <c r="Q675" i="3"/>
  <c r="Q635" i="3"/>
  <c r="Q634" i="3"/>
  <c r="Q633" i="3"/>
  <c r="Q632" i="3"/>
  <c r="Q631" i="3"/>
  <c r="Q630" i="3"/>
  <c r="Q629" i="3"/>
  <c r="Q628" i="3"/>
  <c r="Q627" i="3"/>
  <c r="Q626" i="3"/>
  <c r="Q625" i="3"/>
  <c r="Q624" i="3"/>
  <c r="Q623" i="3"/>
  <c r="Q622" i="3"/>
  <c r="Q621" i="3"/>
  <c r="Q620" i="3"/>
  <c r="Q619" i="3"/>
  <c r="Q618" i="3"/>
  <c r="Q617" i="3"/>
  <c r="Q616" i="3"/>
  <c r="Q615" i="3"/>
  <c r="Q614" i="3"/>
  <c r="Q564" i="3"/>
  <c r="Q563" i="3"/>
  <c r="Q562" i="3"/>
  <c r="Q561" i="3"/>
  <c r="Q560" i="3"/>
  <c r="Q559" i="3"/>
  <c r="Q558" i="3"/>
  <c r="Q557" i="3"/>
  <c r="Q556" i="3"/>
  <c r="Q555" i="3"/>
  <c r="Q554" i="3"/>
  <c r="Q553" i="3"/>
  <c r="Q552" i="3"/>
  <c r="Q551" i="3"/>
  <c r="Q550" i="3"/>
  <c r="Q549" i="3"/>
  <c r="Q548" i="3"/>
  <c r="Q547" i="3"/>
  <c r="Q546" i="3"/>
  <c r="Q545" i="3"/>
  <c r="Q544" i="3"/>
  <c r="Q543" i="3"/>
  <c r="Q542" i="3"/>
  <c r="Q490" i="3"/>
  <c r="Q489" i="3"/>
  <c r="Q488" i="3"/>
  <c r="Q487" i="3"/>
  <c r="Q486" i="3"/>
  <c r="Q485" i="3"/>
  <c r="Q484" i="3"/>
  <c r="Q483" i="3"/>
  <c r="Q482" i="3"/>
  <c r="Q481" i="3"/>
  <c r="Q480" i="3"/>
  <c r="Q479" i="3"/>
  <c r="Q478" i="3"/>
  <c r="Q477" i="3"/>
  <c r="Q476" i="3"/>
  <c r="Q475" i="3"/>
  <c r="Q474" i="3"/>
  <c r="Q471" i="3"/>
  <c r="Q470" i="3"/>
  <c r="Q469" i="3"/>
  <c r="Q468" i="3"/>
  <c r="Q314" i="3"/>
  <c r="Q313" i="3"/>
  <c r="Q312" i="3"/>
  <c r="Q311" i="3"/>
  <c r="Q310" i="3"/>
  <c r="Q309" i="3"/>
  <c r="Q308" i="3"/>
  <c r="Q307" i="3"/>
  <c r="Q306" i="3"/>
  <c r="Q305" i="3"/>
  <c r="Q304" i="3"/>
  <c r="Q296" i="3"/>
  <c r="Q295" i="3"/>
  <c r="Q294" i="3"/>
  <c r="Q293" i="3"/>
  <c r="Q292" i="3"/>
  <c r="Q291" i="3"/>
  <c r="Q290" i="3"/>
  <c r="Q289" i="3"/>
  <c r="Q267" i="3"/>
  <c r="Q266" i="3"/>
  <c r="Q265" i="3"/>
  <c r="Q264" i="3"/>
  <c r="Q263" i="3"/>
  <c r="Q249" i="3"/>
  <c r="Q248" i="3"/>
  <c r="Q247" i="3"/>
  <c r="Q246" i="3"/>
  <c r="Q233" i="3"/>
  <c r="Q232" i="3"/>
  <c r="Q231" i="3"/>
  <c r="Q230" i="3"/>
  <c r="Q229" i="3"/>
  <c r="Q131" i="3"/>
  <c r="Q130" i="3"/>
  <c r="Q129" i="3"/>
  <c r="Q128" i="3"/>
  <c r="Q127" i="3"/>
  <c r="Q126" i="3"/>
  <c r="Q125" i="3"/>
  <c r="Q124" i="3"/>
  <c r="Q123" i="3"/>
  <c r="Q122" i="3"/>
  <c r="Q121" i="3"/>
  <c r="Q120" i="3"/>
  <c r="Q119" i="3"/>
  <c r="Q118" i="3"/>
  <c r="Q98" i="3"/>
  <c r="Q97" i="3"/>
  <c r="Q96" i="3"/>
  <c r="Q95" i="3"/>
  <c r="Q94" i="3"/>
  <c r="Q93" i="3"/>
  <c r="Q92" i="3"/>
  <c r="Q91" i="3"/>
  <c r="Q90" i="3"/>
  <c r="Q89" i="3"/>
  <c r="Q88" i="3"/>
  <c r="Q87" i="3"/>
  <c r="Q86" i="3"/>
  <c r="Q74" i="3"/>
  <c r="Q73" i="3"/>
  <c r="Q72" i="3"/>
  <c r="Q71" i="3"/>
  <c r="Q70" i="3"/>
  <c r="Q69" i="3"/>
  <c r="Q68" i="3"/>
  <c r="Q67" i="3"/>
  <c r="Q50" i="3"/>
  <c r="Q49" i="3"/>
  <c r="Q48" i="3"/>
  <c r="Q47" i="3"/>
  <c r="Q46" i="3"/>
  <c r="Q45" i="3"/>
  <c r="Q44" i="3"/>
  <c r="Q43" i="3"/>
  <c r="Q33" i="3"/>
  <c r="Q32" i="3"/>
  <c r="Q31" i="3"/>
  <c r="Q30" i="3"/>
  <c r="Q29" i="3"/>
  <c r="Q12" i="3"/>
  <c r="Q11" i="3"/>
  <c r="Q10" i="3"/>
  <c r="Q9" i="3"/>
  <c r="Q5" i="3"/>
  <c r="Q1482" i="3"/>
  <c r="Q1481" i="3"/>
  <c r="Q1480" i="3"/>
  <c r="Q1479" i="3"/>
  <c r="Q1478" i="3"/>
  <c r="Q1477" i="3"/>
  <c r="Q1476" i="3"/>
  <c r="Q1475" i="3"/>
  <c r="Q1474" i="3"/>
  <c r="Q1473" i="3"/>
  <c r="Q1472" i="3"/>
  <c r="Q1471" i="3"/>
  <c r="Q1470" i="3"/>
  <c r="Q1469" i="3"/>
  <c r="Q1468" i="3"/>
  <c r="Q1467" i="3"/>
  <c r="Q1466" i="3"/>
  <c r="Q1465" i="3"/>
  <c r="Q1464" i="3"/>
  <c r="Q1463" i="3"/>
  <c r="Q1441" i="3"/>
  <c r="Q1440" i="3"/>
  <c r="Q1439" i="3"/>
  <c r="Q1438" i="3"/>
  <c r="Q1437" i="3"/>
  <c r="Q1436" i="3"/>
  <c r="Q1435" i="3"/>
  <c r="Q1434" i="3"/>
  <c r="Q1433" i="3"/>
  <c r="Q1432" i="3"/>
  <c r="Q1431" i="3"/>
  <c r="Q1430" i="3"/>
  <c r="Q1429" i="3"/>
  <c r="Q1428" i="3"/>
  <c r="Q1427" i="3"/>
  <c r="Q1426" i="3"/>
  <c r="Q1425" i="3"/>
  <c r="Q1424" i="3"/>
  <c r="Q1423" i="3"/>
  <c r="Q1422" i="3"/>
  <c r="Q1421" i="3"/>
  <c r="Q1420" i="3"/>
  <c r="Q1419" i="3"/>
  <c r="Q1418" i="3"/>
  <c r="Q1417" i="3"/>
  <c r="Q1416" i="3"/>
  <c r="Q1415" i="3"/>
  <c r="Q1414" i="3"/>
  <c r="Q1413" i="3"/>
  <c r="Q1412" i="3"/>
  <c r="Q1380" i="3"/>
  <c r="Q1379" i="3"/>
  <c r="Q1378" i="3"/>
  <c r="Q1377" i="3"/>
  <c r="Q1376" i="3"/>
  <c r="Q1375" i="3"/>
  <c r="Q1374" i="3"/>
  <c r="Q1373" i="3"/>
  <c r="Q1372" i="3"/>
  <c r="Q1371" i="3"/>
  <c r="Q1370" i="3"/>
  <c r="Q1369" i="3"/>
  <c r="Q1368" i="3"/>
  <c r="Q1367" i="3"/>
  <c r="Q1366" i="3"/>
  <c r="Q1365" i="3"/>
  <c r="Q1364" i="3"/>
  <c r="Q1363" i="3"/>
  <c r="Q1362" i="3"/>
  <c r="Q1361" i="3"/>
  <c r="Q1360" i="3"/>
  <c r="Q1359" i="3"/>
  <c r="Q1358" i="3"/>
  <c r="Q1357" i="3"/>
  <c r="Q1356" i="3"/>
  <c r="Q1355" i="3"/>
  <c r="Q1354" i="3"/>
  <c r="Q1353" i="3"/>
  <c r="Q1352" i="3"/>
  <c r="Q1336" i="3"/>
  <c r="Q1335" i="3"/>
  <c r="Q1334" i="3"/>
  <c r="Q1333" i="3"/>
  <c r="Q1332" i="3"/>
  <c r="Q1331" i="3"/>
  <c r="Q1330" i="3"/>
  <c r="Q1329" i="3"/>
  <c r="Q1328" i="3"/>
  <c r="Q1327" i="3"/>
  <c r="Q1326" i="3"/>
  <c r="Q1306" i="3"/>
  <c r="Q1305" i="3"/>
  <c r="Q1304" i="3"/>
  <c r="Q1303" i="3"/>
  <c r="Q1302" i="3"/>
  <c r="Q1301" i="3"/>
  <c r="Q1300" i="3"/>
  <c r="Q1299" i="3"/>
  <c r="Q1298" i="3"/>
  <c r="Q1297" i="3"/>
  <c r="Q1296" i="3"/>
  <c r="Q1295" i="3"/>
  <c r="Q1294" i="3"/>
  <c r="Q1293" i="3"/>
  <c r="Q1292" i="3"/>
  <c r="Q1291" i="3"/>
  <c r="Q1290" i="3"/>
  <c r="Q1289" i="3"/>
  <c r="Q1288" i="3"/>
  <c r="Q1287" i="3"/>
  <c r="Q1286" i="3"/>
  <c r="Q1270" i="3"/>
  <c r="Q1269" i="3"/>
  <c r="Q1268" i="3"/>
  <c r="Q1267" i="3"/>
  <c r="Q1266" i="3"/>
  <c r="Q1265" i="3"/>
  <c r="Q1264" i="3"/>
  <c r="Q1263" i="3"/>
  <c r="Q1262" i="3"/>
  <c r="Q1261" i="3"/>
  <c r="Q1260" i="3"/>
  <c r="Q1259" i="3"/>
  <c r="Q1258" i="3"/>
  <c r="Q1257" i="3"/>
  <c r="Q1256" i="3"/>
  <c r="Q1255" i="3"/>
  <c r="Q1254" i="3"/>
  <c r="Q1253" i="3"/>
  <c r="Q1252" i="3"/>
  <c r="Q1251" i="3"/>
  <c r="Q1242" i="3"/>
  <c r="Q1241" i="3"/>
  <c r="Q1240" i="3"/>
  <c r="Q1239" i="3"/>
  <c r="Q1238" i="3"/>
  <c r="Q1237" i="3"/>
  <c r="Q1236" i="3"/>
  <c r="Q1235" i="3"/>
  <c r="Q1217" i="3"/>
  <c r="Q1216" i="3"/>
  <c r="Q1215" i="3"/>
  <c r="Q1214" i="3"/>
  <c r="Q1213" i="3"/>
  <c r="Q1212" i="3"/>
  <c r="Q1188" i="3"/>
  <c r="Q1187" i="3"/>
  <c r="Q1186" i="3"/>
  <c r="Q1185" i="3"/>
  <c r="Q1184" i="3"/>
  <c r="Q1183" i="3"/>
  <c r="Q1182" i="3"/>
  <c r="Q1181" i="3"/>
  <c r="Q1180" i="3"/>
  <c r="Q1155" i="3"/>
  <c r="Q1154" i="3"/>
  <c r="Q1153" i="3"/>
  <c r="Q1152" i="3"/>
  <c r="Q1151" i="3"/>
  <c r="Q1150" i="3"/>
  <c r="Q1149" i="3"/>
  <c r="Q1148" i="3"/>
  <c r="Q1147" i="3"/>
  <c r="Q1146" i="3"/>
  <c r="Q1145" i="3"/>
  <c r="Q1144" i="3"/>
  <c r="Q1143" i="3"/>
  <c r="Q1142" i="3"/>
  <c r="Q1141" i="3"/>
  <c r="Q1140" i="3"/>
  <c r="Q1135" i="3"/>
  <c r="Q1134" i="3"/>
  <c r="Q1133" i="3"/>
  <c r="Q1132" i="3"/>
  <c r="Q1131" i="3"/>
  <c r="Q1130" i="3"/>
  <c r="Q1129" i="3"/>
  <c r="Q1128" i="3"/>
  <c r="Q1127" i="3"/>
  <c r="Q1106" i="3"/>
  <c r="Q1105" i="3"/>
  <c r="Q1104" i="3"/>
  <c r="Q1103" i="3"/>
  <c r="Q1102" i="3"/>
  <c r="Q1101" i="3"/>
  <c r="Q1100" i="3"/>
  <c r="Q1074" i="3"/>
  <c r="Q1073" i="3"/>
  <c r="Q1072" i="3"/>
  <c r="Q1071" i="3"/>
  <c r="Q1070" i="3"/>
  <c r="Q1069" i="3"/>
  <c r="Q1068" i="3"/>
  <c r="Q1059" i="3"/>
  <c r="Q1058" i="3"/>
  <c r="Q1057" i="3"/>
  <c r="Q1056" i="3"/>
  <c r="Q1055" i="3"/>
  <c r="Q1054" i="3"/>
  <c r="Q1053" i="3"/>
  <c r="Q1052" i="3"/>
  <c r="Q1051" i="3"/>
  <c r="Q1050" i="3"/>
  <c r="Q1049" i="3"/>
  <c r="Q1048" i="3"/>
  <c r="Q1047" i="3"/>
  <c r="Q467" i="3"/>
  <c r="Q466" i="3"/>
  <c r="Q465" i="3"/>
  <c r="Q464" i="3"/>
  <c r="Q463" i="3"/>
  <c r="Q462" i="3"/>
  <c r="Q461" i="3"/>
  <c r="Q460" i="3"/>
  <c r="Q459" i="3"/>
  <c r="Q458" i="3"/>
  <c r="Q457" i="3"/>
  <c r="Q456" i="3"/>
  <c r="Q455" i="3"/>
  <c r="Q454" i="3"/>
  <c r="Q453" i="3"/>
  <c r="Q452" i="3"/>
  <c r="Q451" i="3"/>
  <c r="Q450" i="3"/>
  <c r="Q449" i="3"/>
  <c r="Q448" i="3"/>
  <c r="Q447" i="3"/>
  <c r="Q446" i="3"/>
  <c r="Q445" i="3"/>
  <c r="Q444" i="3"/>
  <c r="Q443" i="3"/>
  <c r="Q442" i="3"/>
  <c r="Q441" i="3"/>
  <c r="Q440" i="3"/>
  <c r="Q439" i="3"/>
  <c r="Q438" i="3"/>
  <c r="Q437" i="3"/>
  <c r="Q436" i="3"/>
  <c r="Q435" i="3"/>
  <c r="Q434" i="3"/>
  <c r="Q405" i="3"/>
  <c r="Q404" i="3"/>
  <c r="Q403" i="3"/>
  <c r="Q402" i="3"/>
  <c r="Q401" i="3"/>
  <c r="Q400" i="3"/>
  <c r="Q399" i="3"/>
  <c r="Q398" i="3"/>
  <c r="Q397" i="3"/>
  <c r="Q396" i="3"/>
  <c r="Q395" i="3"/>
  <c r="Q369" i="3"/>
  <c r="Q368" i="3"/>
  <c r="Q367" i="3"/>
  <c r="Q366" i="3"/>
  <c r="Q365" i="3"/>
  <c r="Q288" i="3"/>
  <c r="Q287" i="3"/>
  <c r="Q286" i="3"/>
  <c r="Q285" i="3"/>
  <c r="Q284" i="3"/>
  <c r="Q283" i="3"/>
  <c r="Q282" i="3"/>
  <c r="Q281" i="3"/>
  <c r="Q280" i="3"/>
  <c r="Q279" i="3"/>
  <c r="Q278" i="3"/>
  <c r="Q277" i="3"/>
  <c r="Q276" i="3"/>
  <c r="Q275" i="3"/>
  <c r="Q262" i="3"/>
  <c r="Q261" i="3"/>
  <c r="Q260" i="3"/>
  <c r="Q259" i="3"/>
  <c r="Q258" i="3"/>
  <c r="Q257" i="3"/>
  <c r="Q256" i="3"/>
  <c r="Q255" i="3"/>
  <c r="Q254" i="3"/>
  <c r="Q253" i="3"/>
  <c r="Q252" i="3"/>
  <c r="Q245" i="3"/>
  <c r="Q244" i="3"/>
  <c r="Q243" i="3"/>
  <c r="Q242" i="3"/>
  <c r="Q241" i="3"/>
  <c r="Q240" i="3"/>
  <c r="Q239" i="3"/>
  <c r="Q238" i="3"/>
  <c r="Q237" i="3"/>
  <c r="Q228" i="3"/>
  <c r="Q227" i="3"/>
  <c r="Q226" i="3"/>
  <c r="Q66" i="3"/>
  <c r="Q65" i="3"/>
  <c r="Q64" i="3"/>
  <c r="Q63" i="3"/>
  <c r="Q62" i="3"/>
  <c r="Q61" i="3"/>
  <c r="Q60" i="3"/>
  <c r="Q59" i="3"/>
  <c r="Q58" i="3"/>
  <c r="Q57" i="3"/>
  <c r="Q56" i="3"/>
  <c r="Q42" i="3"/>
  <c r="Q41" i="3"/>
  <c r="Q40" i="3"/>
  <c r="Q39" i="3"/>
  <c r="Q38" i="3"/>
  <c r="Q37" i="3"/>
  <c r="Q36" i="3"/>
  <c r="Q35" i="3"/>
  <c r="Q34" i="3"/>
  <c r="Q28" i="3"/>
  <c r="Q27" i="3"/>
  <c r="Q26" i="3"/>
  <c r="Q25" i="3"/>
  <c r="Q24" i="3"/>
  <c r="Q23" i="3"/>
  <c r="Q22" i="3"/>
  <c r="Q21" i="3"/>
  <c r="Q20" i="3"/>
  <c r="Q19" i="3"/>
  <c r="Q8" i="3"/>
  <c r="Q7" i="3"/>
  <c r="Q6" i="3"/>
  <c r="Q4" i="3"/>
  <c r="Q3" i="3"/>
  <c r="M1502" i="3"/>
  <c r="M1501" i="3"/>
  <c r="M1500" i="3"/>
  <c r="M1499" i="3"/>
  <c r="M1498" i="3"/>
  <c r="M1497" i="3"/>
  <c r="M1496" i="3"/>
  <c r="M1495" i="3"/>
  <c r="M1494" i="3"/>
  <c r="M1493" i="3"/>
  <c r="M1492" i="3"/>
  <c r="M1491" i="3"/>
  <c r="M1490" i="3"/>
  <c r="M1489" i="3"/>
  <c r="M1488" i="3"/>
  <c r="M1487" i="3"/>
  <c r="M1486" i="3"/>
  <c r="M1485" i="3"/>
  <c r="M1484" i="3"/>
  <c r="M1483" i="3"/>
  <c r="M1482" i="3"/>
  <c r="M1481" i="3"/>
  <c r="M1480" i="3"/>
  <c r="M1479" i="3"/>
  <c r="M1478" i="3"/>
  <c r="M1477" i="3"/>
  <c r="M1476" i="3"/>
  <c r="M1475" i="3"/>
  <c r="M1474" i="3"/>
  <c r="M1473" i="3"/>
  <c r="M1472" i="3"/>
  <c r="M1471" i="3"/>
  <c r="M1470" i="3"/>
  <c r="M1469" i="3"/>
  <c r="M1468" i="3"/>
  <c r="M1467" i="3"/>
  <c r="M1466" i="3"/>
  <c r="O1466" i="3" s="1"/>
  <c r="M1465" i="3"/>
  <c r="M1464" i="3"/>
  <c r="M1463" i="3"/>
  <c r="M1462" i="3"/>
  <c r="M1461" i="3"/>
  <c r="M1460" i="3"/>
  <c r="M1459" i="3"/>
  <c r="M1458" i="3"/>
  <c r="M1457" i="3"/>
  <c r="M1456" i="3"/>
  <c r="M1455" i="3"/>
  <c r="M1454" i="3"/>
  <c r="M1453" i="3"/>
  <c r="M1452" i="3"/>
  <c r="M1451" i="3"/>
  <c r="M1450" i="3"/>
  <c r="M1449" i="3"/>
  <c r="M1448" i="3"/>
  <c r="M1447" i="3"/>
  <c r="M1446" i="3"/>
  <c r="M1445" i="3"/>
  <c r="M1444" i="3"/>
  <c r="M1443" i="3"/>
  <c r="M1442" i="3"/>
  <c r="M1441" i="3"/>
  <c r="M1440" i="3"/>
  <c r="M1439" i="3"/>
  <c r="M1438" i="3"/>
  <c r="M1437" i="3"/>
  <c r="M1436" i="3"/>
  <c r="M1435" i="3"/>
  <c r="M1434" i="3"/>
  <c r="M1433" i="3"/>
  <c r="M1432" i="3"/>
  <c r="M1431" i="3"/>
  <c r="M1430" i="3"/>
  <c r="M1429" i="3"/>
  <c r="M1428" i="3"/>
  <c r="M1427" i="3"/>
  <c r="M1426" i="3"/>
  <c r="M1425" i="3"/>
  <c r="M1424" i="3"/>
  <c r="M1423" i="3"/>
  <c r="M1422" i="3"/>
  <c r="M1421" i="3"/>
  <c r="M1420" i="3"/>
  <c r="M1419" i="3"/>
  <c r="M1418" i="3"/>
  <c r="M1417" i="3"/>
  <c r="M1416" i="3"/>
  <c r="M1415" i="3"/>
  <c r="M1414" i="3"/>
  <c r="M1413" i="3"/>
  <c r="M1412" i="3"/>
  <c r="M1411" i="3"/>
  <c r="M1410" i="3"/>
  <c r="M1409" i="3"/>
  <c r="M1408" i="3"/>
  <c r="M1407" i="3"/>
  <c r="M1406" i="3"/>
  <c r="M1405" i="3"/>
  <c r="M1404" i="3"/>
  <c r="M1403" i="3"/>
  <c r="M1402" i="3"/>
  <c r="M1401" i="3"/>
  <c r="M1400" i="3"/>
  <c r="M1399" i="3"/>
  <c r="M1398" i="3"/>
  <c r="M1397" i="3"/>
  <c r="M1396" i="3"/>
  <c r="M1395" i="3"/>
  <c r="M1394" i="3"/>
  <c r="M1393" i="3"/>
  <c r="M1392" i="3"/>
  <c r="M1391" i="3"/>
  <c r="M1390" i="3"/>
  <c r="M1389" i="3"/>
  <c r="M1388" i="3"/>
  <c r="M1387" i="3"/>
  <c r="M1386" i="3"/>
  <c r="M1385" i="3"/>
  <c r="M1384" i="3"/>
  <c r="M1383" i="3"/>
  <c r="M1382" i="3"/>
  <c r="M1381" i="3"/>
  <c r="M1380" i="3"/>
  <c r="M1379" i="3"/>
  <c r="M1378" i="3"/>
  <c r="M1377" i="3"/>
  <c r="M1376" i="3"/>
  <c r="M1375" i="3"/>
  <c r="M1374" i="3"/>
  <c r="M1373" i="3"/>
  <c r="M1372" i="3"/>
  <c r="M1371" i="3"/>
  <c r="M1370" i="3"/>
  <c r="M1369" i="3"/>
  <c r="M1368" i="3"/>
  <c r="M1367" i="3"/>
  <c r="M1366" i="3"/>
  <c r="M1365" i="3"/>
  <c r="M1364" i="3"/>
  <c r="M1363" i="3"/>
  <c r="M1362" i="3"/>
  <c r="M1361" i="3"/>
  <c r="M1360" i="3"/>
  <c r="M1359" i="3"/>
  <c r="M1358" i="3"/>
  <c r="M1357" i="3"/>
  <c r="M1356" i="3"/>
  <c r="M1355" i="3"/>
  <c r="M1354" i="3"/>
  <c r="M1353" i="3"/>
  <c r="M1352" i="3"/>
  <c r="M1351" i="3"/>
  <c r="M1350" i="3"/>
  <c r="M1349" i="3"/>
  <c r="M1348" i="3"/>
  <c r="M1347" i="3"/>
  <c r="M1346" i="3"/>
  <c r="M1345" i="3"/>
  <c r="M1344" i="3"/>
  <c r="M1343" i="3"/>
  <c r="M1342" i="3"/>
  <c r="M1341" i="3"/>
  <c r="M1340" i="3"/>
  <c r="M1339" i="3"/>
  <c r="M1338" i="3"/>
  <c r="M1337" i="3"/>
  <c r="M1336" i="3"/>
  <c r="M1335" i="3"/>
  <c r="M1334" i="3"/>
  <c r="M1333" i="3"/>
  <c r="M1332" i="3"/>
  <c r="M1331" i="3"/>
  <c r="M1330" i="3"/>
  <c r="M1329" i="3"/>
  <c r="M1328" i="3"/>
  <c r="M1327" i="3"/>
  <c r="M1326" i="3"/>
  <c r="M1325" i="3"/>
  <c r="M1324" i="3"/>
  <c r="M1323" i="3"/>
  <c r="M1322" i="3"/>
  <c r="M1321" i="3"/>
  <c r="M1320" i="3"/>
  <c r="M1319" i="3"/>
  <c r="M1318" i="3"/>
  <c r="M1317" i="3"/>
  <c r="M1316" i="3"/>
  <c r="M1315" i="3"/>
  <c r="M1314" i="3"/>
  <c r="M1313" i="3"/>
  <c r="M1312" i="3"/>
  <c r="M1311" i="3"/>
  <c r="M1310" i="3"/>
  <c r="M1309" i="3"/>
  <c r="M1308" i="3"/>
  <c r="M1307" i="3"/>
  <c r="M1306" i="3"/>
  <c r="M1305" i="3"/>
  <c r="M1304" i="3"/>
  <c r="M1303" i="3"/>
  <c r="M1302" i="3"/>
  <c r="M1301" i="3"/>
  <c r="M1300" i="3"/>
  <c r="M1299" i="3"/>
  <c r="M1298" i="3"/>
  <c r="M1297" i="3"/>
  <c r="M1296" i="3"/>
  <c r="M1295" i="3"/>
  <c r="M1294" i="3"/>
  <c r="M1293" i="3"/>
  <c r="M1292" i="3"/>
  <c r="M1291" i="3"/>
  <c r="M1290" i="3"/>
  <c r="M1289" i="3"/>
  <c r="M1288" i="3"/>
  <c r="M1287" i="3"/>
  <c r="M1286" i="3"/>
  <c r="M1285" i="3"/>
  <c r="M1284" i="3"/>
  <c r="M1283" i="3"/>
  <c r="M1282" i="3"/>
  <c r="M1281" i="3"/>
  <c r="M1280" i="3"/>
  <c r="M1279" i="3"/>
  <c r="M1278" i="3"/>
  <c r="M1277" i="3"/>
  <c r="M1276" i="3"/>
  <c r="M1275" i="3"/>
  <c r="M1274" i="3"/>
  <c r="M1273" i="3"/>
  <c r="M1272" i="3"/>
  <c r="M1271" i="3"/>
  <c r="M1270" i="3"/>
  <c r="M1269" i="3"/>
  <c r="M1268" i="3"/>
  <c r="M1267" i="3"/>
  <c r="M1266" i="3"/>
  <c r="M1265" i="3"/>
  <c r="M1264" i="3"/>
  <c r="M1263" i="3"/>
  <c r="M1262" i="3"/>
  <c r="M1261" i="3"/>
  <c r="M1260" i="3"/>
  <c r="M1259" i="3"/>
  <c r="M1258" i="3"/>
  <c r="M1257" i="3"/>
  <c r="M1256" i="3"/>
  <c r="M1255" i="3"/>
  <c r="M1254" i="3"/>
  <c r="M1253" i="3"/>
  <c r="M1252" i="3"/>
  <c r="M1251" i="3"/>
  <c r="M1250" i="3"/>
  <c r="M1249" i="3"/>
  <c r="M1248" i="3"/>
  <c r="M1247" i="3"/>
  <c r="M1246" i="3"/>
  <c r="M1245" i="3"/>
  <c r="M1244" i="3"/>
  <c r="M1243" i="3"/>
  <c r="M1242" i="3"/>
  <c r="M1241" i="3"/>
  <c r="M1240" i="3"/>
  <c r="M1239" i="3"/>
  <c r="M1238" i="3"/>
  <c r="M1237" i="3"/>
  <c r="M1236" i="3"/>
  <c r="M1235" i="3"/>
  <c r="M1234" i="3"/>
  <c r="M1233" i="3"/>
  <c r="M1232" i="3"/>
  <c r="M1231" i="3"/>
  <c r="M1230" i="3"/>
  <c r="M1229" i="3"/>
  <c r="M1228" i="3"/>
  <c r="M1227" i="3"/>
  <c r="M1226" i="3"/>
  <c r="M1225" i="3"/>
  <c r="M1224" i="3"/>
  <c r="M1223" i="3"/>
  <c r="M1222" i="3"/>
  <c r="M1221" i="3"/>
  <c r="M1220" i="3"/>
  <c r="M1219" i="3"/>
  <c r="M1218" i="3"/>
  <c r="M1217" i="3"/>
  <c r="M1216" i="3"/>
  <c r="M1215" i="3"/>
  <c r="M1214" i="3"/>
  <c r="M1213" i="3"/>
  <c r="M1212" i="3"/>
  <c r="M1211" i="3"/>
  <c r="M1210" i="3"/>
  <c r="M1209" i="3"/>
  <c r="M1208" i="3"/>
  <c r="M1207" i="3"/>
  <c r="M1206" i="3"/>
  <c r="M1205" i="3"/>
  <c r="M1204" i="3"/>
  <c r="M1203" i="3"/>
  <c r="M1202" i="3"/>
  <c r="M1201" i="3"/>
  <c r="M1200" i="3"/>
  <c r="M1199" i="3"/>
  <c r="M1198" i="3"/>
  <c r="M1197" i="3"/>
  <c r="M1196" i="3"/>
  <c r="M1195" i="3"/>
  <c r="M1194" i="3"/>
  <c r="M1193" i="3"/>
  <c r="M1192" i="3"/>
  <c r="M1191" i="3"/>
  <c r="M1190" i="3"/>
  <c r="M1189" i="3"/>
  <c r="M1188" i="3"/>
  <c r="M1187" i="3"/>
  <c r="M1186" i="3"/>
  <c r="M1185" i="3"/>
  <c r="M1184" i="3"/>
  <c r="M1183" i="3"/>
  <c r="M1182" i="3"/>
  <c r="M1181" i="3"/>
  <c r="M1180" i="3"/>
  <c r="M1179" i="3"/>
  <c r="M1178" i="3"/>
  <c r="M1177" i="3"/>
  <c r="M1176" i="3"/>
  <c r="M1175" i="3"/>
  <c r="M1174" i="3"/>
  <c r="M1173" i="3"/>
  <c r="M1172" i="3"/>
  <c r="M1171" i="3"/>
  <c r="M1170" i="3"/>
  <c r="M1169" i="3"/>
  <c r="M1168" i="3"/>
  <c r="M1167" i="3"/>
  <c r="M1166" i="3"/>
  <c r="M1165" i="3"/>
  <c r="M1164" i="3"/>
  <c r="M1163" i="3"/>
  <c r="M1162" i="3"/>
  <c r="M1161" i="3"/>
  <c r="M1160" i="3"/>
  <c r="M1159" i="3"/>
  <c r="M1158" i="3"/>
  <c r="M1157" i="3"/>
  <c r="M1156" i="3"/>
  <c r="M1155" i="3"/>
  <c r="M1154" i="3"/>
  <c r="M1153" i="3"/>
  <c r="M1152" i="3"/>
  <c r="M1151" i="3"/>
  <c r="M1150" i="3"/>
  <c r="M1149" i="3"/>
  <c r="M1148" i="3"/>
  <c r="M1147" i="3"/>
  <c r="M1146" i="3"/>
  <c r="M1145" i="3"/>
  <c r="M1144" i="3"/>
  <c r="M1143" i="3"/>
  <c r="M1142" i="3"/>
  <c r="M1141" i="3"/>
  <c r="M1140" i="3"/>
  <c r="M1139" i="3"/>
  <c r="M1138" i="3"/>
  <c r="M1137" i="3"/>
  <c r="M1136" i="3"/>
  <c r="M1135" i="3"/>
  <c r="M1134" i="3"/>
  <c r="M1133" i="3"/>
  <c r="M1132" i="3"/>
  <c r="M1131" i="3"/>
  <c r="M1130" i="3"/>
  <c r="M1129" i="3"/>
  <c r="M1128" i="3"/>
  <c r="M1127" i="3"/>
  <c r="M1126" i="3"/>
  <c r="M1125" i="3"/>
  <c r="M1124" i="3"/>
  <c r="M1123" i="3"/>
  <c r="M1122" i="3"/>
  <c r="M1121" i="3"/>
  <c r="M1120" i="3"/>
  <c r="M1119" i="3"/>
  <c r="M1118" i="3"/>
  <c r="M1117" i="3"/>
  <c r="M1116" i="3"/>
  <c r="M1115" i="3"/>
  <c r="M1114" i="3"/>
  <c r="M1113" i="3"/>
  <c r="M1112" i="3"/>
  <c r="M1111" i="3"/>
  <c r="M1110" i="3"/>
  <c r="M1109" i="3"/>
  <c r="M1108" i="3"/>
  <c r="M1107" i="3"/>
  <c r="M1106" i="3"/>
  <c r="M1105" i="3"/>
  <c r="M1104" i="3"/>
  <c r="M1103" i="3"/>
  <c r="M1102" i="3"/>
  <c r="M1101" i="3"/>
  <c r="M1100" i="3"/>
  <c r="M1099" i="3"/>
  <c r="M1098" i="3"/>
  <c r="M1097" i="3"/>
  <c r="M1096" i="3"/>
  <c r="M1095" i="3"/>
  <c r="M1094" i="3"/>
  <c r="M1093" i="3"/>
  <c r="M1092" i="3"/>
  <c r="M1091" i="3"/>
  <c r="M1090" i="3"/>
  <c r="M1089" i="3"/>
  <c r="M1088" i="3"/>
  <c r="M1087" i="3"/>
  <c r="M1086" i="3"/>
  <c r="M1085" i="3"/>
  <c r="M1084" i="3"/>
  <c r="M1083" i="3"/>
  <c r="M1082" i="3"/>
  <c r="M1081" i="3"/>
  <c r="M1080" i="3"/>
  <c r="M1079" i="3"/>
  <c r="M1078" i="3"/>
  <c r="M1077" i="3"/>
  <c r="M1076" i="3"/>
  <c r="M1075" i="3"/>
  <c r="M1074" i="3"/>
  <c r="M1073" i="3"/>
  <c r="M1072" i="3"/>
  <c r="M1071" i="3"/>
  <c r="M1070" i="3"/>
  <c r="M1069" i="3"/>
  <c r="M1068" i="3"/>
  <c r="M1067" i="3"/>
  <c r="M1066" i="3"/>
  <c r="M1065" i="3"/>
  <c r="M1064" i="3"/>
  <c r="M1063" i="3"/>
  <c r="M1062" i="3"/>
  <c r="M1061" i="3"/>
  <c r="M1060" i="3"/>
  <c r="M1059" i="3"/>
  <c r="M1058" i="3"/>
  <c r="M1057" i="3"/>
  <c r="M1056" i="3"/>
  <c r="M1055" i="3"/>
  <c r="M1054" i="3"/>
  <c r="M1053" i="3"/>
  <c r="M1052" i="3"/>
  <c r="M1051" i="3"/>
  <c r="M1050" i="3"/>
  <c r="M1049" i="3"/>
  <c r="M1048" i="3"/>
  <c r="M1047" i="3"/>
  <c r="M1046" i="3"/>
  <c r="M1045" i="3"/>
  <c r="M1044" i="3"/>
  <c r="M1043" i="3"/>
  <c r="M1042" i="3"/>
  <c r="M1041" i="3"/>
  <c r="M1040" i="3"/>
  <c r="M1039" i="3"/>
  <c r="M1038" i="3"/>
  <c r="M1037" i="3"/>
  <c r="M1036" i="3"/>
  <c r="M1035" i="3"/>
  <c r="M1034" i="3"/>
  <c r="M1033" i="3"/>
  <c r="M1032" i="3"/>
  <c r="M1031" i="3"/>
  <c r="M1030" i="3"/>
  <c r="M1029" i="3"/>
  <c r="M1028" i="3"/>
  <c r="M1027" i="3"/>
  <c r="M1026" i="3"/>
  <c r="M1025" i="3"/>
  <c r="M1024" i="3"/>
  <c r="M1023" i="3"/>
  <c r="M1022" i="3"/>
  <c r="M1021" i="3"/>
  <c r="M1020" i="3"/>
  <c r="M1019" i="3"/>
  <c r="M1018" i="3"/>
  <c r="O1018" i="3" s="1"/>
  <c r="M1017" i="3"/>
  <c r="M1016" i="3"/>
  <c r="M1015" i="3"/>
  <c r="M1014" i="3"/>
  <c r="M1013" i="3"/>
  <c r="M1012" i="3"/>
  <c r="M1011" i="3"/>
  <c r="M1010" i="3"/>
  <c r="M1009" i="3"/>
  <c r="M1008" i="3"/>
  <c r="M1007" i="3"/>
  <c r="M1006" i="3"/>
  <c r="M1005" i="3"/>
  <c r="M1004" i="3"/>
  <c r="M1003" i="3"/>
  <c r="M1002" i="3"/>
  <c r="M1001" i="3"/>
  <c r="M1000" i="3"/>
  <c r="M999" i="3"/>
  <c r="M998" i="3"/>
  <c r="M997" i="3"/>
  <c r="M996" i="3"/>
  <c r="M995" i="3"/>
  <c r="M994" i="3"/>
  <c r="M993" i="3"/>
  <c r="M992" i="3"/>
  <c r="M991" i="3"/>
  <c r="M990" i="3"/>
  <c r="M989" i="3"/>
  <c r="M988" i="3"/>
  <c r="M987" i="3"/>
  <c r="M986" i="3"/>
  <c r="M985" i="3"/>
  <c r="M984" i="3"/>
  <c r="M983" i="3"/>
  <c r="M982" i="3"/>
  <c r="M981" i="3"/>
  <c r="M980" i="3"/>
  <c r="M979" i="3"/>
  <c r="M978" i="3"/>
  <c r="M977" i="3"/>
  <c r="M976" i="3"/>
  <c r="M975" i="3"/>
  <c r="M974" i="3"/>
  <c r="M973" i="3"/>
  <c r="M972" i="3"/>
  <c r="M971" i="3"/>
  <c r="M970" i="3"/>
  <c r="M969" i="3"/>
  <c r="M968" i="3"/>
  <c r="M967" i="3"/>
  <c r="M966" i="3"/>
  <c r="M965" i="3"/>
  <c r="M964" i="3"/>
  <c r="M963" i="3"/>
  <c r="M962" i="3"/>
  <c r="M961" i="3"/>
  <c r="M960" i="3"/>
  <c r="M959" i="3"/>
  <c r="M958" i="3"/>
  <c r="M957" i="3"/>
  <c r="M956" i="3"/>
  <c r="M955" i="3"/>
  <c r="M954" i="3"/>
  <c r="M953" i="3"/>
  <c r="M952" i="3"/>
  <c r="M951" i="3"/>
  <c r="M950" i="3"/>
  <c r="M949" i="3"/>
  <c r="M948" i="3"/>
  <c r="M947" i="3"/>
  <c r="M946" i="3"/>
  <c r="M945" i="3"/>
  <c r="M944" i="3"/>
  <c r="M943" i="3"/>
  <c r="M942" i="3"/>
  <c r="M941" i="3"/>
  <c r="M940" i="3"/>
  <c r="M939" i="3"/>
  <c r="M938" i="3"/>
  <c r="M937" i="3"/>
  <c r="M936" i="3"/>
  <c r="M935" i="3"/>
  <c r="M934" i="3"/>
  <c r="M933" i="3"/>
  <c r="M932" i="3"/>
  <c r="M931" i="3"/>
  <c r="M930" i="3"/>
  <c r="M929" i="3"/>
  <c r="M928" i="3"/>
  <c r="M927" i="3"/>
  <c r="M926" i="3"/>
  <c r="M925" i="3"/>
  <c r="M924" i="3"/>
  <c r="M923" i="3"/>
  <c r="M922" i="3"/>
  <c r="M921" i="3"/>
  <c r="M920" i="3"/>
  <c r="M919" i="3"/>
  <c r="M918" i="3"/>
  <c r="M917" i="3"/>
  <c r="M916" i="3"/>
  <c r="M915" i="3"/>
  <c r="M914" i="3"/>
  <c r="M913" i="3"/>
  <c r="M912" i="3"/>
  <c r="M911" i="3"/>
  <c r="M910" i="3"/>
  <c r="M909" i="3"/>
  <c r="M908" i="3"/>
  <c r="M907" i="3"/>
  <c r="M906" i="3"/>
  <c r="M905" i="3"/>
  <c r="M904" i="3"/>
  <c r="M903" i="3"/>
  <c r="M902" i="3"/>
  <c r="M901" i="3"/>
  <c r="M900" i="3"/>
  <c r="M899" i="3"/>
  <c r="M898" i="3"/>
  <c r="M897" i="3"/>
  <c r="M896" i="3"/>
  <c r="M895" i="3"/>
  <c r="M894" i="3"/>
  <c r="M893" i="3"/>
  <c r="M892" i="3"/>
  <c r="M891" i="3"/>
  <c r="M890" i="3"/>
  <c r="O890" i="3" s="1"/>
  <c r="M889" i="3"/>
  <c r="M888" i="3"/>
  <c r="M887" i="3"/>
  <c r="M886" i="3"/>
  <c r="M885" i="3"/>
  <c r="M884" i="3"/>
  <c r="M883" i="3"/>
  <c r="M882" i="3"/>
  <c r="M881" i="3"/>
  <c r="M880" i="3"/>
  <c r="M879" i="3"/>
  <c r="M878" i="3"/>
  <c r="M877" i="3"/>
  <c r="M876" i="3"/>
  <c r="M875" i="3"/>
  <c r="M874" i="3"/>
  <c r="M873" i="3"/>
  <c r="M872" i="3"/>
  <c r="M871" i="3"/>
  <c r="M870" i="3"/>
  <c r="M869" i="3"/>
  <c r="M868" i="3"/>
  <c r="M867" i="3"/>
  <c r="M866" i="3"/>
  <c r="M865" i="3"/>
  <c r="M864" i="3"/>
  <c r="M863" i="3"/>
  <c r="M862" i="3"/>
  <c r="M861" i="3"/>
  <c r="M860" i="3"/>
  <c r="M859" i="3"/>
  <c r="M858" i="3"/>
  <c r="M857" i="3"/>
  <c r="M856" i="3"/>
  <c r="M855" i="3"/>
  <c r="M854" i="3"/>
  <c r="M853" i="3"/>
  <c r="M852" i="3"/>
  <c r="M851" i="3"/>
  <c r="M850" i="3"/>
  <c r="M849" i="3"/>
  <c r="M848" i="3"/>
  <c r="M847" i="3"/>
  <c r="M846" i="3"/>
  <c r="M845" i="3"/>
  <c r="M844" i="3"/>
  <c r="M843" i="3"/>
  <c r="M842" i="3"/>
  <c r="M841" i="3"/>
  <c r="M840" i="3"/>
  <c r="M839" i="3"/>
  <c r="M838" i="3"/>
  <c r="M837" i="3"/>
  <c r="M836" i="3"/>
  <c r="M835" i="3"/>
  <c r="M834" i="3"/>
  <c r="M833" i="3"/>
  <c r="M832" i="3"/>
  <c r="M831" i="3"/>
  <c r="M830" i="3"/>
  <c r="M829" i="3"/>
  <c r="M828" i="3"/>
  <c r="M827" i="3"/>
  <c r="M826" i="3"/>
  <c r="M825" i="3"/>
  <c r="M824" i="3"/>
  <c r="M823" i="3"/>
  <c r="M822" i="3"/>
  <c r="M821" i="3"/>
  <c r="M820" i="3"/>
  <c r="M819" i="3"/>
  <c r="M818" i="3"/>
  <c r="M817" i="3"/>
  <c r="M816" i="3"/>
  <c r="M815" i="3"/>
  <c r="M814" i="3"/>
  <c r="M813" i="3"/>
  <c r="M812" i="3"/>
  <c r="M811" i="3"/>
  <c r="M810" i="3"/>
  <c r="M809" i="3"/>
  <c r="M808" i="3"/>
  <c r="M807" i="3"/>
  <c r="M806" i="3"/>
  <c r="M805" i="3"/>
  <c r="M804" i="3"/>
  <c r="M803" i="3"/>
  <c r="M802" i="3"/>
  <c r="M801" i="3"/>
  <c r="M800" i="3"/>
  <c r="M799" i="3"/>
  <c r="M798" i="3"/>
  <c r="M797" i="3"/>
  <c r="M796" i="3"/>
  <c r="M795" i="3"/>
  <c r="M794" i="3"/>
  <c r="M793" i="3"/>
  <c r="M792" i="3"/>
  <c r="M791" i="3"/>
  <c r="M790" i="3"/>
  <c r="M789" i="3"/>
  <c r="M788" i="3"/>
  <c r="M787" i="3"/>
  <c r="M786" i="3"/>
  <c r="M785" i="3"/>
  <c r="M784" i="3"/>
  <c r="M783" i="3"/>
  <c r="M782" i="3"/>
  <c r="M781" i="3"/>
  <c r="M780" i="3"/>
  <c r="M779" i="3"/>
  <c r="M778" i="3"/>
  <c r="M777" i="3"/>
  <c r="M776" i="3"/>
  <c r="M775" i="3"/>
  <c r="M774" i="3"/>
  <c r="M773" i="3"/>
  <c r="M772" i="3"/>
  <c r="M771" i="3"/>
  <c r="M770" i="3"/>
  <c r="M769" i="3"/>
  <c r="M768" i="3"/>
  <c r="M767" i="3"/>
  <c r="M766" i="3"/>
  <c r="M765" i="3"/>
  <c r="M764" i="3"/>
  <c r="M763" i="3"/>
  <c r="M762" i="3"/>
  <c r="M761" i="3"/>
  <c r="M760" i="3"/>
  <c r="M759" i="3"/>
  <c r="M758" i="3"/>
  <c r="M757" i="3"/>
  <c r="M756" i="3"/>
  <c r="M755" i="3"/>
  <c r="M754" i="3"/>
  <c r="M753" i="3"/>
  <c r="M752" i="3"/>
  <c r="M751" i="3"/>
  <c r="M750" i="3"/>
  <c r="M749" i="3"/>
  <c r="M748" i="3"/>
  <c r="M747" i="3"/>
  <c r="M746" i="3"/>
  <c r="M745" i="3"/>
  <c r="M744" i="3"/>
  <c r="M743" i="3"/>
  <c r="M742" i="3"/>
  <c r="M741" i="3"/>
  <c r="M740" i="3"/>
  <c r="M739" i="3"/>
  <c r="M738" i="3"/>
  <c r="M737" i="3"/>
  <c r="M736" i="3"/>
  <c r="M735" i="3"/>
  <c r="M734" i="3"/>
  <c r="M733" i="3"/>
  <c r="M732" i="3"/>
  <c r="M731" i="3"/>
  <c r="M730" i="3"/>
  <c r="M729" i="3"/>
  <c r="M728" i="3"/>
  <c r="M727" i="3"/>
  <c r="M726" i="3"/>
  <c r="M725" i="3"/>
  <c r="M724" i="3"/>
  <c r="M723" i="3"/>
  <c r="M722" i="3"/>
  <c r="M721" i="3"/>
  <c r="M720" i="3"/>
  <c r="M719" i="3"/>
  <c r="M718" i="3"/>
  <c r="M717" i="3"/>
  <c r="M716" i="3"/>
  <c r="M715" i="3"/>
  <c r="M714" i="3"/>
  <c r="M713" i="3"/>
  <c r="M712" i="3"/>
  <c r="M711" i="3"/>
  <c r="M710" i="3"/>
  <c r="M709" i="3"/>
  <c r="M708" i="3"/>
  <c r="M707" i="3"/>
  <c r="M706" i="3"/>
  <c r="M705" i="3"/>
  <c r="M704" i="3"/>
  <c r="M703" i="3"/>
  <c r="M702" i="3"/>
  <c r="M701" i="3"/>
  <c r="M700" i="3"/>
  <c r="M699" i="3"/>
  <c r="M698" i="3"/>
  <c r="M697" i="3"/>
  <c r="M696" i="3"/>
  <c r="M695" i="3"/>
  <c r="M694" i="3"/>
  <c r="M693" i="3"/>
  <c r="M692" i="3"/>
  <c r="M691" i="3"/>
  <c r="M690" i="3"/>
  <c r="M689" i="3"/>
  <c r="M688" i="3"/>
  <c r="M687" i="3"/>
  <c r="M686" i="3"/>
  <c r="M685" i="3"/>
  <c r="M684" i="3"/>
  <c r="M683" i="3"/>
  <c r="M682" i="3"/>
  <c r="M681" i="3"/>
  <c r="M680" i="3"/>
  <c r="M679" i="3"/>
  <c r="M678" i="3"/>
  <c r="M677" i="3"/>
  <c r="M676" i="3"/>
  <c r="M675" i="3"/>
  <c r="M674" i="3"/>
  <c r="M673" i="3"/>
  <c r="M672" i="3"/>
  <c r="M671" i="3"/>
  <c r="M670" i="3"/>
  <c r="M669" i="3"/>
  <c r="M668" i="3"/>
  <c r="M667" i="3"/>
  <c r="M666" i="3"/>
  <c r="M665" i="3"/>
  <c r="M664" i="3"/>
  <c r="M663" i="3"/>
  <c r="M662" i="3"/>
  <c r="M661" i="3"/>
  <c r="M660" i="3"/>
  <c r="M659" i="3"/>
  <c r="M658" i="3"/>
  <c r="M657" i="3"/>
  <c r="M656" i="3"/>
  <c r="M655" i="3"/>
  <c r="M654" i="3"/>
  <c r="M653" i="3"/>
  <c r="M652" i="3"/>
  <c r="M651" i="3"/>
  <c r="M650" i="3"/>
  <c r="M649" i="3"/>
  <c r="M648" i="3"/>
  <c r="M647" i="3"/>
  <c r="M646" i="3"/>
  <c r="M645" i="3"/>
  <c r="M644" i="3"/>
  <c r="M643" i="3"/>
  <c r="M642" i="3"/>
  <c r="M641" i="3"/>
  <c r="M640" i="3"/>
  <c r="M639" i="3"/>
  <c r="M638" i="3"/>
  <c r="M637" i="3"/>
  <c r="M636" i="3"/>
  <c r="M635" i="3"/>
  <c r="M634" i="3"/>
  <c r="M633" i="3"/>
  <c r="M632" i="3"/>
  <c r="M631" i="3"/>
  <c r="M630" i="3"/>
  <c r="M629" i="3"/>
  <c r="M628" i="3"/>
  <c r="M627" i="3"/>
  <c r="M626" i="3"/>
  <c r="M625" i="3"/>
  <c r="M624" i="3"/>
  <c r="M623" i="3"/>
  <c r="M622" i="3"/>
  <c r="M621" i="3"/>
  <c r="M620" i="3"/>
  <c r="M619" i="3"/>
  <c r="M618" i="3"/>
  <c r="M617" i="3"/>
  <c r="M616" i="3"/>
  <c r="M615" i="3"/>
  <c r="M614" i="3"/>
  <c r="M613" i="3"/>
  <c r="M612" i="3"/>
  <c r="M611" i="3"/>
  <c r="M610" i="3"/>
  <c r="M609" i="3"/>
  <c r="M608" i="3"/>
  <c r="M607" i="3"/>
  <c r="M606" i="3"/>
  <c r="M605" i="3"/>
  <c r="M604" i="3"/>
  <c r="M603" i="3"/>
  <c r="M602" i="3"/>
  <c r="M601" i="3"/>
  <c r="M600" i="3"/>
  <c r="M599" i="3"/>
  <c r="M598" i="3"/>
  <c r="M597" i="3"/>
  <c r="M596" i="3"/>
  <c r="M595" i="3"/>
  <c r="M594" i="3"/>
  <c r="M593" i="3"/>
  <c r="M592" i="3"/>
  <c r="M591" i="3"/>
  <c r="M590" i="3"/>
  <c r="M589" i="3"/>
  <c r="M588" i="3"/>
  <c r="M587" i="3"/>
  <c r="M586" i="3"/>
  <c r="M585" i="3"/>
  <c r="M584" i="3"/>
  <c r="M583" i="3"/>
  <c r="M582" i="3"/>
  <c r="M581" i="3"/>
  <c r="M580" i="3"/>
  <c r="M579" i="3"/>
  <c r="M578" i="3"/>
  <c r="M577" i="3"/>
  <c r="M576" i="3"/>
  <c r="M575" i="3"/>
  <c r="M574" i="3"/>
  <c r="M573" i="3"/>
  <c r="M572" i="3"/>
  <c r="M571" i="3"/>
  <c r="M570" i="3"/>
  <c r="M569" i="3"/>
  <c r="M568" i="3"/>
  <c r="M567" i="3"/>
  <c r="M566" i="3"/>
  <c r="M565" i="3"/>
  <c r="M564" i="3"/>
  <c r="M563" i="3"/>
  <c r="M562" i="3"/>
  <c r="M561" i="3"/>
  <c r="M560" i="3"/>
  <c r="M559" i="3"/>
  <c r="M558" i="3"/>
  <c r="M557" i="3"/>
  <c r="M556" i="3"/>
  <c r="M555" i="3"/>
  <c r="M554" i="3"/>
  <c r="M553" i="3"/>
  <c r="M552" i="3"/>
  <c r="M551" i="3"/>
  <c r="M550" i="3"/>
  <c r="M549" i="3"/>
  <c r="M548" i="3"/>
  <c r="M547" i="3"/>
  <c r="M546" i="3"/>
  <c r="M545" i="3"/>
  <c r="M544" i="3"/>
  <c r="M543" i="3"/>
  <c r="M542" i="3"/>
  <c r="M541" i="3"/>
  <c r="M540" i="3"/>
  <c r="M539" i="3"/>
  <c r="M538" i="3"/>
  <c r="M537" i="3"/>
  <c r="M536" i="3"/>
  <c r="M535" i="3"/>
  <c r="M534" i="3"/>
  <c r="M533" i="3"/>
  <c r="M532" i="3"/>
  <c r="M531" i="3"/>
  <c r="M530" i="3"/>
  <c r="M529" i="3"/>
  <c r="M528" i="3"/>
  <c r="M527" i="3"/>
  <c r="M526" i="3"/>
  <c r="M525" i="3"/>
  <c r="M524" i="3"/>
  <c r="M523" i="3"/>
  <c r="M522" i="3"/>
  <c r="M521" i="3"/>
  <c r="M520" i="3"/>
  <c r="M519" i="3"/>
  <c r="M518" i="3"/>
  <c r="M517" i="3"/>
  <c r="M516" i="3"/>
  <c r="M515" i="3"/>
  <c r="M514" i="3"/>
  <c r="M513" i="3"/>
  <c r="M512" i="3"/>
  <c r="M511" i="3"/>
  <c r="M510" i="3"/>
  <c r="M509" i="3"/>
  <c r="M508" i="3"/>
  <c r="M507" i="3"/>
  <c r="M506" i="3"/>
  <c r="M505" i="3"/>
  <c r="M504" i="3"/>
  <c r="M503" i="3"/>
  <c r="M502" i="3"/>
  <c r="M501" i="3"/>
  <c r="M500" i="3"/>
  <c r="M499" i="3"/>
  <c r="M498" i="3"/>
  <c r="M497" i="3"/>
  <c r="M496" i="3"/>
  <c r="M495" i="3"/>
  <c r="M494" i="3"/>
  <c r="M493" i="3"/>
  <c r="M492" i="3"/>
  <c r="M491" i="3"/>
  <c r="M490" i="3"/>
  <c r="M489" i="3"/>
  <c r="M488" i="3"/>
  <c r="M487" i="3"/>
  <c r="M486" i="3"/>
  <c r="M485" i="3"/>
  <c r="M484" i="3"/>
  <c r="M483" i="3"/>
  <c r="M482" i="3"/>
  <c r="M481" i="3"/>
  <c r="M480" i="3"/>
  <c r="M479" i="3"/>
  <c r="M478" i="3"/>
  <c r="M477" i="3"/>
  <c r="M476" i="3"/>
  <c r="M475" i="3"/>
  <c r="M474" i="3"/>
  <c r="M473" i="3"/>
  <c r="M472" i="3"/>
  <c r="M471" i="3"/>
  <c r="M470" i="3"/>
  <c r="M469" i="3"/>
  <c r="M468" i="3"/>
  <c r="M467" i="3"/>
  <c r="M466" i="3"/>
  <c r="M465" i="3"/>
  <c r="M464" i="3"/>
  <c r="M463" i="3"/>
  <c r="M462" i="3"/>
  <c r="M461" i="3"/>
  <c r="M460" i="3"/>
  <c r="M459" i="3"/>
  <c r="M458" i="3"/>
  <c r="M457" i="3"/>
  <c r="M456" i="3"/>
  <c r="M455" i="3"/>
  <c r="M454" i="3"/>
  <c r="M453" i="3"/>
  <c r="M452" i="3"/>
  <c r="M451" i="3"/>
  <c r="M450" i="3"/>
  <c r="M449" i="3"/>
  <c r="M448" i="3"/>
  <c r="M447" i="3"/>
  <c r="M446" i="3"/>
  <c r="M445" i="3"/>
  <c r="M444" i="3"/>
  <c r="M443" i="3"/>
  <c r="M442" i="3"/>
  <c r="M441" i="3"/>
  <c r="M440" i="3"/>
  <c r="M439" i="3"/>
  <c r="M438" i="3"/>
  <c r="M437" i="3"/>
  <c r="M436" i="3"/>
  <c r="M435" i="3"/>
  <c r="M434" i="3"/>
  <c r="M433" i="3"/>
  <c r="M432" i="3"/>
  <c r="M431" i="3"/>
  <c r="M430" i="3"/>
  <c r="M429" i="3"/>
  <c r="M428" i="3"/>
  <c r="M427" i="3"/>
  <c r="M426" i="3"/>
  <c r="M425" i="3"/>
  <c r="M424" i="3"/>
  <c r="M423" i="3"/>
  <c r="M422" i="3"/>
  <c r="M421" i="3"/>
  <c r="M420" i="3"/>
  <c r="M419" i="3"/>
  <c r="M418" i="3"/>
  <c r="M417" i="3"/>
  <c r="M416" i="3"/>
  <c r="M415" i="3"/>
  <c r="M414" i="3"/>
  <c r="M413" i="3"/>
  <c r="M412" i="3"/>
  <c r="M411" i="3"/>
  <c r="M410" i="3"/>
  <c r="M409" i="3"/>
  <c r="M408" i="3"/>
  <c r="M407" i="3"/>
  <c r="M406" i="3"/>
  <c r="M405" i="3"/>
  <c r="M404" i="3"/>
  <c r="M403" i="3"/>
  <c r="M402" i="3"/>
  <c r="M401" i="3"/>
  <c r="M400" i="3"/>
  <c r="M399" i="3"/>
  <c r="M398" i="3"/>
  <c r="M397" i="3"/>
  <c r="M396" i="3"/>
  <c r="M395" i="3"/>
  <c r="M394" i="3"/>
  <c r="M393" i="3"/>
  <c r="M392" i="3"/>
  <c r="M391" i="3"/>
  <c r="M390" i="3"/>
  <c r="M389" i="3"/>
  <c r="M388" i="3"/>
  <c r="M387" i="3"/>
  <c r="M386" i="3"/>
  <c r="M385" i="3"/>
  <c r="M384" i="3"/>
  <c r="M383" i="3"/>
  <c r="M382" i="3"/>
  <c r="M381" i="3"/>
  <c r="M380" i="3"/>
  <c r="M379" i="3"/>
  <c r="M378" i="3"/>
  <c r="M377" i="3"/>
  <c r="M376" i="3"/>
  <c r="M375" i="3"/>
  <c r="M374" i="3"/>
  <c r="M373" i="3"/>
  <c r="M372" i="3"/>
  <c r="M371" i="3"/>
  <c r="M370" i="3"/>
  <c r="M369" i="3"/>
  <c r="M368" i="3"/>
  <c r="M367" i="3"/>
  <c r="M366" i="3"/>
  <c r="M365" i="3"/>
  <c r="M364" i="3"/>
  <c r="M363" i="3"/>
  <c r="M362" i="3"/>
  <c r="M361" i="3"/>
  <c r="M360" i="3"/>
  <c r="M359" i="3"/>
  <c r="M358" i="3"/>
  <c r="M357" i="3"/>
  <c r="M356" i="3"/>
  <c r="M355" i="3"/>
  <c r="M354" i="3"/>
  <c r="M353" i="3"/>
  <c r="M352" i="3"/>
  <c r="M351" i="3"/>
  <c r="M350" i="3"/>
  <c r="M349" i="3"/>
  <c r="M348" i="3"/>
  <c r="M347" i="3"/>
  <c r="M346" i="3"/>
  <c r="M345" i="3"/>
  <c r="M344" i="3"/>
  <c r="M343" i="3"/>
  <c r="M342" i="3"/>
  <c r="M341" i="3"/>
  <c r="M340" i="3"/>
  <c r="M339" i="3"/>
  <c r="M338" i="3"/>
  <c r="M337" i="3"/>
  <c r="M336" i="3"/>
  <c r="M335" i="3"/>
  <c r="M334" i="3"/>
  <c r="M333" i="3"/>
  <c r="M332" i="3"/>
  <c r="M331" i="3"/>
  <c r="M330" i="3"/>
  <c r="M329" i="3"/>
  <c r="M328" i="3"/>
  <c r="M327" i="3"/>
  <c r="M326" i="3"/>
  <c r="M325" i="3"/>
  <c r="M324" i="3"/>
  <c r="M323" i="3"/>
  <c r="M322" i="3"/>
  <c r="M321" i="3"/>
  <c r="M320" i="3"/>
  <c r="M319" i="3"/>
  <c r="M318" i="3"/>
  <c r="M317" i="3"/>
  <c r="M316" i="3"/>
  <c r="M315" i="3"/>
  <c r="M314" i="3"/>
  <c r="M313" i="3"/>
  <c r="M312" i="3"/>
  <c r="M311" i="3"/>
  <c r="M310" i="3"/>
  <c r="M309" i="3"/>
  <c r="M308" i="3"/>
  <c r="M307" i="3"/>
  <c r="M306" i="3"/>
  <c r="M305" i="3"/>
  <c r="M304" i="3"/>
  <c r="M303" i="3"/>
  <c r="M302" i="3"/>
  <c r="M301" i="3"/>
  <c r="M300" i="3"/>
  <c r="M299" i="3"/>
  <c r="M298" i="3"/>
  <c r="M297" i="3"/>
  <c r="M296" i="3"/>
  <c r="M295" i="3"/>
  <c r="M294" i="3"/>
  <c r="M293" i="3"/>
  <c r="M292" i="3"/>
  <c r="M291" i="3"/>
  <c r="M290" i="3"/>
  <c r="M289" i="3"/>
  <c r="M288" i="3"/>
  <c r="M287" i="3"/>
  <c r="M286" i="3"/>
  <c r="M285" i="3"/>
  <c r="M284" i="3"/>
  <c r="M283" i="3"/>
  <c r="M282" i="3"/>
  <c r="M281" i="3"/>
  <c r="M280" i="3"/>
  <c r="M279" i="3"/>
  <c r="M278" i="3"/>
  <c r="M277" i="3"/>
  <c r="M276" i="3"/>
  <c r="M275" i="3"/>
  <c r="M274" i="3"/>
  <c r="M273" i="3"/>
  <c r="M272" i="3"/>
  <c r="M271" i="3"/>
  <c r="M270" i="3"/>
  <c r="M269" i="3"/>
  <c r="M268" i="3"/>
  <c r="M267" i="3"/>
  <c r="M266" i="3"/>
  <c r="M265" i="3"/>
  <c r="M264" i="3"/>
  <c r="M263" i="3"/>
  <c r="M262" i="3"/>
  <c r="M261" i="3"/>
  <c r="M260" i="3"/>
  <c r="M259" i="3"/>
  <c r="M258" i="3"/>
  <c r="M257" i="3"/>
  <c r="M256" i="3"/>
  <c r="M255" i="3"/>
  <c r="M254" i="3"/>
  <c r="M253" i="3"/>
  <c r="M252" i="3"/>
  <c r="M251" i="3"/>
  <c r="M250" i="3"/>
  <c r="M249" i="3"/>
  <c r="M248" i="3"/>
  <c r="M247" i="3"/>
  <c r="M246" i="3"/>
  <c r="M245" i="3"/>
  <c r="M244" i="3"/>
  <c r="M243" i="3"/>
  <c r="M242" i="3"/>
  <c r="M241" i="3"/>
  <c r="M240" i="3"/>
  <c r="M239" i="3"/>
  <c r="M238" i="3"/>
  <c r="M237" i="3"/>
  <c r="M236" i="3"/>
  <c r="M235" i="3"/>
  <c r="M234" i="3"/>
  <c r="M233" i="3"/>
  <c r="M232" i="3"/>
  <c r="M231" i="3"/>
  <c r="M230" i="3"/>
  <c r="M229" i="3"/>
  <c r="M228" i="3"/>
  <c r="M227" i="3"/>
  <c r="M226" i="3"/>
  <c r="M225" i="3"/>
  <c r="M224" i="3"/>
  <c r="M223" i="3"/>
  <c r="M222" i="3"/>
  <c r="M221" i="3"/>
  <c r="M220" i="3"/>
  <c r="M219" i="3"/>
  <c r="M218" i="3"/>
  <c r="M217" i="3"/>
  <c r="M216" i="3"/>
  <c r="M215" i="3"/>
  <c r="M214" i="3"/>
  <c r="M213" i="3"/>
  <c r="M212" i="3"/>
  <c r="M211" i="3"/>
  <c r="M210" i="3"/>
  <c r="M209" i="3"/>
  <c r="M208" i="3"/>
  <c r="M207" i="3"/>
  <c r="M206" i="3"/>
  <c r="M205" i="3"/>
  <c r="M204" i="3"/>
  <c r="M203" i="3"/>
  <c r="M202" i="3"/>
  <c r="M201" i="3"/>
  <c r="M200" i="3"/>
  <c r="M199" i="3"/>
  <c r="M198" i="3"/>
  <c r="M197" i="3"/>
  <c r="M196" i="3"/>
  <c r="M195" i="3"/>
  <c r="M194" i="3"/>
  <c r="M193" i="3"/>
  <c r="M192" i="3"/>
  <c r="M191" i="3"/>
  <c r="M190" i="3"/>
  <c r="M189" i="3"/>
  <c r="M188" i="3"/>
  <c r="M187" i="3"/>
  <c r="M186" i="3"/>
  <c r="M185" i="3"/>
  <c r="M184" i="3"/>
  <c r="M183" i="3"/>
  <c r="M182" i="3"/>
  <c r="M181" i="3"/>
  <c r="M180" i="3"/>
  <c r="M179" i="3"/>
  <c r="M178" i="3"/>
  <c r="M177" i="3"/>
  <c r="M176" i="3"/>
  <c r="M175" i="3"/>
  <c r="M174" i="3"/>
  <c r="M173" i="3"/>
  <c r="M172" i="3"/>
  <c r="M171" i="3"/>
  <c r="M170" i="3"/>
  <c r="M169" i="3"/>
  <c r="M168" i="3"/>
  <c r="M167" i="3"/>
  <c r="M166" i="3"/>
  <c r="M165" i="3"/>
  <c r="M164" i="3"/>
  <c r="M163" i="3"/>
  <c r="M162" i="3"/>
  <c r="M161" i="3"/>
  <c r="M160" i="3"/>
  <c r="M159" i="3"/>
  <c r="M158" i="3"/>
  <c r="M157" i="3"/>
  <c r="M156" i="3"/>
  <c r="M155" i="3"/>
  <c r="M154" i="3"/>
  <c r="M153" i="3"/>
  <c r="M152" i="3"/>
  <c r="M151" i="3"/>
  <c r="M150" i="3"/>
  <c r="M149" i="3"/>
  <c r="M148" i="3"/>
  <c r="M147" i="3"/>
  <c r="M146" i="3"/>
  <c r="M145" i="3"/>
  <c r="M144" i="3"/>
  <c r="M143" i="3"/>
  <c r="M142" i="3"/>
  <c r="M141" i="3"/>
  <c r="M140" i="3"/>
  <c r="M139" i="3"/>
  <c r="M138" i="3"/>
  <c r="M137" i="3"/>
  <c r="M136" i="3"/>
  <c r="M135" i="3"/>
  <c r="M134" i="3"/>
  <c r="M133" i="3"/>
  <c r="M132" i="3"/>
  <c r="M131" i="3"/>
  <c r="M130" i="3"/>
  <c r="M129" i="3"/>
  <c r="M128" i="3"/>
  <c r="M127" i="3"/>
  <c r="M126" i="3"/>
  <c r="M125" i="3"/>
  <c r="M124" i="3"/>
  <c r="M123" i="3"/>
  <c r="M122" i="3"/>
  <c r="M121" i="3"/>
  <c r="M120" i="3"/>
  <c r="M119" i="3"/>
  <c r="M118" i="3"/>
  <c r="M117" i="3"/>
  <c r="M116" i="3"/>
  <c r="M115" i="3"/>
  <c r="M114" i="3"/>
  <c r="M113" i="3"/>
  <c r="M112" i="3"/>
  <c r="M111" i="3"/>
  <c r="M110" i="3"/>
  <c r="M109" i="3"/>
  <c r="M108" i="3"/>
  <c r="M107" i="3"/>
  <c r="M106" i="3"/>
  <c r="M105" i="3"/>
  <c r="M104" i="3"/>
  <c r="M103" i="3"/>
  <c r="M102" i="3"/>
  <c r="M101" i="3"/>
  <c r="M100" i="3"/>
  <c r="M99" i="3"/>
  <c r="M98" i="3"/>
  <c r="M97" i="3"/>
  <c r="M96" i="3"/>
  <c r="M95" i="3"/>
  <c r="M94" i="3"/>
  <c r="M93" i="3"/>
  <c r="M92" i="3"/>
  <c r="M91" i="3"/>
  <c r="M90" i="3"/>
  <c r="M89" i="3"/>
  <c r="M88" i="3"/>
  <c r="M87" i="3"/>
  <c r="M86" i="3"/>
  <c r="M85" i="3"/>
  <c r="M84"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Q2" i="3"/>
  <c r="J1502" i="3"/>
  <c r="J1501" i="3"/>
  <c r="J1500" i="3"/>
  <c r="J1499" i="3"/>
  <c r="J1498" i="3"/>
  <c r="J1497" i="3"/>
  <c r="J1496" i="3"/>
  <c r="J1495" i="3"/>
  <c r="J1494" i="3"/>
  <c r="J1493" i="3"/>
  <c r="J1492" i="3"/>
  <c r="J1491" i="3"/>
  <c r="J1490" i="3"/>
  <c r="J1489" i="3"/>
  <c r="J1488" i="3"/>
  <c r="J1487" i="3"/>
  <c r="J1486" i="3"/>
  <c r="J1485" i="3"/>
  <c r="J1484" i="3"/>
  <c r="J1483" i="3"/>
  <c r="J1482" i="3"/>
  <c r="J1481" i="3"/>
  <c r="J1480" i="3"/>
  <c r="J1479" i="3"/>
  <c r="J1478" i="3"/>
  <c r="J1477" i="3"/>
  <c r="J1476" i="3"/>
  <c r="J1475" i="3"/>
  <c r="J1474" i="3"/>
  <c r="J1473" i="3"/>
  <c r="J1472" i="3"/>
  <c r="J1471" i="3"/>
  <c r="J1470" i="3"/>
  <c r="J1469" i="3"/>
  <c r="J1468" i="3"/>
  <c r="J1467" i="3"/>
  <c r="J1466" i="3"/>
  <c r="J1465" i="3"/>
  <c r="J1464" i="3"/>
  <c r="J1463" i="3"/>
  <c r="J1462" i="3"/>
  <c r="J1461" i="3"/>
  <c r="J1460" i="3"/>
  <c r="J1459" i="3"/>
  <c r="J1458" i="3"/>
  <c r="J1457" i="3"/>
  <c r="J1456" i="3"/>
  <c r="J1455" i="3"/>
  <c r="J1454" i="3"/>
  <c r="J1453" i="3"/>
  <c r="J1452" i="3"/>
  <c r="J1451" i="3"/>
  <c r="J1450" i="3"/>
  <c r="J1449" i="3"/>
  <c r="J1448" i="3"/>
  <c r="J1447" i="3"/>
  <c r="J1446" i="3"/>
  <c r="J1445" i="3"/>
  <c r="J1444" i="3"/>
  <c r="J1443" i="3"/>
  <c r="J1442" i="3"/>
  <c r="J1441" i="3"/>
  <c r="J1440" i="3"/>
  <c r="J1439" i="3"/>
  <c r="J1438" i="3"/>
  <c r="J1437" i="3"/>
  <c r="J1436" i="3"/>
  <c r="J1435" i="3"/>
  <c r="J1434" i="3"/>
  <c r="J1433" i="3"/>
  <c r="J1432" i="3"/>
  <c r="J1431" i="3"/>
  <c r="J1430" i="3"/>
  <c r="J1429" i="3"/>
  <c r="J1428" i="3"/>
  <c r="J1427" i="3"/>
  <c r="J1426" i="3"/>
  <c r="J1425" i="3"/>
  <c r="J1424" i="3"/>
  <c r="J1423" i="3"/>
  <c r="J1422" i="3"/>
  <c r="J1421" i="3"/>
  <c r="J1420" i="3"/>
  <c r="J1419" i="3"/>
  <c r="J1418" i="3"/>
  <c r="J1417" i="3"/>
  <c r="J1416" i="3"/>
  <c r="J1415" i="3"/>
  <c r="J1414" i="3"/>
  <c r="J1413" i="3"/>
  <c r="J1412" i="3"/>
  <c r="J1411" i="3"/>
  <c r="J1410" i="3"/>
  <c r="J1409" i="3"/>
  <c r="J1408" i="3"/>
  <c r="J1407" i="3"/>
  <c r="J1406" i="3"/>
  <c r="J1405" i="3"/>
  <c r="J1404" i="3"/>
  <c r="J1403" i="3"/>
  <c r="J1402" i="3"/>
  <c r="J1401" i="3"/>
  <c r="J1400" i="3"/>
  <c r="J1399" i="3"/>
  <c r="J1398" i="3"/>
  <c r="J1397" i="3"/>
  <c r="J1396" i="3"/>
  <c r="J1395" i="3"/>
  <c r="J1394" i="3"/>
  <c r="J1393" i="3"/>
  <c r="J1392" i="3"/>
  <c r="J1391" i="3"/>
  <c r="J1390" i="3"/>
  <c r="J1389" i="3"/>
  <c r="J1388" i="3"/>
  <c r="J1387" i="3"/>
  <c r="J1386" i="3"/>
  <c r="J1385" i="3"/>
  <c r="J1384" i="3"/>
  <c r="J1383" i="3"/>
  <c r="J1382" i="3"/>
  <c r="J1381" i="3"/>
  <c r="J1380" i="3"/>
  <c r="J1379" i="3"/>
  <c r="J1378" i="3"/>
  <c r="J1377" i="3"/>
  <c r="J1376" i="3"/>
  <c r="J1375" i="3"/>
  <c r="J1374" i="3"/>
  <c r="J1373" i="3"/>
  <c r="J1372" i="3"/>
  <c r="J1371" i="3"/>
  <c r="J1370" i="3"/>
  <c r="J1369" i="3"/>
  <c r="J1368" i="3"/>
  <c r="J1367" i="3"/>
  <c r="J1366" i="3"/>
  <c r="J1365" i="3"/>
  <c r="J1364" i="3"/>
  <c r="J1363" i="3"/>
  <c r="J1362" i="3"/>
  <c r="J1361" i="3"/>
  <c r="J1360" i="3"/>
  <c r="J1359" i="3"/>
  <c r="J1358" i="3"/>
  <c r="J1357" i="3"/>
  <c r="J1356" i="3"/>
  <c r="J1355" i="3"/>
  <c r="J1354" i="3"/>
  <c r="J1353" i="3"/>
  <c r="J1352" i="3"/>
  <c r="J1351" i="3"/>
  <c r="J1350" i="3"/>
  <c r="J1349" i="3"/>
  <c r="J1348" i="3"/>
  <c r="J1347" i="3"/>
  <c r="J1346" i="3"/>
  <c r="J1345" i="3"/>
  <c r="J1344" i="3"/>
  <c r="J1343" i="3"/>
  <c r="J1342" i="3"/>
  <c r="J1341" i="3"/>
  <c r="J1340" i="3"/>
  <c r="J1339" i="3"/>
  <c r="J1338" i="3"/>
  <c r="J1337" i="3"/>
  <c r="J1336" i="3"/>
  <c r="J1335" i="3"/>
  <c r="J1334" i="3"/>
  <c r="J1333" i="3"/>
  <c r="J1332" i="3"/>
  <c r="J1331" i="3"/>
  <c r="J1330" i="3"/>
  <c r="J1329" i="3"/>
  <c r="J1328" i="3"/>
  <c r="J1327" i="3"/>
  <c r="J1326" i="3"/>
  <c r="J1325" i="3"/>
  <c r="J1324" i="3"/>
  <c r="J1323" i="3"/>
  <c r="J1322" i="3"/>
  <c r="J1321" i="3"/>
  <c r="J1320" i="3"/>
  <c r="J1319" i="3"/>
  <c r="J1318" i="3"/>
  <c r="J1317" i="3"/>
  <c r="J1316" i="3"/>
  <c r="J1315" i="3"/>
  <c r="J1314" i="3"/>
  <c r="J1313" i="3"/>
  <c r="J1312" i="3"/>
  <c r="J1311" i="3"/>
  <c r="J1310" i="3"/>
  <c r="J1309" i="3"/>
  <c r="J1308" i="3"/>
  <c r="J1307" i="3"/>
  <c r="J1306" i="3"/>
  <c r="J1305" i="3"/>
  <c r="J1304" i="3"/>
  <c r="J1303" i="3"/>
  <c r="J1302" i="3"/>
  <c r="J1301" i="3"/>
  <c r="J1300" i="3"/>
  <c r="J1299" i="3"/>
  <c r="J1298" i="3"/>
  <c r="J1297" i="3"/>
  <c r="J1296" i="3"/>
  <c r="J1295" i="3"/>
  <c r="J1294" i="3"/>
  <c r="J1293" i="3"/>
  <c r="J1292" i="3"/>
  <c r="J1291" i="3"/>
  <c r="J1290" i="3"/>
  <c r="J1289" i="3"/>
  <c r="J1288" i="3"/>
  <c r="J1287" i="3"/>
  <c r="J1286" i="3"/>
  <c r="J1285" i="3"/>
  <c r="J1284" i="3"/>
  <c r="J1283" i="3"/>
  <c r="J1282" i="3"/>
  <c r="J1281" i="3"/>
  <c r="J1280" i="3"/>
  <c r="J1279" i="3"/>
  <c r="J1278" i="3"/>
  <c r="J1277" i="3"/>
  <c r="J1276" i="3"/>
  <c r="J1275" i="3"/>
  <c r="J1274" i="3"/>
  <c r="J1273" i="3"/>
  <c r="J1272" i="3"/>
  <c r="J1271" i="3"/>
  <c r="J1270" i="3"/>
  <c r="J1269" i="3"/>
  <c r="J1268" i="3"/>
  <c r="J1267" i="3"/>
  <c r="J1266" i="3"/>
  <c r="J1265" i="3"/>
  <c r="J1264" i="3"/>
  <c r="J1263" i="3"/>
  <c r="J1262" i="3"/>
  <c r="J1261" i="3"/>
  <c r="J1260" i="3"/>
  <c r="J1259" i="3"/>
  <c r="J1258" i="3"/>
  <c r="J1257" i="3"/>
  <c r="J1256" i="3"/>
  <c r="J1255" i="3"/>
  <c r="J1254" i="3"/>
  <c r="J1253" i="3"/>
  <c r="J1252" i="3"/>
  <c r="J1251" i="3"/>
  <c r="J1250" i="3"/>
  <c r="J1249" i="3"/>
  <c r="J1248" i="3"/>
  <c r="J1247" i="3"/>
  <c r="J1246" i="3"/>
  <c r="J1245" i="3"/>
  <c r="J1244" i="3"/>
  <c r="J1243" i="3"/>
  <c r="J1242" i="3"/>
  <c r="J1241" i="3"/>
  <c r="J1240" i="3"/>
  <c r="J1239" i="3"/>
  <c r="J1238" i="3"/>
  <c r="J1237" i="3"/>
  <c r="J1236" i="3"/>
  <c r="J1235" i="3"/>
  <c r="J1234" i="3"/>
  <c r="J1233" i="3"/>
  <c r="J1232" i="3"/>
  <c r="J1231" i="3"/>
  <c r="J1230" i="3"/>
  <c r="J1229" i="3"/>
  <c r="J1228" i="3"/>
  <c r="J1227" i="3"/>
  <c r="J1226" i="3"/>
  <c r="J1225" i="3"/>
  <c r="J1224" i="3"/>
  <c r="J1223" i="3"/>
  <c r="J1222" i="3"/>
  <c r="J1221" i="3"/>
  <c r="J1220" i="3"/>
  <c r="J1219" i="3"/>
  <c r="J1218" i="3"/>
  <c r="J1217" i="3"/>
  <c r="J1216" i="3"/>
  <c r="J1215" i="3"/>
  <c r="J1214" i="3"/>
  <c r="J1213" i="3"/>
  <c r="J1212" i="3"/>
  <c r="J1211" i="3"/>
  <c r="J1210" i="3"/>
  <c r="J1209" i="3"/>
  <c r="J1208" i="3"/>
  <c r="J1207" i="3"/>
  <c r="J1206" i="3"/>
  <c r="J1205" i="3"/>
  <c r="J1204" i="3"/>
  <c r="J1203" i="3"/>
  <c r="J1202" i="3"/>
  <c r="J1201" i="3"/>
  <c r="J1200" i="3"/>
  <c r="J1199" i="3"/>
  <c r="J1198" i="3"/>
  <c r="J1197" i="3"/>
  <c r="J1196" i="3"/>
  <c r="J1195" i="3"/>
  <c r="J1194" i="3"/>
  <c r="J1193" i="3"/>
  <c r="J1192" i="3"/>
  <c r="J1191" i="3"/>
  <c r="J1190" i="3"/>
  <c r="J1189" i="3"/>
  <c r="J1188" i="3"/>
  <c r="J1187" i="3"/>
  <c r="J1186" i="3"/>
  <c r="J1185" i="3"/>
  <c r="J1184" i="3"/>
  <c r="J1183" i="3"/>
  <c r="J1182" i="3"/>
  <c r="J1181" i="3"/>
  <c r="J1180" i="3"/>
  <c r="J1179" i="3"/>
  <c r="J1178" i="3"/>
  <c r="J1177" i="3"/>
  <c r="J1176" i="3"/>
  <c r="J1175" i="3"/>
  <c r="J1174" i="3"/>
  <c r="J1173" i="3"/>
  <c r="J1172" i="3"/>
  <c r="J1171" i="3"/>
  <c r="J1170" i="3"/>
  <c r="J1169" i="3"/>
  <c r="J1168" i="3"/>
  <c r="J1167" i="3"/>
  <c r="J1166" i="3"/>
  <c r="J1165" i="3"/>
  <c r="J1164" i="3"/>
  <c r="J1163" i="3"/>
  <c r="J1162" i="3"/>
  <c r="J1161" i="3"/>
  <c r="J1160" i="3"/>
  <c r="J1159" i="3"/>
  <c r="J1158" i="3"/>
  <c r="J1157" i="3"/>
  <c r="J1156" i="3"/>
  <c r="J1155" i="3"/>
  <c r="J1154" i="3"/>
  <c r="J1153" i="3"/>
  <c r="J1152" i="3"/>
  <c r="J1151" i="3"/>
  <c r="J1150" i="3"/>
  <c r="J1149" i="3"/>
  <c r="J1148" i="3"/>
  <c r="J1147" i="3"/>
  <c r="J1146" i="3"/>
  <c r="J1145" i="3"/>
  <c r="J1144" i="3"/>
  <c r="J1143" i="3"/>
  <c r="J1142" i="3"/>
  <c r="J1141" i="3"/>
  <c r="J1140" i="3"/>
  <c r="J1139" i="3"/>
  <c r="J1138" i="3"/>
  <c r="J1137" i="3"/>
  <c r="J1136" i="3"/>
  <c r="J1135" i="3"/>
  <c r="J1134" i="3"/>
  <c r="J1133" i="3"/>
  <c r="J1132" i="3"/>
  <c r="J1131" i="3"/>
  <c r="J1130" i="3"/>
  <c r="J1129" i="3"/>
  <c r="J1128" i="3"/>
  <c r="J1127" i="3"/>
  <c r="J1126" i="3"/>
  <c r="J1125" i="3"/>
  <c r="J1124" i="3"/>
  <c r="J1123" i="3"/>
  <c r="J1122" i="3"/>
  <c r="J1121" i="3"/>
  <c r="J1120" i="3"/>
  <c r="J1119" i="3"/>
  <c r="J1118" i="3"/>
  <c r="J1117" i="3"/>
  <c r="J1116" i="3"/>
  <c r="J1115" i="3"/>
  <c r="J1114" i="3"/>
  <c r="J1113" i="3"/>
  <c r="J1112" i="3"/>
  <c r="J1111" i="3"/>
  <c r="J1110" i="3"/>
  <c r="J1109" i="3"/>
  <c r="J1108" i="3"/>
  <c r="J1107" i="3"/>
  <c r="J1106" i="3"/>
  <c r="J1105" i="3"/>
  <c r="J1104" i="3"/>
  <c r="J1103" i="3"/>
  <c r="J1102" i="3"/>
  <c r="J1101" i="3"/>
  <c r="J1100" i="3"/>
  <c r="J1099" i="3"/>
  <c r="J1098" i="3"/>
  <c r="J1097" i="3"/>
  <c r="J1096" i="3"/>
  <c r="J1095" i="3"/>
  <c r="J1094" i="3"/>
  <c r="J1093" i="3"/>
  <c r="J1092" i="3"/>
  <c r="J1091" i="3"/>
  <c r="J1090" i="3"/>
  <c r="J1089" i="3"/>
  <c r="J1088" i="3"/>
  <c r="J1087" i="3"/>
  <c r="J1086" i="3"/>
  <c r="J1085" i="3"/>
  <c r="J1084" i="3"/>
  <c r="J1083" i="3"/>
  <c r="J1082" i="3"/>
  <c r="J1081" i="3"/>
  <c r="J1080" i="3"/>
  <c r="J1079" i="3"/>
  <c r="J1078" i="3"/>
  <c r="J1077" i="3"/>
  <c r="J1076" i="3"/>
  <c r="J1075" i="3"/>
  <c r="J1074" i="3"/>
  <c r="J1073" i="3"/>
  <c r="J1072" i="3"/>
  <c r="J1071" i="3"/>
  <c r="J1070" i="3"/>
  <c r="J1069" i="3"/>
  <c r="J1068" i="3"/>
  <c r="J1067" i="3"/>
  <c r="J1066" i="3"/>
  <c r="J1065" i="3"/>
  <c r="J1064" i="3"/>
  <c r="J1063" i="3"/>
  <c r="J1062" i="3"/>
  <c r="J1061" i="3"/>
  <c r="J1060" i="3"/>
  <c r="J1059" i="3"/>
  <c r="J1058" i="3"/>
  <c r="J1057" i="3"/>
  <c r="J1056" i="3"/>
  <c r="J1055" i="3"/>
  <c r="J1054" i="3"/>
  <c r="J1053" i="3"/>
  <c r="J1052" i="3"/>
  <c r="J1051" i="3"/>
  <c r="J1050" i="3"/>
  <c r="J1049" i="3"/>
  <c r="J1048" i="3"/>
  <c r="J1047" i="3"/>
  <c r="J1046" i="3"/>
  <c r="J1045" i="3"/>
  <c r="J1044" i="3"/>
  <c r="J1043" i="3"/>
  <c r="J1042" i="3"/>
  <c r="J1041" i="3"/>
  <c r="J1040" i="3"/>
  <c r="J1039" i="3"/>
  <c r="J1038" i="3"/>
  <c r="J1037" i="3"/>
  <c r="J1036" i="3"/>
  <c r="J1035" i="3"/>
  <c r="J1034" i="3"/>
  <c r="J1033" i="3"/>
  <c r="J1032" i="3"/>
  <c r="J1031" i="3"/>
  <c r="J1030" i="3"/>
  <c r="J1029" i="3"/>
  <c r="J1028" i="3"/>
  <c r="J1027" i="3"/>
  <c r="J1026" i="3"/>
  <c r="J1025" i="3"/>
  <c r="J1024" i="3"/>
  <c r="J1023" i="3"/>
  <c r="J1022" i="3"/>
  <c r="J1021" i="3"/>
  <c r="J1020" i="3"/>
  <c r="J1019" i="3"/>
  <c r="J1018" i="3"/>
  <c r="J1017" i="3"/>
  <c r="J1016" i="3"/>
  <c r="J1015" i="3"/>
  <c r="J1014" i="3"/>
  <c r="J1013" i="3"/>
  <c r="J1012" i="3"/>
  <c r="J1011" i="3"/>
  <c r="J1010" i="3"/>
  <c r="J1009" i="3"/>
  <c r="J1008" i="3"/>
  <c r="J1007" i="3"/>
  <c r="J1006" i="3"/>
  <c r="J1005" i="3"/>
  <c r="J1004" i="3"/>
  <c r="J1003" i="3"/>
  <c r="J1002" i="3"/>
  <c r="J1001" i="3"/>
  <c r="J1000" i="3"/>
  <c r="J999" i="3"/>
  <c r="J998" i="3"/>
  <c r="J997" i="3"/>
  <c r="J996" i="3"/>
  <c r="J995" i="3"/>
  <c r="J994" i="3"/>
  <c r="J993" i="3"/>
  <c r="J992" i="3"/>
  <c r="J991" i="3"/>
  <c r="J990" i="3"/>
  <c r="J989" i="3"/>
  <c r="J988" i="3"/>
  <c r="J987" i="3"/>
  <c r="J986" i="3"/>
  <c r="J985" i="3"/>
  <c r="J984" i="3"/>
  <c r="J983" i="3"/>
  <c r="J982" i="3"/>
  <c r="J981" i="3"/>
  <c r="J980" i="3"/>
  <c r="J979" i="3"/>
  <c r="J978" i="3"/>
  <c r="J977" i="3"/>
  <c r="J976" i="3"/>
  <c r="J975" i="3"/>
  <c r="J974" i="3"/>
  <c r="J973" i="3"/>
  <c r="J972" i="3"/>
  <c r="J971" i="3"/>
  <c r="J970" i="3"/>
  <c r="J969" i="3"/>
  <c r="J968" i="3"/>
  <c r="J967" i="3"/>
  <c r="J966" i="3"/>
  <c r="J965" i="3"/>
  <c r="J964" i="3"/>
  <c r="J963" i="3"/>
  <c r="J962" i="3"/>
  <c r="J961" i="3"/>
  <c r="J960" i="3"/>
  <c r="J959" i="3"/>
  <c r="J958" i="3"/>
  <c r="J957" i="3"/>
  <c r="J956" i="3"/>
  <c r="J955" i="3"/>
  <c r="J954" i="3"/>
  <c r="J953" i="3"/>
  <c r="J952" i="3"/>
  <c r="J951" i="3"/>
  <c r="J950" i="3"/>
  <c r="J949" i="3"/>
  <c r="J948" i="3"/>
  <c r="J947" i="3"/>
  <c r="J946" i="3"/>
  <c r="J945" i="3"/>
  <c r="J944" i="3"/>
  <c r="J943" i="3"/>
  <c r="J942" i="3"/>
  <c r="J941" i="3"/>
  <c r="J940" i="3"/>
  <c r="J939" i="3"/>
  <c r="J938" i="3"/>
  <c r="J937" i="3"/>
  <c r="J936" i="3"/>
  <c r="J935" i="3"/>
  <c r="J934" i="3"/>
  <c r="J933" i="3"/>
  <c r="J932" i="3"/>
  <c r="J931" i="3"/>
  <c r="J930" i="3"/>
  <c r="J929" i="3"/>
  <c r="J928" i="3"/>
  <c r="J927" i="3"/>
  <c r="J926" i="3"/>
  <c r="J925" i="3"/>
  <c r="J924" i="3"/>
  <c r="J923" i="3"/>
  <c r="J922" i="3"/>
  <c r="J921" i="3"/>
  <c r="J920" i="3"/>
  <c r="J919" i="3"/>
  <c r="J918" i="3"/>
  <c r="J917" i="3"/>
  <c r="J916" i="3"/>
  <c r="J915" i="3"/>
  <c r="J914" i="3"/>
  <c r="J913" i="3"/>
  <c r="J912" i="3"/>
  <c r="J911" i="3"/>
  <c r="J910" i="3"/>
  <c r="J909" i="3"/>
  <c r="J908" i="3"/>
  <c r="J907" i="3"/>
  <c r="J906" i="3"/>
  <c r="J905" i="3"/>
  <c r="J904" i="3"/>
  <c r="J903" i="3"/>
  <c r="J902" i="3"/>
  <c r="J901" i="3"/>
  <c r="J900" i="3"/>
  <c r="J899" i="3"/>
  <c r="J898" i="3"/>
  <c r="J897" i="3"/>
  <c r="J896" i="3"/>
  <c r="J895" i="3"/>
  <c r="J894" i="3"/>
  <c r="J893" i="3"/>
  <c r="J892" i="3"/>
  <c r="J891" i="3"/>
  <c r="J890" i="3"/>
  <c r="J889" i="3"/>
  <c r="J888" i="3"/>
  <c r="J887" i="3"/>
  <c r="J886" i="3"/>
  <c r="J885" i="3"/>
  <c r="J884" i="3"/>
  <c r="J883" i="3"/>
  <c r="J882" i="3"/>
  <c r="J881" i="3"/>
  <c r="J880" i="3"/>
  <c r="J879" i="3"/>
  <c r="J878" i="3"/>
  <c r="J877" i="3"/>
  <c r="J876" i="3"/>
  <c r="J875" i="3"/>
  <c r="J874" i="3"/>
  <c r="J873" i="3"/>
  <c r="J872" i="3"/>
  <c r="J871" i="3"/>
  <c r="J870" i="3"/>
  <c r="J869" i="3"/>
  <c r="J868" i="3"/>
  <c r="J867" i="3"/>
  <c r="J866" i="3"/>
  <c r="J865" i="3"/>
  <c r="J864" i="3"/>
  <c r="J863" i="3"/>
  <c r="J862" i="3"/>
  <c r="J861" i="3"/>
  <c r="J860" i="3"/>
  <c r="J859" i="3"/>
  <c r="J858" i="3"/>
  <c r="J857" i="3"/>
  <c r="J856" i="3"/>
  <c r="J855" i="3"/>
  <c r="J854" i="3"/>
  <c r="J853" i="3"/>
  <c r="J852" i="3"/>
  <c r="J851" i="3"/>
  <c r="J850" i="3"/>
  <c r="J849" i="3"/>
  <c r="J848" i="3"/>
  <c r="J847" i="3"/>
  <c r="J846" i="3"/>
  <c r="J845" i="3"/>
  <c r="J844" i="3"/>
  <c r="J843" i="3"/>
  <c r="J842" i="3"/>
  <c r="J841" i="3"/>
  <c r="J840" i="3"/>
  <c r="J839" i="3"/>
  <c r="J838" i="3"/>
  <c r="J837" i="3"/>
  <c r="J836" i="3"/>
  <c r="J835" i="3"/>
  <c r="J834" i="3"/>
  <c r="J833" i="3"/>
  <c r="J832" i="3"/>
  <c r="J831" i="3"/>
  <c r="J830" i="3"/>
  <c r="J829" i="3"/>
  <c r="J828" i="3"/>
  <c r="J827" i="3"/>
  <c r="J826" i="3"/>
  <c r="J825" i="3"/>
  <c r="J824" i="3"/>
  <c r="J823" i="3"/>
  <c r="J822" i="3"/>
  <c r="J821" i="3"/>
  <c r="J820" i="3"/>
  <c r="J819" i="3"/>
  <c r="J818" i="3"/>
  <c r="J817" i="3"/>
  <c r="J816" i="3"/>
  <c r="J815" i="3"/>
  <c r="J814" i="3"/>
  <c r="J813" i="3"/>
  <c r="J812" i="3"/>
  <c r="J811" i="3"/>
  <c r="J810" i="3"/>
  <c r="J809" i="3"/>
  <c r="J808" i="3"/>
  <c r="J807" i="3"/>
  <c r="J806" i="3"/>
  <c r="J805" i="3"/>
  <c r="J804" i="3"/>
  <c r="J803" i="3"/>
  <c r="J802" i="3"/>
  <c r="J801" i="3"/>
  <c r="J800" i="3"/>
  <c r="J799" i="3"/>
  <c r="J798" i="3"/>
  <c r="J797" i="3"/>
  <c r="J796" i="3"/>
  <c r="J795" i="3"/>
  <c r="J794" i="3"/>
  <c r="J793" i="3"/>
  <c r="J792" i="3"/>
  <c r="J791" i="3"/>
  <c r="J790" i="3"/>
  <c r="J789" i="3"/>
  <c r="J788" i="3"/>
  <c r="J787" i="3"/>
  <c r="J786" i="3"/>
  <c r="J785" i="3"/>
  <c r="J784" i="3"/>
  <c r="J783" i="3"/>
  <c r="J782" i="3"/>
  <c r="J781" i="3"/>
  <c r="J780" i="3"/>
  <c r="J779" i="3"/>
  <c r="J778" i="3"/>
  <c r="J777" i="3"/>
  <c r="J776" i="3"/>
  <c r="J775" i="3"/>
  <c r="J774" i="3"/>
  <c r="J773" i="3"/>
  <c r="J772" i="3"/>
  <c r="J771" i="3"/>
  <c r="J770" i="3"/>
  <c r="J769" i="3"/>
  <c r="J768" i="3"/>
  <c r="J767" i="3"/>
  <c r="J766" i="3"/>
  <c r="J765" i="3"/>
  <c r="J764" i="3"/>
  <c r="J763" i="3"/>
  <c r="J762" i="3"/>
  <c r="J761" i="3"/>
  <c r="J760" i="3"/>
  <c r="J759" i="3"/>
  <c r="J758" i="3"/>
  <c r="J757" i="3"/>
  <c r="J756" i="3"/>
  <c r="J755" i="3"/>
  <c r="J754" i="3"/>
  <c r="J753" i="3"/>
  <c r="J752" i="3"/>
  <c r="J751" i="3"/>
  <c r="J750" i="3"/>
  <c r="J749" i="3"/>
  <c r="J748" i="3"/>
  <c r="J747" i="3"/>
  <c r="J746" i="3"/>
  <c r="J745" i="3"/>
  <c r="J744" i="3"/>
  <c r="J743" i="3"/>
  <c r="J742" i="3"/>
  <c r="J741" i="3"/>
  <c r="J740" i="3"/>
  <c r="J739" i="3"/>
  <c r="J738" i="3"/>
  <c r="J737" i="3"/>
  <c r="J736" i="3"/>
  <c r="J735" i="3"/>
  <c r="J734" i="3"/>
  <c r="J733" i="3"/>
  <c r="J732" i="3"/>
  <c r="J731" i="3"/>
  <c r="J730" i="3"/>
  <c r="J729" i="3"/>
  <c r="J728" i="3"/>
  <c r="J727" i="3"/>
  <c r="J726" i="3"/>
  <c r="J725" i="3"/>
  <c r="J724" i="3"/>
  <c r="J723" i="3"/>
  <c r="J722" i="3"/>
  <c r="J721" i="3"/>
  <c r="J720" i="3"/>
  <c r="J719" i="3"/>
  <c r="J718" i="3"/>
  <c r="J717" i="3"/>
  <c r="J716" i="3"/>
  <c r="J715" i="3"/>
  <c r="J714" i="3"/>
  <c r="J713" i="3"/>
  <c r="J712" i="3"/>
  <c r="J711" i="3"/>
  <c r="J710" i="3"/>
  <c r="J709" i="3"/>
  <c r="J708" i="3"/>
  <c r="J707" i="3"/>
  <c r="J706" i="3"/>
  <c r="J705" i="3"/>
  <c r="J704" i="3"/>
  <c r="J703" i="3"/>
  <c r="J702" i="3"/>
  <c r="J701" i="3"/>
  <c r="J700" i="3"/>
  <c r="J699" i="3"/>
  <c r="J698" i="3"/>
  <c r="J697" i="3"/>
  <c r="J696" i="3"/>
  <c r="J695" i="3"/>
  <c r="J694" i="3"/>
  <c r="J693" i="3"/>
  <c r="J692" i="3"/>
  <c r="J691" i="3"/>
  <c r="J690" i="3"/>
  <c r="J689" i="3"/>
  <c r="J688" i="3"/>
  <c r="J687" i="3"/>
  <c r="J686" i="3"/>
  <c r="J685" i="3"/>
  <c r="J684" i="3"/>
  <c r="J683" i="3"/>
  <c r="J682" i="3"/>
  <c r="J681" i="3"/>
  <c r="J680" i="3"/>
  <c r="J679" i="3"/>
  <c r="J678" i="3"/>
  <c r="J677" i="3"/>
  <c r="J676" i="3"/>
  <c r="J675" i="3"/>
  <c r="J674" i="3"/>
  <c r="J673" i="3"/>
  <c r="J672" i="3"/>
  <c r="J671" i="3"/>
  <c r="J670" i="3"/>
  <c r="J669" i="3"/>
  <c r="J668" i="3"/>
  <c r="J667" i="3"/>
  <c r="J666" i="3"/>
  <c r="J665" i="3"/>
  <c r="J664" i="3"/>
  <c r="J663" i="3"/>
  <c r="J662" i="3"/>
  <c r="J661" i="3"/>
  <c r="J660" i="3"/>
  <c r="J659" i="3"/>
  <c r="J658" i="3"/>
  <c r="J657" i="3"/>
  <c r="J656" i="3"/>
  <c r="J655" i="3"/>
  <c r="J654" i="3"/>
  <c r="J653" i="3"/>
  <c r="J652" i="3"/>
  <c r="J651" i="3"/>
  <c r="J650" i="3"/>
  <c r="J649" i="3"/>
  <c r="J648" i="3"/>
  <c r="J647" i="3"/>
  <c r="J646" i="3"/>
  <c r="J645" i="3"/>
  <c r="J644" i="3"/>
  <c r="J643" i="3"/>
  <c r="J642" i="3"/>
  <c r="J641" i="3"/>
  <c r="J640" i="3"/>
  <c r="J639" i="3"/>
  <c r="J638" i="3"/>
  <c r="J637" i="3"/>
  <c r="J636" i="3"/>
  <c r="J635" i="3"/>
  <c r="J634" i="3"/>
  <c r="J633" i="3"/>
  <c r="J632" i="3"/>
  <c r="J631" i="3"/>
  <c r="J630" i="3"/>
  <c r="J629" i="3"/>
  <c r="J628" i="3"/>
  <c r="J627" i="3"/>
  <c r="J626" i="3"/>
  <c r="J625" i="3"/>
  <c r="J624" i="3"/>
  <c r="J623" i="3"/>
  <c r="J622" i="3"/>
  <c r="J621" i="3"/>
  <c r="J620" i="3"/>
  <c r="J619" i="3"/>
  <c r="J618" i="3"/>
  <c r="J617" i="3"/>
  <c r="J616" i="3"/>
  <c r="J615" i="3"/>
  <c r="J614" i="3"/>
  <c r="J613" i="3"/>
  <c r="J612" i="3"/>
  <c r="J611" i="3"/>
  <c r="J610" i="3"/>
  <c r="J609" i="3"/>
  <c r="J608" i="3"/>
  <c r="J607" i="3"/>
  <c r="J606" i="3"/>
  <c r="J605" i="3"/>
  <c r="J604" i="3"/>
  <c r="J603" i="3"/>
  <c r="J602" i="3"/>
  <c r="J601" i="3"/>
  <c r="J600" i="3"/>
  <c r="J599" i="3"/>
  <c r="J598" i="3"/>
  <c r="J597" i="3"/>
  <c r="J596" i="3"/>
  <c r="J595" i="3"/>
  <c r="J594" i="3"/>
  <c r="J593" i="3"/>
  <c r="J592" i="3"/>
  <c r="J591" i="3"/>
  <c r="J590" i="3"/>
  <c r="J589" i="3"/>
  <c r="J588" i="3"/>
  <c r="J587" i="3"/>
  <c r="J586" i="3"/>
  <c r="J585" i="3"/>
  <c r="J584" i="3"/>
  <c r="J583" i="3"/>
  <c r="J582" i="3"/>
  <c r="J581" i="3"/>
  <c r="J580" i="3"/>
  <c r="J579" i="3"/>
  <c r="J578" i="3"/>
  <c r="J577" i="3"/>
  <c r="J576" i="3"/>
  <c r="J575" i="3"/>
  <c r="J574" i="3"/>
  <c r="J573" i="3"/>
  <c r="J572" i="3"/>
  <c r="J571" i="3"/>
  <c r="J570" i="3"/>
  <c r="J569" i="3"/>
  <c r="J568" i="3"/>
  <c r="J567" i="3"/>
  <c r="J566" i="3"/>
  <c r="J565" i="3"/>
  <c r="J564" i="3"/>
  <c r="J563" i="3"/>
  <c r="J562" i="3"/>
  <c r="J561" i="3"/>
  <c r="J560" i="3"/>
  <c r="J559" i="3"/>
  <c r="J558" i="3"/>
  <c r="J557" i="3"/>
  <c r="J556" i="3"/>
  <c r="J555" i="3"/>
  <c r="J554" i="3"/>
  <c r="J553" i="3"/>
  <c r="J552" i="3"/>
  <c r="J551" i="3"/>
  <c r="J550" i="3"/>
  <c r="J549" i="3"/>
  <c r="J548" i="3"/>
  <c r="J547" i="3"/>
  <c r="J546" i="3"/>
  <c r="J545" i="3"/>
  <c r="J544" i="3"/>
  <c r="J543" i="3"/>
  <c r="J542" i="3"/>
  <c r="J541" i="3"/>
  <c r="J540" i="3"/>
  <c r="J539" i="3"/>
  <c r="J538" i="3"/>
  <c r="J537" i="3"/>
  <c r="J536" i="3"/>
  <c r="J535" i="3"/>
  <c r="J534" i="3"/>
  <c r="J533" i="3"/>
  <c r="J532" i="3"/>
  <c r="J531" i="3"/>
  <c r="J530" i="3"/>
  <c r="J529" i="3"/>
  <c r="J528" i="3"/>
  <c r="J527" i="3"/>
  <c r="J526" i="3"/>
  <c r="J525" i="3"/>
  <c r="J524" i="3"/>
  <c r="J523" i="3"/>
  <c r="J522" i="3"/>
  <c r="J521" i="3"/>
  <c r="J520" i="3"/>
  <c r="J519" i="3"/>
  <c r="J518" i="3"/>
  <c r="J517" i="3"/>
  <c r="J516" i="3"/>
  <c r="J515" i="3"/>
  <c r="J514" i="3"/>
  <c r="J513" i="3"/>
  <c r="J512" i="3"/>
  <c r="J511" i="3"/>
  <c r="J510" i="3"/>
  <c r="J509" i="3"/>
  <c r="J508" i="3"/>
  <c r="J507" i="3"/>
  <c r="J506" i="3"/>
  <c r="J505" i="3"/>
  <c r="J504" i="3"/>
  <c r="J503" i="3"/>
  <c r="J502" i="3"/>
  <c r="J501" i="3"/>
  <c r="J500" i="3"/>
  <c r="J499" i="3"/>
  <c r="J498" i="3"/>
  <c r="J497" i="3"/>
  <c r="J496" i="3"/>
  <c r="J495" i="3"/>
  <c r="J494" i="3"/>
  <c r="J493" i="3"/>
  <c r="J492" i="3"/>
  <c r="J491" i="3"/>
  <c r="J490" i="3"/>
  <c r="J489" i="3"/>
  <c r="J488" i="3"/>
  <c r="J487" i="3"/>
  <c r="J486" i="3"/>
  <c r="J485" i="3"/>
  <c r="J484" i="3"/>
  <c r="J483" i="3"/>
  <c r="J482" i="3"/>
  <c r="J481" i="3"/>
  <c r="J480" i="3"/>
  <c r="J479" i="3"/>
  <c r="J478" i="3"/>
  <c r="J477" i="3"/>
  <c r="J476" i="3"/>
  <c r="J475" i="3"/>
  <c r="J474" i="3"/>
  <c r="J473" i="3"/>
  <c r="J472" i="3"/>
  <c r="J471" i="3"/>
  <c r="J470" i="3"/>
  <c r="J469" i="3"/>
  <c r="J468" i="3"/>
  <c r="J467" i="3"/>
  <c r="J466" i="3"/>
  <c r="J465" i="3"/>
  <c r="J464" i="3"/>
  <c r="J463" i="3"/>
  <c r="J462" i="3"/>
  <c r="J461" i="3"/>
  <c r="J460" i="3"/>
  <c r="J459" i="3"/>
  <c r="J458" i="3"/>
  <c r="J457" i="3"/>
  <c r="J456" i="3"/>
  <c r="J455" i="3"/>
  <c r="J454" i="3"/>
  <c r="J453" i="3"/>
  <c r="J452" i="3"/>
  <c r="J451" i="3"/>
  <c r="J450" i="3"/>
  <c r="J449" i="3"/>
  <c r="J448" i="3"/>
  <c r="J447" i="3"/>
  <c r="J446" i="3"/>
  <c r="J445" i="3"/>
  <c r="J444" i="3"/>
  <c r="J443" i="3"/>
  <c r="J442" i="3"/>
  <c r="J441" i="3"/>
  <c r="J440" i="3"/>
  <c r="J439" i="3"/>
  <c r="J438" i="3"/>
  <c r="J437" i="3"/>
  <c r="J436" i="3"/>
  <c r="J435" i="3"/>
  <c r="J434" i="3"/>
  <c r="J433" i="3"/>
  <c r="J432" i="3"/>
  <c r="J431" i="3"/>
  <c r="J430" i="3"/>
  <c r="J429" i="3"/>
  <c r="J428" i="3"/>
  <c r="J427" i="3"/>
  <c r="J426" i="3"/>
  <c r="J425" i="3"/>
  <c r="J424" i="3"/>
  <c r="J423" i="3"/>
  <c r="J422" i="3"/>
  <c r="J421" i="3"/>
  <c r="J420" i="3"/>
  <c r="J419" i="3"/>
  <c r="J418" i="3"/>
  <c r="J417" i="3"/>
  <c r="J416" i="3"/>
  <c r="J415" i="3"/>
  <c r="J414" i="3"/>
  <c r="J413" i="3"/>
  <c r="J412" i="3"/>
  <c r="J411" i="3"/>
  <c r="J410" i="3"/>
  <c r="J409" i="3"/>
  <c r="J408" i="3"/>
  <c r="J407" i="3"/>
  <c r="J406" i="3"/>
  <c r="J405" i="3"/>
  <c r="J404" i="3"/>
  <c r="J403" i="3"/>
  <c r="J402" i="3"/>
  <c r="J401" i="3"/>
  <c r="J400" i="3"/>
  <c r="J399" i="3"/>
  <c r="J398" i="3"/>
  <c r="J397" i="3"/>
  <c r="J396" i="3"/>
  <c r="J395" i="3"/>
  <c r="J394" i="3"/>
  <c r="J393" i="3"/>
  <c r="J392" i="3"/>
  <c r="J391" i="3"/>
  <c r="J390" i="3"/>
  <c r="J389" i="3"/>
  <c r="J388" i="3"/>
  <c r="J387" i="3"/>
  <c r="J386" i="3"/>
  <c r="J385" i="3"/>
  <c r="J384" i="3"/>
  <c r="J383" i="3"/>
  <c r="J382" i="3"/>
  <c r="J381" i="3"/>
  <c r="J380" i="3"/>
  <c r="J379" i="3"/>
  <c r="J378" i="3"/>
  <c r="J377" i="3"/>
  <c r="J376" i="3"/>
  <c r="J375" i="3"/>
  <c r="J374" i="3"/>
  <c r="J373" i="3"/>
  <c r="J372" i="3"/>
  <c r="J371" i="3"/>
  <c r="J370" i="3"/>
  <c r="J369" i="3"/>
  <c r="J368" i="3"/>
  <c r="J367" i="3"/>
  <c r="J366" i="3"/>
  <c r="J365" i="3"/>
  <c r="J364" i="3"/>
  <c r="J363" i="3"/>
  <c r="J362" i="3"/>
  <c r="J361" i="3"/>
  <c r="J360" i="3"/>
  <c r="J359" i="3"/>
  <c r="J358" i="3"/>
  <c r="J357" i="3"/>
  <c r="J356" i="3"/>
  <c r="J355" i="3"/>
  <c r="J354" i="3"/>
  <c r="J353" i="3"/>
  <c r="J352" i="3"/>
  <c r="J351" i="3"/>
  <c r="J350" i="3"/>
  <c r="J349" i="3"/>
  <c r="J348" i="3"/>
  <c r="J347" i="3"/>
  <c r="J346" i="3"/>
  <c r="J345" i="3"/>
  <c r="J344" i="3"/>
  <c r="J343" i="3"/>
  <c r="J342" i="3"/>
  <c r="J341" i="3"/>
  <c r="J340" i="3"/>
  <c r="J339" i="3"/>
  <c r="J338" i="3"/>
  <c r="J337" i="3"/>
  <c r="J336" i="3"/>
  <c r="J335" i="3"/>
  <c r="J334" i="3"/>
  <c r="J333" i="3"/>
  <c r="J332" i="3"/>
  <c r="J331" i="3"/>
  <c r="J330" i="3"/>
  <c r="J329" i="3"/>
  <c r="J328" i="3"/>
  <c r="J327" i="3"/>
  <c r="J326" i="3"/>
  <c r="J325" i="3"/>
  <c r="J324" i="3"/>
  <c r="J323" i="3"/>
  <c r="J322" i="3"/>
  <c r="J321" i="3"/>
  <c r="J320" i="3"/>
  <c r="J319" i="3"/>
  <c r="J318" i="3"/>
  <c r="J317" i="3"/>
  <c r="J316" i="3"/>
  <c r="J315" i="3"/>
  <c r="J314" i="3"/>
  <c r="J313" i="3"/>
  <c r="J312" i="3"/>
  <c r="J311" i="3"/>
  <c r="J310" i="3"/>
  <c r="J309" i="3"/>
  <c r="J308" i="3"/>
  <c r="J307" i="3"/>
  <c r="J306" i="3"/>
  <c r="J305" i="3"/>
  <c r="J304" i="3"/>
  <c r="J303" i="3"/>
  <c r="J302" i="3"/>
  <c r="J301" i="3"/>
  <c r="J300" i="3"/>
  <c r="J299" i="3"/>
  <c r="J298" i="3"/>
  <c r="J297" i="3"/>
  <c r="J296" i="3"/>
  <c r="J295" i="3"/>
  <c r="J294" i="3"/>
  <c r="J293" i="3"/>
  <c r="J292" i="3"/>
  <c r="J291" i="3"/>
  <c r="J290" i="3"/>
  <c r="J289" i="3"/>
  <c r="J288" i="3"/>
  <c r="J287" i="3"/>
  <c r="J286" i="3"/>
  <c r="J285" i="3"/>
  <c r="J284" i="3"/>
  <c r="J283" i="3"/>
  <c r="J282" i="3"/>
  <c r="J281" i="3"/>
  <c r="J280" i="3"/>
  <c r="J279" i="3"/>
  <c r="J278" i="3"/>
  <c r="J277" i="3"/>
  <c r="J276" i="3"/>
  <c r="J275" i="3"/>
  <c r="J274" i="3"/>
  <c r="J273" i="3"/>
  <c r="J272" i="3"/>
  <c r="J271" i="3"/>
  <c r="J270" i="3"/>
  <c r="J269" i="3"/>
  <c r="J268" i="3"/>
  <c r="J267" i="3"/>
  <c r="J266" i="3"/>
  <c r="J265" i="3"/>
  <c r="J264" i="3"/>
  <c r="J263" i="3"/>
  <c r="J262" i="3"/>
  <c r="J261" i="3"/>
  <c r="J260" i="3"/>
  <c r="J259" i="3"/>
  <c r="J258" i="3"/>
  <c r="J257" i="3"/>
  <c r="J256" i="3"/>
  <c r="J255" i="3"/>
  <c r="J254" i="3"/>
  <c r="J253" i="3"/>
  <c r="J252" i="3"/>
  <c r="O252" i="3" s="1"/>
  <c r="J251" i="3"/>
  <c r="J250" i="3"/>
  <c r="J249" i="3"/>
  <c r="J248" i="3"/>
  <c r="J247" i="3"/>
  <c r="J246" i="3"/>
  <c r="J245" i="3"/>
  <c r="J244" i="3"/>
  <c r="J243" i="3"/>
  <c r="J242" i="3"/>
  <c r="J241" i="3"/>
  <c r="J240" i="3"/>
  <c r="J239" i="3"/>
  <c r="J238" i="3"/>
  <c r="J237" i="3"/>
  <c r="J236" i="3"/>
  <c r="J235" i="3"/>
  <c r="J234" i="3"/>
  <c r="J233" i="3"/>
  <c r="J232" i="3"/>
  <c r="J231" i="3"/>
  <c r="J230" i="3"/>
  <c r="J229" i="3"/>
  <c r="J228" i="3"/>
  <c r="J227" i="3"/>
  <c r="J226" i="3"/>
  <c r="J225" i="3"/>
  <c r="J224" i="3"/>
  <c r="J223" i="3"/>
  <c r="J222" i="3"/>
  <c r="J221" i="3"/>
  <c r="J220" i="3"/>
  <c r="J219" i="3"/>
  <c r="J218" i="3"/>
  <c r="J217" i="3"/>
  <c r="J216" i="3"/>
  <c r="J215" i="3"/>
  <c r="J214" i="3"/>
  <c r="J213" i="3"/>
  <c r="J212" i="3"/>
  <c r="J211" i="3"/>
  <c r="J210" i="3"/>
  <c r="J209" i="3"/>
  <c r="J208" i="3"/>
  <c r="J207" i="3"/>
  <c r="J206" i="3"/>
  <c r="J205" i="3"/>
  <c r="J204" i="3"/>
  <c r="J203" i="3"/>
  <c r="J202" i="3"/>
  <c r="J201" i="3"/>
  <c r="J200" i="3"/>
  <c r="J199" i="3"/>
  <c r="J198" i="3"/>
  <c r="J197" i="3"/>
  <c r="J196" i="3"/>
  <c r="J195" i="3"/>
  <c r="J194" i="3"/>
  <c r="J193" i="3"/>
  <c r="J192" i="3"/>
  <c r="J191" i="3"/>
  <c r="J190" i="3"/>
  <c r="J189" i="3"/>
  <c r="J188" i="3"/>
  <c r="J187" i="3"/>
  <c r="J186" i="3"/>
  <c r="J185" i="3"/>
  <c r="J184" i="3"/>
  <c r="J183" i="3"/>
  <c r="J182" i="3"/>
  <c r="J181" i="3"/>
  <c r="J180" i="3"/>
  <c r="J179" i="3"/>
  <c r="J178" i="3"/>
  <c r="J177" i="3"/>
  <c r="J176" i="3"/>
  <c r="J175"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J25" i="3"/>
  <c r="J24" i="3"/>
  <c r="J23" i="3"/>
  <c r="J22" i="3"/>
  <c r="J21" i="3"/>
  <c r="J20" i="3"/>
  <c r="J19" i="3"/>
  <c r="J18" i="3"/>
  <c r="J17" i="3"/>
  <c r="J16" i="3"/>
  <c r="J15" i="3"/>
  <c r="J14" i="3"/>
  <c r="J13" i="3"/>
  <c r="J12" i="3"/>
  <c r="J11" i="3"/>
  <c r="J10" i="3"/>
  <c r="J9" i="3"/>
  <c r="J8" i="3"/>
  <c r="J7" i="3"/>
  <c r="J6" i="3"/>
  <c r="J5" i="3"/>
  <c r="J4" i="3"/>
  <c r="J3" i="3"/>
  <c r="J2" i="3"/>
  <c r="I2" i="26"/>
  <c r="I3" i="26"/>
  <c r="I4" i="26"/>
  <c r="I5" i="26"/>
  <c r="B5" i="26"/>
  <c r="B4" i="26"/>
  <c r="B3" i="26"/>
  <c r="B2" i="26"/>
  <c r="A5" i="26"/>
  <c r="A4" i="26"/>
  <c r="A3" i="26"/>
  <c r="A2" i="26"/>
  <c r="O491" i="3"/>
  <c r="O610" i="3"/>
  <c r="P322" i="3"/>
  <c r="P434" i="3"/>
  <c r="P978" i="3"/>
  <c r="P1051" i="3"/>
  <c r="P1267" i="3"/>
  <c r="P1323" i="3"/>
  <c r="P1451" i="3"/>
  <c r="N1502" i="3"/>
  <c r="N1501" i="3"/>
  <c r="N1500" i="3"/>
  <c r="N1499" i="3"/>
  <c r="N1498" i="3"/>
  <c r="N1497" i="3"/>
  <c r="N1496" i="3"/>
  <c r="N1495" i="3"/>
  <c r="N1494" i="3"/>
  <c r="N1493" i="3"/>
  <c r="N1492" i="3"/>
  <c r="N1491" i="3"/>
  <c r="N1490" i="3"/>
  <c r="N1489" i="3"/>
  <c r="N1488" i="3"/>
  <c r="N1487" i="3"/>
  <c r="N1486" i="3"/>
  <c r="N1485" i="3"/>
  <c r="N1484" i="3"/>
  <c r="N1483" i="3"/>
  <c r="N1482" i="3"/>
  <c r="N1481" i="3"/>
  <c r="N1480" i="3"/>
  <c r="N1479" i="3"/>
  <c r="N1478" i="3"/>
  <c r="N1477" i="3"/>
  <c r="N1476" i="3"/>
  <c r="N1475" i="3"/>
  <c r="N1474" i="3"/>
  <c r="N1473" i="3"/>
  <c r="N1472" i="3"/>
  <c r="N1471" i="3"/>
  <c r="N1470" i="3"/>
  <c r="N1469" i="3"/>
  <c r="N1468" i="3"/>
  <c r="N1467" i="3"/>
  <c r="N1466" i="3"/>
  <c r="N1465" i="3"/>
  <c r="N1464" i="3"/>
  <c r="N1463" i="3"/>
  <c r="N1462" i="3"/>
  <c r="N1461" i="3"/>
  <c r="N1460" i="3"/>
  <c r="N1459" i="3"/>
  <c r="N1458" i="3"/>
  <c r="N1457" i="3"/>
  <c r="N1456" i="3"/>
  <c r="N1455" i="3"/>
  <c r="N1454" i="3"/>
  <c r="N1453" i="3"/>
  <c r="N1452" i="3"/>
  <c r="N1451" i="3"/>
  <c r="N1450" i="3"/>
  <c r="N1449" i="3"/>
  <c r="N1448" i="3"/>
  <c r="N1447" i="3"/>
  <c r="N1446" i="3"/>
  <c r="N1445" i="3"/>
  <c r="N1444" i="3"/>
  <c r="N1443" i="3"/>
  <c r="N1442" i="3"/>
  <c r="N1441" i="3"/>
  <c r="N1440" i="3"/>
  <c r="N1439" i="3"/>
  <c r="N1438" i="3"/>
  <c r="N1437" i="3"/>
  <c r="N1436" i="3"/>
  <c r="N1435" i="3"/>
  <c r="N1434" i="3"/>
  <c r="N1433" i="3"/>
  <c r="N1432" i="3"/>
  <c r="N1431" i="3"/>
  <c r="N1430" i="3"/>
  <c r="N1429" i="3"/>
  <c r="N1428" i="3"/>
  <c r="N1427" i="3"/>
  <c r="N1426" i="3"/>
  <c r="N1425" i="3"/>
  <c r="N1424" i="3"/>
  <c r="N1423" i="3"/>
  <c r="N1422" i="3"/>
  <c r="N1421" i="3"/>
  <c r="N1420" i="3"/>
  <c r="N1419" i="3"/>
  <c r="N1418" i="3"/>
  <c r="N1417" i="3"/>
  <c r="N1416" i="3"/>
  <c r="N1415" i="3"/>
  <c r="N1414" i="3"/>
  <c r="N1413" i="3"/>
  <c r="N1412" i="3"/>
  <c r="N1411" i="3"/>
  <c r="N1410" i="3"/>
  <c r="N1409" i="3"/>
  <c r="N1408" i="3"/>
  <c r="N1407" i="3"/>
  <c r="N1406" i="3"/>
  <c r="N1405" i="3"/>
  <c r="N1404" i="3"/>
  <c r="N1403" i="3"/>
  <c r="N1402" i="3"/>
  <c r="N1401" i="3"/>
  <c r="N1400" i="3"/>
  <c r="N1399" i="3"/>
  <c r="N1398" i="3"/>
  <c r="N1397" i="3"/>
  <c r="N1396" i="3"/>
  <c r="N1395" i="3"/>
  <c r="N1394" i="3"/>
  <c r="N1393" i="3"/>
  <c r="N1392" i="3"/>
  <c r="N1391" i="3"/>
  <c r="N1390" i="3"/>
  <c r="N1389" i="3"/>
  <c r="N1388" i="3"/>
  <c r="N1387" i="3"/>
  <c r="N1386" i="3"/>
  <c r="N1385" i="3"/>
  <c r="N1384" i="3"/>
  <c r="N1383" i="3"/>
  <c r="N1382" i="3"/>
  <c r="N1381" i="3"/>
  <c r="N1380" i="3"/>
  <c r="N1379" i="3"/>
  <c r="N1378" i="3"/>
  <c r="N1377" i="3"/>
  <c r="N1376" i="3"/>
  <c r="N1375" i="3"/>
  <c r="N1374" i="3"/>
  <c r="N1373" i="3"/>
  <c r="N1372" i="3"/>
  <c r="N1371" i="3"/>
  <c r="N1370" i="3"/>
  <c r="N1369" i="3"/>
  <c r="N1368" i="3"/>
  <c r="N1367" i="3"/>
  <c r="N1366" i="3"/>
  <c r="N1365" i="3"/>
  <c r="N1364" i="3"/>
  <c r="N1363" i="3"/>
  <c r="N1362" i="3"/>
  <c r="N1361" i="3"/>
  <c r="N1360" i="3"/>
  <c r="N1359" i="3"/>
  <c r="N1358" i="3"/>
  <c r="N1357" i="3"/>
  <c r="N1356" i="3"/>
  <c r="N1355" i="3"/>
  <c r="N1354" i="3"/>
  <c r="N1353" i="3"/>
  <c r="N1352" i="3"/>
  <c r="N1351" i="3"/>
  <c r="N1350" i="3"/>
  <c r="N1349" i="3"/>
  <c r="N1348" i="3"/>
  <c r="N1347" i="3"/>
  <c r="N1346" i="3"/>
  <c r="N1345" i="3"/>
  <c r="N1344" i="3"/>
  <c r="N1343" i="3"/>
  <c r="N1342" i="3"/>
  <c r="N1341" i="3"/>
  <c r="N1340" i="3"/>
  <c r="N1339" i="3"/>
  <c r="N1338" i="3"/>
  <c r="N1337" i="3"/>
  <c r="N1336" i="3"/>
  <c r="N1335" i="3"/>
  <c r="N1334" i="3"/>
  <c r="N1333" i="3"/>
  <c r="N1332" i="3"/>
  <c r="N1331" i="3"/>
  <c r="N1330" i="3"/>
  <c r="N1329" i="3"/>
  <c r="N1328" i="3"/>
  <c r="N1327" i="3"/>
  <c r="N1326" i="3"/>
  <c r="N1325" i="3"/>
  <c r="N1324" i="3"/>
  <c r="N1323" i="3"/>
  <c r="N1322" i="3"/>
  <c r="N1321" i="3"/>
  <c r="N1320" i="3"/>
  <c r="N1319" i="3"/>
  <c r="N1318" i="3"/>
  <c r="N1317" i="3"/>
  <c r="N1316" i="3"/>
  <c r="N1315" i="3"/>
  <c r="N1314" i="3"/>
  <c r="N1313" i="3"/>
  <c r="N1312" i="3"/>
  <c r="N1311" i="3"/>
  <c r="N1310" i="3"/>
  <c r="N1309" i="3"/>
  <c r="N1308" i="3"/>
  <c r="N1307" i="3"/>
  <c r="N1306" i="3"/>
  <c r="N1305" i="3"/>
  <c r="N1304" i="3"/>
  <c r="N1303" i="3"/>
  <c r="N1302" i="3"/>
  <c r="N1301" i="3"/>
  <c r="N1300" i="3"/>
  <c r="N1299" i="3"/>
  <c r="N1298" i="3"/>
  <c r="N1297" i="3"/>
  <c r="N1296" i="3"/>
  <c r="N1295" i="3"/>
  <c r="N1294" i="3"/>
  <c r="N1293" i="3"/>
  <c r="N1292" i="3"/>
  <c r="N1291" i="3"/>
  <c r="N1290" i="3"/>
  <c r="N1289" i="3"/>
  <c r="N1288" i="3"/>
  <c r="N1287" i="3"/>
  <c r="N1286" i="3"/>
  <c r="N1285" i="3"/>
  <c r="N1284" i="3"/>
  <c r="N1283" i="3"/>
  <c r="N1282" i="3"/>
  <c r="N1281" i="3"/>
  <c r="N1280" i="3"/>
  <c r="N1279" i="3"/>
  <c r="N1278" i="3"/>
  <c r="N1277" i="3"/>
  <c r="N1276" i="3"/>
  <c r="N1275" i="3"/>
  <c r="N1274" i="3"/>
  <c r="N1273" i="3"/>
  <c r="N1272" i="3"/>
  <c r="N1271" i="3"/>
  <c r="N1270" i="3"/>
  <c r="N1269" i="3"/>
  <c r="N1268" i="3"/>
  <c r="N1267" i="3"/>
  <c r="N1266" i="3"/>
  <c r="N1265" i="3"/>
  <c r="N1264" i="3"/>
  <c r="N1263" i="3"/>
  <c r="N1262" i="3"/>
  <c r="N1261" i="3"/>
  <c r="N1260" i="3"/>
  <c r="N1259" i="3"/>
  <c r="N1258" i="3"/>
  <c r="N1257" i="3"/>
  <c r="N1256" i="3"/>
  <c r="N1255" i="3"/>
  <c r="N1254" i="3"/>
  <c r="N1253" i="3"/>
  <c r="N1252" i="3"/>
  <c r="N1251" i="3"/>
  <c r="N1250" i="3"/>
  <c r="N1249" i="3"/>
  <c r="N1248" i="3"/>
  <c r="N1247" i="3"/>
  <c r="N1246" i="3"/>
  <c r="N1245" i="3"/>
  <c r="N1244" i="3"/>
  <c r="N1243" i="3"/>
  <c r="N1242" i="3"/>
  <c r="N1241" i="3"/>
  <c r="N1240" i="3"/>
  <c r="N1239" i="3"/>
  <c r="N1238" i="3"/>
  <c r="N1237" i="3"/>
  <c r="N1236" i="3"/>
  <c r="N1235" i="3"/>
  <c r="N1234" i="3"/>
  <c r="N1233" i="3"/>
  <c r="N1232" i="3"/>
  <c r="N1231" i="3"/>
  <c r="N1230" i="3"/>
  <c r="N1229" i="3"/>
  <c r="N1228" i="3"/>
  <c r="N1227" i="3"/>
  <c r="N1226" i="3"/>
  <c r="N1225" i="3"/>
  <c r="N1224" i="3"/>
  <c r="N1223" i="3"/>
  <c r="N1222" i="3"/>
  <c r="N1221" i="3"/>
  <c r="N1220" i="3"/>
  <c r="N1219" i="3"/>
  <c r="N1218" i="3"/>
  <c r="N1217" i="3"/>
  <c r="N1216" i="3"/>
  <c r="N1215" i="3"/>
  <c r="N1214" i="3"/>
  <c r="N1213" i="3"/>
  <c r="N1212" i="3"/>
  <c r="N1211" i="3"/>
  <c r="N1210" i="3"/>
  <c r="N1209" i="3"/>
  <c r="N1208" i="3"/>
  <c r="N1207" i="3"/>
  <c r="N1206" i="3"/>
  <c r="N1205" i="3"/>
  <c r="N1204" i="3"/>
  <c r="N1203" i="3"/>
  <c r="N1202" i="3"/>
  <c r="N1201" i="3"/>
  <c r="N1200" i="3"/>
  <c r="N1199" i="3"/>
  <c r="N1198" i="3"/>
  <c r="N1197" i="3"/>
  <c r="N1196" i="3"/>
  <c r="N1195" i="3"/>
  <c r="N1194" i="3"/>
  <c r="N1193" i="3"/>
  <c r="N1192" i="3"/>
  <c r="N1191" i="3"/>
  <c r="N1190" i="3"/>
  <c r="N1189" i="3"/>
  <c r="N1188" i="3"/>
  <c r="N1187" i="3"/>
  <c r="N1186" i="3"/>
  <c r="N1185" i="3"/>
  <c r="N1184" i="3"/>
  <c r="N1183" i="3"/>
  <c r="N1182" i="3"/>
  <c r="N1181" i="3"/>
  <c r="N1180" i="3"/>
  <c r="N1179" i="3"/>
  <c r="N1178" i="3"/>
  <c r="N1177" i="3"/>
  <c r="N1176" i="3"/>
  <c r="N1175" i="3"/>
  <c r="N1174" i="3"/>
  <c r="N1173" i="3"/>
  <c r="N1172" i="3"/>
  <c r="N1171" i="3"/>
  <c r="N1170" i="3"/>
  <c r="N1169" i="3"/>
  <c r="N1168" i="3"/>
  <c r="N1167" i="3"/>
  <c r="N1166" i="3"/>
  <c r="N1165" i="3"/>
  <c r="N1164" i="3"/>
  <c r="N1163" i="3"/>
  <c r="N1162" i="3"/>
  <c r="N1161" i="3"/>
  <c r="N1160" i="3"/>
  <c r="N1159" i="3"/>
  <c r="N1158" i="3"/>
  <c r="N1157" i="3"/>
  <c r="N1156" i="3"/>
  <c r="N1155" i="3"/>
  <c r="N1154" i="3"/>
  <c r="N1153" i="3"/>
  <c r="N1152" i="3"/>
  <c r="N1151" i="3"/>
  <c r="N1150" i="3"/>
  <c r="N1149" i="3"/>
  <c r="N1148" i="3"/>
  <c r="N1147" i="3"/>
  <c r="N1146" i="3"/>
  <c r="N1145" i="3"/>
  <c r="N1144" i="3"/>
  <c r="N1143" i="3"/>
  <c r="N1142" i="3"/>
  <c r="N1141" i="3"/>
  <c r="N1140" i="3"/>
  <c r="N1139" i="3"/>
  <c r="N1138" i="3"/>
  <c r="N1137" i="3"/>
  <c r="N1136" i="3"/>
  <c r="N1135" i="3"/>
  <c r="N1134" i="3"/>
  <c r="N1133" i="3"/>
  <c r="N1132" i="3"/>
  <c r="N1131" i="3"/>
  <c r="N1130" i="3"/>
  <c r="N1129" i="3"/>
  <c r="N1128" i="3"/>
  <c r="N1127" i="3"/>
  <c r="N1126" i="3"/>
  <c r="N1125" i="3"/>
  <c r="N1124" i="3"/>
  <c r="N1123" i="3"/>
  <c r="N1122" i="3"/>
  <c r="N1121" i="3"/>
  <c r="N1120" i="3"/>
  <c r="N1119" i="3"/>
  <c r="N1118" i="3"/>
  <c r="N1117" i="3"/>
  <c r="N1116" i="3"/>
  <c r="N1115" i="3"/>
  <c r="N1114" i="3"/>
  <c r="N1113" i="3"/>
  <c r="N1112" i="3"/>
  <c r="N1111" i="3"/>
  <c r="N1110" i="3"/>
  <c r="N1109" i="3"/>
  <c r="N1108" i="3"/>
  <c r="N1107" i="3"/>
  <c r="N1106" i="3"/>
  <c r="N1105" i="3"/>
  <c r="N1104" i="3"/>
  <c r="N1103" i="3"/>
  <c r="N1102" i="3"/>
  <c r="N1101" i="3"/>
  <c r="N1100" i="3"/>
  <c r="N1099" i="3"/>
  <c r="N1098" i="3"/>
  <c r="N1097" i="3"/>
  <c r="N1096" i="3"/>
  <c r="N1095" i="3"/>
  <c r="N1094" i="3"/>
  <c r="N1093" i="3"/>
  <c r="N1092" i="3"/>
  <c r="N1091" i="3"/>
  <c r="N1090" i="3"/>
  <c r="N1089" i="3"/>
  <c r="N1088" i="3"/>
  <c r="N1087" i="3"/>
  <c r="N1086" i="3"/>
  <c r="N1085" i="3"/>
  <c r="N1084" i="3"/>
  <c r="N1083" i="3"/>
  <c r="N1082" i="3"/>
  <c r="N1081" i="3"/>
  <c r="N1080" i="3"/>
  <c r="N1079" i="3"/>
  <c r="N1078" i="3"/>
  <c r="N1077" i="3"/>
  <c r="N1076" i="3"/>
  <c r="N1075" i="3"/>
  <c r="N1074" i="3"/>
  <c r="N1073" i="3"/>
  <c r="N1072" i="3"/>
  <c r="N1071" i="3"/>
  <c r="N1070" i="3"/>
  <c r="N1069" i="3"/>
  <c r="N1068" i="3"/>
  <c r="N1067" i="3"/>
  <c r="N1066" i="3"/>
  <c r="N1065" i="3"/>
  <c r="N1064" i="3"/>
  <c r="N1063" i="3"/>
  <c r="N1062" i="3"/>
  <c r="N1061" i="3"/>
  <c r="N1060" i="3"/>
  <c r="N1059" i="3"/>
  <c r="N1058" i="3"/>
  <c r="N1057" i="3"/>
  <c r="N1056" i="3"/>
  <c r="N1055" i="3"/>
  <c r="N1054" i="3"/>
  <c r="N1053" i="3"/>
  <c r="N1052" i="3"/>
  <c r="N1051" i="3"/>
  <c r="N1050" i="3"/>
  <c r="N1049" i="3"/>
  <c r="N1048" i="3"/>
  <c r="N1047" i="3"/>
  <c r="N1046" i="3"/>
  <c r="N1045" i="3"/>
  <c r="N1044" i="3"/>
  <c r="N1043" i="3"/>
  <c r="N1042" i="3"/>
  <c r="N1041" i="3"/>
  <c r="N1040" i="3"/>
  <c r="N1039" i="3"/>
  <c r="N1038" i="3"/>
  <c r="N1037" i="3"/>
  <c r="N1036" i="3"/>
  <c r="N1035" i="3"/>
  <c r="N1034" i="3"/>
  <c r="N1033" i="3"/>
  <c r="N1032" i="3"/>
  <c r="N1031" i="3"/>
  <c r="N1030" i="3"/>
  <c r="N1029" i="3"/>
  <c r="N1028" i="3"/>
  <c r="N1027" i="3"/>
  <c r="N1026" i="3"/>
  <c r="N1025" i="3"/>
  <c r="N1024" i="3"/>
  <c r="N1023" i="3"/>
  <c r="N1022" i="3"/>
  <c r="N1021" i="3"/>
  <c r="N1020" i="3"/>
  <c r="N1019" i="3"/>
  <c r="N1018" i="3"/>
  <c r="N1017" i="3"/>
  <c r="N1016" i="3"/>
  <c r="N1015" i="3"/>
  <c r="N1014" i="3"/>
  <c r="N1013" i="3"/>
  <c r="N1012" i="3"/>
  <c r="N1011" i="3"/>
  <c r="N1010" i="3"/>
  <c r="N1009" i="3"/>
  <c r="N1008" i="3"/>
  <c r="N1007" i="3"/>
  <c r="N1006" i="3"/>
  <c r="N1005" i="3"/>
  <c r="N1004" i="3"/>
  <c r="N1003" i="3"/>
  <c r="N1002" i="3"/>
  <c r="N1001" i="3"/>
  <c r="N1000" i="3"/>
  <c r="N999" i="3"/>
  <c r="N998" i="3"/>
  <c r="N997" i="3"/>
  <c r="N996" i="3"/>
  <c r="N995" i="3"/>
  <c r="N994" i="3"/>
  <c r="N993" i="3"/>
  <c r="N992" i="3"/>
  <c r="N991" i="3"/>
  <c r="N990" i="3"/>
  <c r="N989" i="3"/>
  <c r="N988" i="3"/>
  <c r="N987" i="3"/>
  <c r="N986" i="3"/>
  <c r="N985" i="3"/>
  <c r="N984" i="3"/>
  <c r="N983" i="3"/>
  <c r="N982" i="3"/>
  <c r="N981" i="3"/>
  <c r="N980" i="3"/>
  <c r="N979" i="3"/>
  <c r="N978" i="3"/>
  <c r="N977" i="3"/>
  <c r="N976" i="3"/>
  <c r="N975" i="3"/>
  <c r="N974" i="3"/>
  <c r="N973" i="3"/>
  <c r="N972" i="3"/>
  <c r="N971" i="3"/>
  <c r="N970" i="3"/>
  <c r="N969" i="3"/>
  <c r="N968" i="3"/>
  <c r="N967" i="3"/>
  <c r="N966" i="3"/>
  <c r="N965" i="3"/>
  <c r="N964" i="3"/>
  <c r="N963" i="3"/>
  <c r="N962" i="3"/>
  <c r="N961" i="3"/>
  <c r="N960" i="3"/>
  <c r="N959" i="3"/>
  <c r="N958" i="3"/>
  <c r="N957" i="3"/>
  <c r="N956" i="3"/>
  <c r="N955" i="3"/>
  <c r="N954" i="3"/>
  <c r="N953" i="3"/>
  <c r="N952" i="3"/>
  <c r="N951" i="3"/>
  <c r="N950" i="3"/>
  <c r="N949" i="3"/>
  <c r="N948" i="3"/>
  <c r="N947" i="3"/>
  <c r="N946" i="3"/>
  <c r="N945" i="3"/>
  <c r="N944" i="3"/>
  <c r="N943" i="3"/>
  <c r="N942" i="3"/>
  <c r="N941" i="3"/>
  <c r="N940" i="3"/>
  <c r="N939" i="3"/>
  <c r="N938" i="3"/>
  <c r="N937" i="3"/>
  <c r="N936" i="3"/>
  <c r="N935" i="3"/>
  <c r="N934" i="3"/>
  <c r="N933" i="3"/>
  <c r="N932" i="3"/>
  <c r="N931" i="3"/>
  <c r="N930" i="3"/>
  <c r="N929" i="3"/>
  <c r="N928" i="3"/>
  <c r="N927" i="3"/>
  <c r="N926" i="3"/>
  <c r="N925" i="3"/>
  <c r="N924" i="3"/>
  <c r="N923" i="3"/>
  <c r="N922" i="3"/>
  <c r="N921" i="3"/>
  <c r="N920" i="3"/>
  <c r="N919" i="3"/>
  <c r="N918" i="3"/>
  <c r="N917" i="3"/>
  <c r="N916" i="3"/>
  <c r="N915" i="3"/>
  <c r="N914" i="3"/>
  <c r="N913" i="3"/>
  <c r="N912" i="3"/>
  <c r="N911" i="3"/>
  <c r="N910" i="3"/>
  <c r="N909" i="3"/>
  <c r="N908" i="3"/>
  <c r="N907" i="3"/>
  <c r="N906" i="3"/>
  <c r="N905" i="3"/>
  <c r="N904" i="3"/>
  <c r="N903" i="3"/>
  <c r="N902" i="3"/>
  <c r="N901" i="3"/>
  <c r="N900" i="3"/>
  <c r="N899" i="3"/>
  <c r="N898" i="3"/>
  <c r="N897" i="3"/>
  <c r="N896" i="3"/>
  <c r="N895" i="3"/>
  <c r="N894" i="3"/>
  <c r="N893" i="3"/>
  <c r="N892" i="3"/>
  <c r="N891" i="3"/>
  <c r="N890" i="3"/>
  <c r="N889" i="3"/>
  <c r="N888" i="3"/>
  <c r="N887" i="3"/>
  <c r="N886" i="3"/>
  <c r="N885" i="3"/>
  <c r="N884" i="3"/>
  <c r="N883" i="3"/>
  <c r="N882" i="3"/>
  <c r="N881" i="3"/>
  <c r="N880" i="3"/>
  <c r="N879" i="3"/>
  <c r="N878" i="3"/>
  <c r="N877" i="3"/>
  <c r="N876" i="3"/>
  <c r="N875" i="3"/>
  <c r="N874" i="3"/>
  <c r="N873" i="3"/>
  <c r="N872" i="3"/>
  <c r="N871" i="3"/>
  <c r="N870" i="3"/>
  <c r="N869" i="3"/>
  <c r="N868" i="3"/>
  <c r="N867" i="3"/>
  <c r="N866" i="3"/>
  <c r="N865" i="3"/>
  <c r="N864" i="3"/>
  <c r="N863" i="3"/>
  <c r="N862" i="3"/>
  <c r="N861" i="3"/>
  <c r="N860" i="3"/>
  <c r="N859" i="3"/>
  <c r="N858" i="3"/>
  <c r="N857" i="3"/>
  <c r="N856" i="3"/>
  <c r="N855" i="3"/>
  <c r="N854" i="3"/>
  <c r="N853" i="3"/>
  <c r="N852" i="3"/>
  <c r="N851" i="3"/>
  <c r="N850" i="3"/>
  <c r="N849" i="3"/>
  <c r="N848" i="3"/>
  <c r="N847" i="3"/>
  <c r="N846" i="3"/>
  <c r="N845" i="3"/>
  <c r="N844" i="3"/>
  <c r="N843" i="3"/>
  <c r="N842" i="3"/>
  <c r="N841" i="3"/>
  <c r="N840" i="3"/>
  <c r="N839" i="3"/>
  <c r="N838" i="3"/>
  <c r="N837" i="3"/>
  <c r="N836" i="3"/>
  <c r="N835" i="3"/>
  <c r="N834" i="3"/>
  <c r="N833" i="3"/>
  <c r="N832" i="3"/>
  <c r="N831" i="3"/>
  <c r="N830" i="3"/>
  <c r="N829" i="3"/>
  <c r="N828" i="3"/>
  <c r="N827" i="3"/>
  <c r="N826" i="3"/>
  <c r="N825" i="3"/>
  <c r="N824" i="3"/>
  <c r="N823" i="3"/>
  <c r="N822" i="3"/>
  <c r="N821" i="3"/>
  <c r="N820" i="3"/>
  <c r="N819" i="3"/>
  <c r="N818" i="3"/>
  <c r="N817" i="3"/>
  <c r="N816" i="3"/>
  <c r="N815" i="3"/>
  <c r="N814" i="3"/>
  <c r="N813" i="3"/>
  <c r="N812" i="3"/>
  <c r="N811" i="3"/>
  <c r="N810" i="3"/>
  <c r="N809" i="3"/>
  <c r="N808" i="3"/>
  <c r="N807" i="3"/>
  <c r="N806" i="3"/>
  <c r="N805" i="3"/>
  <c r="N804" i="3"/>
  <c r="N803" i="3"/>
  <c r="N802" i="3"/>
  <c r="N801" i="3"/>
  <c r="N800" i="3"/>
  <c r="N799" i="3"/>
  <c r="N798" i="3"/>
  <c r="N797" i="3"/>
  <c r="N796" i="3"/>
  <c r="N795" i="3"/>
  <c r="N794" i="3"/>
  <c r="N793" i="3"/>
  <c r="N792" i="3"/>
  <c r="N791" i="3"/>
  <c r="N790" i="3"/>
  <c r="N789" i="3"/>
  <c r="N788" i="3"/>
  <c r="N787" i="3"/>
  <c r="N786" i="3"/>
  <c r="N785" i="3"/>
  <c r="N784" i="3"/>
  <c r="N783" i="3"/>
  <c r="N782" i="3"/>
  <c r="N781" i="3"/>
  <c r="N780" i="3"/>
  <c r="N779" i="3"/>
  <c r="N778" i="3"/>
  <c r="N777" i="3"/>
  <c r="N776" i="3"/>
  <c r="N775" i="3"/>
  <c r="N774" i="3"/>
  <c r="N773" i="3"/>
  <c r="N772" i="3"/>
  <c r="N771" i="3"/>
  <c r="N770" i="3"/>
  <c r="N769" i="3"/>
  <c r="N768" i="3"/>
  <c r="N767" i="3"/>
  <c r="N766" i="3"/>
  <c r="N765" i="3"/>
  <c r="N764" i="3"/>
  <c r="N763" i="3"/>
  <c r="N762" i="3"/>
  <c r="N761" i="3"/>
  <c r="N760" i="3"/>
  <c r="N759" i="3"/>
  <c r="N758" i="3"/>
  <c r="N757" i="3"/>
  <c r="N756" i="3"/>
  <c r="N755" i="3"/>
  <c r="N754" i="3"/>
  <c r="N753" i="3"/>
  <c r="N752" i="3"/>
  <c r="N751" i="3"/>
  <c r="N750" i="3"/>
  <c r="N749" i="3"/>
  <c r="N748" i="3"/>
  <c r="N747" i="3"/>
  <c r="N746" i="3"/>
  <c r="N745" i="3"/>
  <c r="N744" i="3"/>
  <c r="N743" i="3"/>
  <c r="N742" i="3"/>
  <c r="N741" i="3"/>
  <c r="N740" i="3"/>
  <c r="N739" i="3"/>
  <c r="N738" i="3"/>
  <c r="N737" i="3"/>
  <c r="N736" i="3"/>
  <c r="N735" i="3"/>
  <c r="N734" i="3"/>
  <c r="N733" i="3"/>
  <c r="N732" i="3"/>
  <c r="N731" i="3"/>
  <c r="N730" i="3"/>
  <c r="N729" i="3"/>
  <c r="N728" i="3"/>
  <c r="N727" i="3"/>
  <c r="N726" i="3"/>
  <c r="N725" i="3"/>
  <c r="N724" i="3"/>
  <c r="N723" i="3"/>
  <c r="N722" i="3"/>
  <c r="N721" i="3"/>
  <c r="N720" i="3"/>
  <c r="N719" i="3"/>
  <c r="N718" i="3"/>
  <c r="N717" i="3"/>
  <c r="N716" i="3"/>
  <c r="N715" i="3"/>
  <c r="N714" i="3"/>
  <c r="N713" i="3"/>
  <c r="N712" i="3"/>
  <c r="N711" i="3"/>
  <c r="N710" i="3"/>
  <c r="N709" i="3"/>
  <c r="N708" i="3"/>
  <c r="N707" i="3"/>
  <c r="N706" i="3"/>
  <c r="N705" i="3"/>
  <c r="N704" i="3"/>
  <c r="N703" i="3"/>
  <c r="N702" i="3"/>
  <c r="N701" i="3"/>
  <c r="N700" i="3"/>
  <c r="N699" i="3"/>
  <c r="N698" i="3"/>
  <c r="N697" i="3"/>
  <c r="N696" i="3"/>
  <c r="N695" i="3"/>
  <c r="N694" i="3"/>
  <c r="N693" i="3"/>
  <c r="N692" i="3"/>
  <c r="N691" i="3"/>
  <c r="N690" i="3"/>
  <c r="N689" i="3"/>
  <c r="N688" i="3"/>
  <c r="N687" i="3"/>
  <c r="N686" i="3"/>
  <c r="N685" i="3"/>
  <c r="N684" i="3"/>
  <c r="N683" i="3"/>
  <c r="N682" i="3"/>
  <c r="N681" i="3"/>
  <c r="N680" i="3"/>
  <c r="N679" i="3"/>
  <c r="N678" i="3"/>
  <c r="N677" i="3"/>
  <c r="N676" i="3"/>
  <c r="N675" i="3"/>
  <c r="N674" i="3"/>
  <c r="N673" i="3"/>
  <c r="N672" i="3"/>
  <c r="N671" i="3"/>
  <c r="N670" i="3"/>
  <c r="N669" i="3"/>
  <c r="N668" i="3"/>
  <c r="N667" i="3"/>
  <c r="N666" i="3"/>
  <c r="N665" i="3"/>
  <c r="N664" i="3"/>
  <c r="N663" i="3"/>
  <c r="N662" i="3"/>
  <c r="N661" i="3"/>
  <c r="N660" i="3"/>
  <c r="N659" i="3"/>
  <c r="N658" i="3"/>
  <c r="N657" i="3"/>
  <c r="N656" i="3"/>
  <c r="N655" i="3"/>
  <c r="N654" i="3"/>
  <c r="N653" i="3"/>
  <c r="N652" i="3"/>
  <c r="N651" i="3"/>
  <c r="N650" i="3"/>
  <c r="N649" i="3"/>
  <c r="N648" i="3"/>
  <c r="N647" i="3"/>
  <c r="N646" i="3"/>
  <c r="N645" i="3"/>
  <c r="N644" i="3"/>
  <c r="N643" i="3"/>
  <c r="N642" i="3"/>
  <c r="N641" i="3"/>
  <c r="N640" i="3"/>
  <c r="N639" i="3"/>
  <c r="N638" i="3"/>
  <c r="N637" i="3"/>
  <c r="N636" i="3"/>
  <c r="N635" i="3"/>
  <c r="N634" i="3"/>
  <c r="N633" i="3"/>
  <c r="N632" i="3"/>
  <c r="N631" i="3"/>
  <c r="N630" i="3"/>
  <c r="N629" i="3"/>
  <c r="N628" i="3"/>
  <c r="N627" i="3"/>
  <c r="N626" i="3"/>
  <c r="N625" i="3"/>
  <c r="N624" i="3"/>
  <c r="N623" i="3"/>
  <c r="N622" i="3"/>
  <c r="N621" i="3"/>
  <c r="N620" i="3"/>
  <c r="N619" i="3"/>
  <c r="N618" i="3"/>
  <c r="N617" i="3"/>
  <c r="N616" i="3"/>
  <c r="N615" i="3"/>
  <c r="N614" i="3"/>
  <c r="N613" i="3"/>
  <c r="N612" i="3"/>
  <c r="N611" i="3"/>
  <c r="N610" i="3"/>
  <c r="N609" i="3"/>
  <c r="N608" i="3"/>
  <c r="N607" i="3"/>
  <c r="N606" i="3"/>
  <c r="N605" i="3"/>
  <c r="N604" i="3"/>
  <c r="N603" i="3"/>
  <c r="N602" i="3"/>
  <c r="N601" i="3"/>
  <c r="N600" i="3"/>
  <c r="N599" i="3"/>
  <c r="N598" i="3"/>
  <c r="N597" i="3"/>
  <c r="N596" i="3"/>
  <c r="N595" i="3"/>
  <c r="N594" i="3"/>
  <c r="N593" i="3"/>
  <c r="N592" i="3"/>
  <c r="N591" i="3"/>
  <c r="N590" i="3"/>
  <c r="N589" i="3"/>
  <c r="N588" i="3"/>
  <c r="N587" i="3"/>
  <c r="N586" i="3"/>
  <c r="N585" i="3"/>
  <c r="N584" i="3"/>
  <c r="N583" i="3"/>
  <c r="N582" i="3"/>
  <c r="N581" i="3"/>
  <c r="N580" i="3"/>
  <c r="N579" i="3"/>
  <c r="N578" i="3"/>
  <c r="N577" i="3"/>
  <c r="N576" i="3"/>
  <c r="N575" i="3"/>
  <c r="N574" i="3"/>
  <c r="N573" i="3"/>
  <c r="N572" i="3"/>
  <c r="N571" i="3"/>
  <c r="N570" i="3"/>
  <c r="N569" i="3"/>
  <c r="N568" i="3"/>
  <c r="N567" i="3"/>
  <c r="N566" i="3"/>
  <c r="N565" i="3"/>
  <c r="N564" i="3"/>
  <c r="N563" i="3"/>
  <c r="N562" i="3"/>
  <c r="N561" i="3"/>
  <c r="N560" i="3"/>
  <c r="N559" i="3"/>
  <c r="N558" i="3"/>
  <c r="N557" i="3"/>
  <c r="N556" i="3"/>
  <c r="N555" i="3"/>
  <c r="N554" i="3"/>
  <c r="N553" i="3"/>
  <c r="N552" i="3"/>
  <c r="N551" i="3"/>
  <c r="N550" i="3"/>
  <c r="N549" i="3"/>
  <c r="N548" i="3"/>
  <c r="N547" i="3"/>
  <c r="N546" i="3"/>
  <c r="N545" i="3"/>
  <c r="N544" i="3"/>
  <c r="N543" i="3"/>
  <c r="N542" i="3"/>
  <c r="N541" i="3"/>
  <c r="N540" i="3"/>
  <c r="N539" i="3"/>
  <c r="N538" i="3"/>
  <c r="N537" i="3"/>
  <c r="N536" i="3"/>
  <c r="N535" i="3"/>
  <c r="N534" i="3"/>
  <c r="N533" i="3"/>
  <c r="N532" i="3"/>
  <c r="N531" i="3"/>
  <c r="N530" i="3"/>
  <c r="N529" i="3"/>
  <c r="N528" i="3"/>
  <c r="N527" i="3"/>
  <c r="N526" i="3"/>
  <c r="N525" i="3"/>
  <c r="N524" i="3"/>
  <c r="N523" i="3"/>
  <c r="N522" i="3"/>
  <c r="N521" i="3"/>
  <c r="N520" i="3"/>
  <c r="N519" i="3"/>
  <c r="N518" i="3"/>
  <c r="N517" i="3"/>
  <c r="N516" i="3"/>
  <c r="N515" i="3"/>
  <c r="N514" i="3"/>
  <c r="N513" i="3"/>
  <c r="N512" i="3"/>
  <c r="N511" i="3"/>
  <c r="N510" i="3"/>
  <c r="N509" i="3"/>
  <c r="N508" i="3"/>
  <c r="N507" i="3"/>
  <c r="N506" i="3"/>
  <c r="N505" i="3"/>
  <c r="N504" i="3"/>
  <c r="N503" i="3"/>
  <c r="N502" i="3"/>
  <c r="N501" i="3"/>
  <c r="N500" i="3"/>
  <c r="N499" i="3"/>
  <c r="N498" i="3"/>
  <c r="N497" i="3"/>
  <c r="N496" i="3"/>
  <c r="N495" i="3"/>
  <c r="N494" i="3"/>
  <c r="N493" i="3"/>
  <c r="N492" i="3"/>
  <c r="N491" i="3"/>
  <c r="N490" i="3"/>
  <c r="N489" i="3"/>
  <c r="N488" i="3"/>
  <c r="N487" i="3"/>
  <c r="N486" i="3"/>
  <c r="N485" i="3"/>
  <c r="N484" i="3"/>
  <c r="N483" i="3"/>
  <c r="N482" i="3"/>
  <c r="N481" i="3"/>
  <c r="N480" i="3"/>
  <c r="N479" i="3"/>
  <c r="N478" i="3"/>
  <c r="N477" i="3"/>
  <c r="N476" i="3"/>
  <c r="N475" i="3"/>
  <c r="N474" i="3"/>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J2"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3" i="1"/>
  <c r="J4" i="1"/>
  <c r="J5" i="1"/>
  <c r="J6"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2" i="1"/>
  <c r="I4" i="1"/>
  <c r="I5" i="1"/>
  <c r="I6" i="1"/>
  <c r="I7" i="1"/>
  <c r="I3" i="1"/>
  <c r="E236" i="3" a="1"/>
  <c r="F1323" i="3" a="1"/>
  <c r="E1111" i="3" a="1"/>
  <c r="F683" i="3" a="1"/>
  <c r="F1322" i="3" a="1"/>
  <c r="F740" i="3" a="1"/>
  <c r="F1412" i="3" a="1"/>
  <c r="F934" i="3" a="1"/>
  <c r="E1287" i="3" a="1"/>
  <c r="F676" i="3" a="1"/>
  <c r="F1084" i="3" a="1"/>
  <c r="F658" i="3" a="1"/>
  <c r="F1097" i="3" a="1"/>
  <c r="F1328" i="3" a="1"/>
  <c r="F996" i="3" a="1"/>
  <c r="F981" i="3" a="1"/>
  <c r="E1070" i="3" a="1"/>
  <c r="E1469" i="3" a="1"/>
  <c r="F1338" i="3" a="1"/>
  <c r="F370" i="3" a="1"/>
  <c r="F1194" i="3" a="1"/>
  <c r="F593" i="3" a="1"/>
  <c r="F1371" i="3" a="1"/>
  <c r="E386" i="3" a="1"/>
  <c r="F624" i="3" a="1"/>
  <c r="F769" i="3" a="1"/>
  <c r="F1485" i="3" a="1"/>
  <c r="F174" i="3" a="1"/>
  <c r="F1013" i="3" a="1"/>
  <c r="F1089" i="3" a="1"/>
  <c r="F1437" i="3" a="1"/>
  <c r="F902" i="3" a="1"/>
  <c r="E170" i="3" a="1"/>
  <c r="F378" i="3" a="1"/>
  <c r="F1447" i="3" a="1"/>
  <c r="F733" i="3" a="1"/>
  <c r="F1305" i="3" a="1"/>
  <c r="F666" i="3" a="1"/>
  <c r="F994" i="3" a="1"/>
  <c r="E1136" i="3" a="1"/>
  <c r="F797" i="3" a="1"/>
  <c r="F1395" i="3" a="1"/>
  <c r="F36" i="3" a="1"/>
  <c r="F1109" i="3" a="1"/>
  <c r="F1256" i="3" a="1"/>
  <c r="F1310" i="3" a="1"/>
  <c r="F1333" i="3" a="1"/>
  <c r="E494" i="3" a="1"/>
  <c r="E425" i="3" a="1"/>
  <c r="E52" i="3" a="1"/>
  <c r="F1386" i="3" a="1"/>
  <c r="F561" i="3" a="1"/>
  <c r="F1268" i="3" a="1"/>
  <c r="F348" i="3" a="1"/>
  <c r="F1082" i="3" a="1"/>
  <c r="F1357" i="3" a="1"/>
  <c r="F1396" i="3" a="1"/>
  <c r="F1361" i="3" a="1"/>
  <c r="F1464" i="3" a="1"/>
  <c r="E992" i="3" a="1"/>
  <c r="F1370" i="3" a="1"/>
  <c r="F1176" i="3" a="1"/>
  <c r="F1291" i="3" a="1"/>
  <c r="F534" i="3" a="1"/>
  <c r="F1144" i="3" a="1"/>
  <c r="E1310" i="3" a="1"/>
  <c r="F1231" i="3" a="1"/>
  <c r="F1264" i="3" a="1"/>
  <c r="F652" i="3" a="1"/>
  <c r="F688" i="3" a="1"/>
  <c r="F9" i="3" a="1"/>
  <c r="F1202" i="3" a="1"/>
  <c r="F1368" i="3" a="1"/>
  <c r="F1034" i="3" a="1"/>
  <c r="E451" i="3" a="1"/>
  <c r="E332" i="3" a="1"/>
  <c r="F760" i="3" a="1"/>
  <c r="F24" i="3" a="1"/>
  <c r="F584" i="3" a="1"/>
  <c r="F757" i="3" a="1"/>
  <c r="F1265" i="3" a="1"/>
  <c r="F240" i="3" a="1"/>
  <c r="F655" i="3" a="1"/>
  <c r="F335" i="3" a="1"/>
  <c r="F949" i="3" a="1"/>
  <c r="F76" i="3" a="1"/>
  <c r="F915" i="3" a="1"/>
  <c r="F1237" i="3" a="1"/>
  <c r="F1441" i="3" a="1"/>
  <c r="F938" i="3" a="1"/>
  <c r="E1231" i="3" a="1"/>
  <c r="F719" i="3" a="1"/>
  <c r="F557" i="3" a="1"/>
  <c r="F686" i="3" a="1"/>
  <c r="F1050" i="3" a="1"/>
  <c r="F89" i="3" a="1"/>
  <c r="F623" i="3" a="1"/>
  <c r="F976" i="3" a="1"/>
  <c r="F156" i="3" a="1"/>
  <c r="E120" i="3" a="1"/>
  <c r="F539" i="3" a="1"/>
  <c r="F1495" i="3" a="1"/>
  <c r="E1082" i="3" a="1"/>
  <c r="E1320" i="3" a="1"/>
  <c r="F838" i="3" a="1"/>
  <c r="F363" i="3" a="1"/>
  <c r="F423" i="3" a="1"/>
  <c r="F704" i="3" a="1"/>
  <c r="F150" i="3" a="1"/>
  <c r="F491" i="3" a="1"/>
  <c r="F777" i="3" a="1"/>
  <c r="F1275" i="3" a="1"/>
  <c r="F123" i="3" a="1"/>
  <c r="F737" i="3" a="1"/>
  <c r="F311" i="3" a="1"/>
  <c r="F817" i="3" a="1"/>
  <c r="F600" i="3" a="1"/>
  <c r="E241" i="3" a="1"/>
  <c r="F1385" i="3" a="1"/>
  <c r="F18" i="3" a="1"/>
  <c r="F353" i="3" a="1"/>
  <c r="F1501" i="3" a="1"/>
  <c r="F1387" i="3" a="1"/>
  <c r="F1009" i="3" a="1"/>
  <c r="F176" i="3" a="1"/>
  <c r="F125" i="3" a="1"/>
  <c r="F568" i="3" a="1"/>
  <c r="F925" i="3" a="1"/>
  <c r="F494" i="3" a="1"/>
  <c r="F1418" i="3" a="1"/>
  <c r="F781" i="3" a="1"/>
  <c r="F1230" i="3" a="1"/>
  <c r="F72" i="3" a="1"/>
  <c r="F1303" i="3" a="1"/>
  <c r="E1456" i="3" a="1"/>
  <c r="F1066" i="3" a="1"/>
  <c r="E1131" i="3" a="1"/>
  <c r="F1048" i="3" a="1"/>
  <c r="F392" i="3" a="1"/>
  <c r="E928" i="3" a="1"/>
  <c r="E980" i="3" a="1"/>
  <c r="F899" i="3" a="1"/>
  <c r="E428" i="3" a="1"/>
  <c r="F1400" i="3" a="1"/>
  <c r="E1237" i="3" a="1"/>
  <c r="F1011" i="3" a="1"/>
  <c r="F447" i="3" a="1"/>
  <c r="F876" i="3" a="1"/>
  <c r="F1247" i="3" a="1"/>
  <c r="F1270" i="3" a="1"/>
  <c r="F1038" i="3" a="1"/>
  <c r="E1178" i="3" a="1"/>
  <c r="F1420" i="3" a="1"/>
  <c r="F602" i="3" a="1"/>
  <c r="F696" i="3" a="1"/>
  <c r="E90" i="3" a="1"/>
  <c r="E697" i="3" a="1"/>
  <c r="F891" i="3" a="1"/>
  <c r="E422" i="3" a="1"/>
  <c r="F1068" i="3" a="1"/>
  <c r="F1096" i="3" a="1"/>
  <c r="F1262" i="3" a="1"/>
  <c r="F1392" i="3" a="1"/>
  <c r="F894" i="3" a="1"/>
  <c r="F400" i="3" a="1"/>
  <c r="F1174" i="3" a="1"/>
  <c r="E1343" i="3" a="1"/>
  <c r="E10" i="3" a="1"/>
  <c r="F1151" i="3" a="1"/>
  <c r="F341" i="3" a="1"/>
  <c r="F947" i="3" a="1"/>
  <c r="E378" i="3" a="1"/>
  <c r="E354" i="3" a="1"/>
  <c r="F970" i="3" a="1"/>
  <c r="E1023" i="3" a="1"/>
  <c r="F1307" i="3" a="1"/>
  <c r="E1225" i="3" a="1"/>
  <c r="F982" i="3" a="1"/>
  <c r="F69" i="3" a="1"/>
  <c r="F888" i="3" a="1"/>
  <c r="F374" i="3" a="1"/>
  <c r="F798" i="3" a="1"/>
  <c r="F1311" i="3" a="1"/>
  <c r="F1112" i="3" a="1"/>
  <c r="F1225" i="3" a="1"/>
  <c r="F822" i="3" a="1"/>
  <c r="E1017" i="3" a="1"/>
  <c r="F377" i="3" a="1"/>
  <c r="F1029" i="3" a="1"/>
  <c r="F1327" i="3" a="1"/>
  <c r="E1463" i="3" a="1"/>
  <c r="F825" i="3" a="1"/>
  <c r="E528" i="3" a="1"/>
  <c r="F745" i="3" a="1"/>
  <c r="F1180" i="3" a="1"/>
  <c r="F1347" i="3" a="1"/>
  <c r="F1078" i="3" a="1"/>
  <c r="F607" i="3" a="1"/>
  <c r="F146" i="3" a="1"/>
  <c r="F967" i="3" a="1"/>
  <c r="E1232" i="3" a="1"/>
  <c r="E723" i="3" a="1"/>
  <c r="F1044" i="3" a="1"/>
  <c r="F444" i="3" a="1"/>
  <c r="F953" i="3" a="1"/>
  <c r="F442" i="3" a="1"/>
  <c r="F1271" i="3" a="1"/>
  <c r="F155" i="3" a="1"/>
  <c r="F315" i="3" a="1"/>
  <c r="F627" i="3" a="1"/>
  <c r="E1380" i="3" a="1"/>
  <c r="F517" i="3" a="1"/>
  <c r="E1093" i="3" a="1"/>
  <c r="F264" i="3" a="1"/>
  <c r="E1138" i="3" a="1"/>
  <c r="F1374" i="3" a="1"/>
  <c r="F884" i="3" a="1"/>
  <c r="F1017" i="3" a="1"/>
  <c r="F1300" i="3" a="1"/>
  <c r="E1223" i="3" a="1"/>
  <c r="F345" i="3" a="1"/>
  <c r="F316" i="3" a="1"/>
  <c r="F673" i="3" a="1"/>
  <c r="F506" i="3" a="1"/>
  <c r="F952" i="3" a="1"/>
  <c r="F424" i="3" a="1"/>
  <c r="F687" i="3" a="1"/>
  <c r="E1476" i="3" a="1"/>
  <c r="F513" i="3" a="1"/>
  <c r="E1479" i="3" a="1"/>
  <c r="F1267" i="3" a="1"/>
  <c r="F1209" i="3" a="1"/>
  <c r="F998" i="3" a="1"/>
  <c r="F1316" i="3" a="1"/>
  <c r="F881" i="3" a="1"/>
  <c r="F921" i="3" a="1"/>
  <c r="F790" i="3" a="1"/>
  <c r="F1075" i="3" a="1"/>
  <c r="F56" i="3" a="1"/>
  <c r="F776" i="3" a="1"/>
  <c r="F579" i="3" a="1"/>
  <c r="E1473" i="3" a="1"/>
  <c r="F287" i="3" a="1"/>
  <c r="E1221" i="3" a="1"/>
  <c r="F824" i="3" a="1"/>
  <c r="F275" i="3" a="1"/>
  <c r="F1228" i="3" a="1"/>
  <c r="E1222" i="3" a="1"/>
  <c r="F1149" i="3" a="1"/>
  <c r="F989" i="3" a="1"/>
  <c r="E1183" i="3" a="1"/>
  <c r="F714" i="3" a="1"/>
  <c r="F379" i="3" a="1"/>
  <c r="E1418" i="3" a="1"/>
  <c r="E781" i="3" a="1"/>
  <c r="F1179" i="3" a="1"/>
  <c r="E1361" i="3" a="1"/>
  <c r="F1030" i="3" a="1"/>
  <c r="F1346" i="3" a="1"/>
  <c r="F1187" i="3" a="1"/>
  <c r="F1127" i="3" a="1"/>
  <c r="F1134" i="3" a="1"/>
  <c r="F729" i="3" a="1"/>
  <c r="E1201" i="3" a="1"/>
  <c r="E1323" i="3" a="1"/>
  <c r="F774" i="3" a="1"/>
  <c r="F1321" i="3" a="1"/>
  <c r="F1172" i="3" a="1"/>
  <c r="F124" i="3" a="1"/>
  <c r="F975" i="3" a="1"/>
  <c r="E446" i="3" a="1"/>
  <c r="F1366" i="3" a="1"/>
  <c r="E691" i="3" a="1"/>
  <c r="F855" i="3" a="1"/>
  <c r="F1118" i="3" a="1"/>
  <c r="F375" i="3" a="1"/>
  <c r="F903" i="3" a="1"/>
  <c r="F1349" i="3" a="1"/>
  <c r="F286" i="3" a="1"/>
  <c r="F1150" i="3" a="1"/>
  <c r="F1200" i="3" a="1"/>
  <c r="F997" i="3" a="1"/>
  <c r="E69" i="3" a="1"/>
  <c r="F1340" i="3" a="1"/>
  <c r="F1158" i="3" a="1"/>
  <c r="F1098" i="3" a="1"/>
  <c r="E532" i="3" a="1"/>
  <c r="F755" i="3" a="1"/>
  <c r="E961" i="3" a="1"/>
  <c r="F984" i="3" a="1"/>
  <c r="F1415" i="3" a="1"/>
  <c r="F1164" i="3" a="1"/>
  <c r="F944" i="3" a="1"/>
  <c r="F439" i="3" a="1"/>
  <c r="F242" i="3" a="1"/>
  <c r="E1113" i="3" a="1"/>
  <c r="F1487" i="3" a="1"/>
  <c r="F764" i="3" a="1"/>
  <c r="E1344" i="3" a="1"/>
  <c r="F114" i="3" a="1"/>
  <c r="F830" i="3" a="1"/>
  <c r="F1073" i="3" a="1"/>
  <c r="E1328" i="3" a="1"/>
  <c r="F730" i="3" a="1"/>
  <c r="F1055" i="3" a="1"/>
  <c r="F946" i="3" a="1"/>
  <c r="F333" i="3" a="1"/>
  <c r="F543" i="3" a="1"/>
  <c r="F1442" i="3" a="1"/>
  <c r="F81" i="3" a="1"/>
  <c r="F1282" i="3" a="1"/>
  <c r="F1129" i="3" a="1"/>
  <c r="E76" i="3" a="1"/>
  <c r="F992" i="3" a="1"/>
  <c r="F1182" i="3" a="1"/>
  <c r="F634" i="3" a="1"/>
  <c r="F1042" i="3" a="1"/>
  <c r="F651" i="3" a="1"/>
  <c r="F971" i="3" a="1"/>
  <c r="E404" i="3" a="1"/>
  <c r="F904" i="3" a="1"/>
  <c r="F880" i="3" a="1"/>
  <c r="E473" i="3" a="1"/>
  <c r="F170" i="3" a="1"/>
  <c r="F1427" i="3" a="1"/>
  <c r="F1007" i="3" a="1"/>
  <c r="F672" i="3" a="1"/>
  <c r="E1350" i="3" a="1"/>
  <c r="F805" i="3" a="1"/>
  <c r="F227" i="3" a="1"/>
  <c r="F785" i="3" a="1"/>
  <c r="F1117" i="3" a="1"/>
  <c r="F477" i="3" a="1"/>
  <c r="F15" i="3" a="1"/>
  <c r="F1297" i="3" a="1"/>
  <c r="F132" i="3" a="1"/>
  <c r="F1496" i="3" a="1"/>
  <c r="F572" i="3" a="1"/>
  <c r="F1421" i="3" a="1"/>
  <c r="F460" i="3" a="1"/>
  <c r="F1198" i="3" a="1"/>
  <c r="F1431" i="3" a="1"/>
  <c r="F1278" i="3" a="1"/>
  <c r="F1358" i="3" a="1"/>
  <c r="F754" i="3" a="1"/>
  <c r="F1408" i="3" a="1"/>
  <c r="F179" i="3" a="1"/>
  <c r="F457" i="3" a="1"/>
  <c r="F843" i="3" a="1"/>
  <c r="E1460" i="3" a="1"/>
  <c r="F336" i="3" a="1"/>
  <c r="E1312" i="3" a="1"/>
  <c r="F283" i="3" a="1"/>
  <c r="F1245" i="3" a="1"/>
  <c r="F851" i="3" a="1"/>
  <c r="F368" i="3" a="1"/>
  <c r="F1233" i="3" a="1"/>
  <c r="F872" i="3" a="1"/>
  <c r="E348" i="3" a="1"/>
  <c r="F792" i="3" a="1"/>
  <c r="F384" i="3" a="1"/>
  <c r="F619" i="3" a="1"/>
  <c r="F1280" i="3" a="1"/>
  <c r="F43" i="3" a="1"/>
  <c r="F524" i="3" a="1"/>
  <c r="E1109" i="3" a="1"/>
  <c r="F574" i="3" a="1"/>
  <c r="E849" i="3" a="1"/>
  <c r="F321" i="3" a="1"/>
  <c r="F1417" i="3" a="1"/>
  <c r="E36" i="3" a="1"/>
  <c r="F1212" i="3" a="1"/>
  <c r="F701" i="3" a="1"/>
  <c r="F642" i="3" a="1"/>
  <c r="F273" i="3" a="1"/>
  <c r="F578" i="3" a="1"/>
  <c r="F564" i="3" a="1"/>
  <c r="F691" i="3" a="1"/>
  <c r="F1293" i="3" a="1"/>
  <c r="E1127" i="3" a="1"/>
  <c r="E906" i="3" a="1"/>
  <c r="F44" i="3" a="1"/>
  <c r="F1329" i="3" a="1"/>
  <c r="F928" i="3" a="1"/>
  <c r="F1126" i="3" a="1"/>
  <c r="E1247" i="3" a="1"/>
  <c r="E18" i="3" a="1"/>
  <c r="F1099" i="3" a="1"/>
  <c r="F1372" i="3" a="1"/>
  <c r="F1462" i="3" a="1"/>
  <c r="F1344" i="3" a="1"/>
  <c r="E1132" i="3" a="1"/>
  <c r="F565" i="3" a="1"/>
  <c r="F726" i="3" a="1"/>
  <c r="F1472" i="3" a="1"/>
  <c r="F1229" i="3" a="1"/>
  <c r="E1485" i="3" a="1"/>
  <c r="F1266" i="3" a="1"/>
  <c r="F1088" i="3" a="1"/>
  <c r="E1228" i="3" a="1"/>
  <c r="E653" i="3" a="1"/>
  <c r="E231" i="3" a="1"/>
  <c r="F427" i="3" a="1"/>
  <c r="E438" i="3" a="1"/>
  <c r="F977" i="3" a="1"/>
  <c r="E59" i="3" a="1"/>
  <c r="E1295" i="3" a="1"/>
  <c r="F919" i="3" a="1"/>
  <c r="F1494" i="3" a="1"/>
  <c r="F1153" i="3" a="1"/>
  <c r="E1346" i="3" a="1"/>
  <c r="E638" i="3" a="1"/>
  <c r="F692" i="3" a="1"/>
  <c r="F896" i="3" a="1"/>
  <c r="E642" i="3" a="1"/>
  <c r="F428" i="3" a="1"/>
  <c r="F296" i="3" a="1"/>
  <c r="F828" i="3" a="1"/>
  <c r="E420" i="3" a="1"/>
  <c r="F690" i="3" a="1"/>
  <c r="F599" i="3" a="1"/>
  <c r="F1146" i="3" a="1"/>
  <c r="F1139" i="3" a="1"/>
  <c r="F1064" i="3" a="1"/>
  <c r="F597" i="3" a="1"/>
  <c r="F1298" i="3" a="1"/>
  <c r="F587" i="3" a="1"/>
  <c r="F244" i="3" a="1"/>
  <c r="F552" i="3" a="1"/>
  <c r="F837" i="3" a="1"/>
  <c r="F1207" i="3" a="1"/>
  <c r="F257" i="3" a="1"/>
  <c r="E694" i="3" a="1"/>
  <c r="F272" i="3" a="1"/>
  <c r="F499" i="3" a="1"/>
  <c r="F490" i="3" a="1"/>
  <c r="F253" i="3" a="1"/>
  <c r="F203" i="3" a="1"/>
  <c r="F42" i="3" a="1"/>
  <c r="F80" i="3" a="1"/>
  <c r="F1399" i="3" a="1"/>
  <c r="F1063" i="3" a="1"/>
  <c r="F1367" i="3" a="1"/>
  <c r="F1502" i="3" a="1"/>
  <c r="F431" i="3" a="1"/>
  <c r="F200" i="3" a="1"/>
  <c r="F1039" i="3" a="1"/>
  <c r="E1194" i="3" a="1"/>
  <c r="E1483" i="3" a="1"/>
  <c r="F211" i="3" a="1"/>
  <c r="F1341" i="3" a="1"/>
  <c r="F1249" i="3" a="1"/>
  <c r="F787" i="3" a="1"/>
  <c r="F988" i="3" a="1"/>
  <c r="F298" i="3" a="1"/>
  <c r="F46" i="3" a="1"/>
  <c r="F582" i="3" a="1"/>
  <c r="F699" i="3" a="1"/>
  <c r="E1102" i="3" a="1"/>
  <c r="F66" i="3" a="1"/>
  <c r="E1303" i="3" a="1"/>
  <c r="F432" i="3" a="1"/>
  <c r="E377" i="3" a="1"/>
  <c r="F1196" i="3" a="1"/>
  <c r="F21" i="3" a="1"/>
  <c r="F732" i="3" a="1"/>
  <c r="F762" i="3" a="1"/>
  <c r="F1025" i="3" a="1"/>
  <c r="F901" i="3" a="1"/>
  <c r="F99" i="3" a="1"/>
  <c r="F408" i="3" a="1"/>
  <c r="F908" i="3" a="1"/>
  <c r="F53" i="3" a="1"/>
  <c r="F175" i="3" a="1"/>
  <c r="F1121" i="3" a="1"/>
  <c r="F87" i="3" a="1"/>
  <c r="F930" i="3" a="1"/>
  <c r="F320" i="3" a="1"/>
  <c r="F236" i="3" a="1"/>
  <c r="E11" i="3" a="1"/>
  <c r="F1362" i="3" a="1"/>
  <c r="F669" i="3" a="1"/>
  <c r="F1388" i="3" a="1"/>
  <c r="F1423" i="3" a="1"/>
  <c r="F663" i="3" a="1"/>
  <c r="F172" i="3" a="1"/>
  <c r="F551" i="3" a="1"/>
  <c r="F839" i="3" a="1"/>
  <c r="F1330" i="3" a="1"/>
  <c r="F145" i="3" a="1"/>
  <c r="F778" i="3" a="1"/>
  <c r="F251" i="3" a="1"/>
  <c r="F871" i="3" a="1"/>
  <c r="F183" i="3" a="1"/>
  <c r="F1003" i="3" a="1"/>
  <c r="F1218" i="3" a="1"/>
  <c r="E1402" i="3" a="1"/>
  <c r="F1324" i="3" a="1"/>
  <c r="F868" i="3" a="1"/>
  <c r="F1159" i="3" a="1"/>
  <c r="E729" i="3" a="1"/>
  <c r="F1499" i="3" a="1"/>
  <c r="E1249" i="3" a="1"/>
  <c r="E291" i="3" a="1"/>
  <c r="F850" i="3" a="1"/>
  <c r="F917" i="3" a="1"/>
  <c r="E1251" i="3" a="1"/>
  <c r="F1342" i="3" a="1"/>
  <c r="E444" i="3" a="1"/>
  <c r="E981" i="3" a="1"/>
  <c r="F1402" i="3" a="1"/>
  <c r="F1351" i="3" a="1"/>
  <c r="F1193" i="3" a="1"/>
  <c r="F1110" i="3" a="1"/>
  <c r="F1393" i="3" a="1"/>
  <c r="F900" i="3" a="1"/>
  <c r="E1258" i="3" a="1"/>
  <c r="F1331" i="3" a="1"/>
  <c r="E1229" i="3" a="1"/>
  <c r="E143" i="3" a="1"/>
  <c r="F1389" i="3" a="1"/>
  <c r="F968" i="3" a="1"/>
  <c r="F1369" i="3" a="1"/>
  <c r="F1416" i="3" a="1"/>
  <c r="F1482" i="3" a="1"/>
  <c r="F1090" i="3" a="1"/>
  <c r="E1245" i="3" a="1"/>
  <c r="F1069" i="3" a="1"/>
  <c r="E461" i="3" a="1"/>
  <c r="E543" i="3" a="1"/>
  <c r="F620" i="3" a="1"/>
  <c r="F1276" i="3" a="1"/>
  <c r="F1272" i="3" a="1"/>
  <c r="F1315" i="3" a="1"/>
  <c r="E1357" i="3" a="1"/>
  <c r="F532" i="3" a="1"/>
  <c r="F1079" i="3" a="1"/>
  <c r="F1404" i="3" a="1"/>
  <c r="F1161" i="3" a="1"/>
  <c r="F849" i="3" a="1"/>
  <c r="F1232" i="3" a="1"/>
  <c r="F1288" i="3" a="1"/>
  <c r="F527" i="3" a="1"/>
  <c r="F1197" i="3" a="1"/>
  <c r="F1335" i="3" a="1"/>
  <c r="F641" i="3" a="1"/>
  <c r="F1240" i="3" a="1"/>
  <c r="F102" i="3" a="1"/>
  <c r="F802" i="3" a="1"/>
  <c r="F449" i="3" a="1"/>
  <c r="F356" i="3" a="1"/>
  <c r="F406" i="3" a="1"/>
  <c r="F633" i="3" a="1"/>
  <c r="E368" i="3" a="1"/>
  <c r="F1343" i="3" a="1"/>
  <c r="F1471" i="3" a="1"/>
  <c r="E235" i="3" a="1"/>
  <c r="F82" i="3" a="1"/>
  <c r="F140" i="3" a="1"/>
  <c r="F1497" i="3" a="1"/>
  <c r="E1299" i="3" a="1"/>
  <c r="F101" i="3" a="1"/>
  <c r="F314" i="3" a="1"/>
  <c r="F978" i="3" a="1"/>
  <c r="F1210" i="3" a="1"/>
  <c r="F1191" i="3" a="1"/>
  <c r="F1076" i="3" a="1"/>
  <c r="F501" i="3" a="1"/>
  <c r="F57" i="3" a="1"/>
  <c r="F788" i="3" a="1"/>
  <c r="F1043" i="3" a="1"/>
  <c r="E1446" i="3" a="1"/>
  <c r="F250" i="3" a="1"/>
  <c r="F961" i="3" a="1"/>
  <c r="F1258" i="3" a="1"/>
  <c r="E1244" i="3" a="1"/>
  <c r="F1468" i="3" a="1"/>
  <c r="F1107" i="3" a="1"/>
  <c r="F430" i="3" a="1"/>
  <c r="F135" i="3" a="1"/>
  <c r="F445" i="3" a="1"/>
  <c r="E22" i="3" a="1"/>
  <c r="F329" i="3" a="1"/>
  <c r="F1382" i="3" a="1"/>
  <c r="F201" i="3" a="1"/>
  <c r="F711" i="3" a="1"/>
  <c r="E102" i="3" a="1"/>
  <c r="F1005" i="3" a="1"/>
  <c r="F799" i="3" a="1"/>
  <c r="F281" i="3" a="1"/>
  <c r="F528" i="3" a="1"/>
  <c r="F397" i="3" a="1"/>
  <c r="F285" i="3" a="1"/>
  <c r="F680" i="3" a="1"/>
  <c r="F614" i="3" a="1"/>
  <c r="F1242" i="3" a="1"/>
  <c r="F33" i="3" a="1"/>
  <c r="F905" i="3" a="1"/>
  <c r="F399" i="3" a="1"/>
  <c r="F773" i="3" a="1"/>
  <c r="F226" i="3" a="1"/>
  <c r="E375" i="3" a="1"/>
  <c r="F1170" i="3" a="1"/>
  <c r="F878" i="3" a="1"/>
  <c r="F497" i="3" a="1"/>
  <c r="E1137" i="3" a="1"/>
  <c r="E133" i="3" a="1"/>
  <c r="F659" i="3" a="1"/>
  <c r="F165" i="3" a="1"/>
  <c r="F675" i="3" a="1"/>
  <c r="F554" i="3" a="1"/>
  <c r="F1301" i="3" a="1"/>
  <c r="F88" i="3" a="1"/>
  <c r="F728" i="3" a="1"/>
  <c r="F153" i="3" a="1"/>
  <c r="F842" i="3" a="1"/>
  <c r="F163" i="3" a="1"/>
  <c r="F1214" i="3" a="1"/>
  <c r="E413" i="3" a="1"/>
  <c r="F1436" i="3" a="1"/>
  <c r="F1294" i="3" a="1"/>
  <c r="F1183" i="3" a="1"/>
  <c r="F693" i="3" a="1"/>
  <c r="F1460" i="3" a="1"/>
  <c r="F932" i="3" a="1"/>
  <c r="F1085" i="3" a="1"/>
  <c r="F1465" i="3" a="1"/>
  <c r="E850" i="3" a="1"/>
  <c r="F771" i="3" a="1"/>
  <c r="E453" i="3" a="1"/>
  <c r="F1053" i="3" a="1"/>
  <c r="F1453" i="3" a="1"/>
  <c r="E410" i="3" a="1"/>
  <c r="E1198" i="3" a="1"/>
  <c r="F940" i="3" a="1"/>
  <c r="F1148" i="3" a="1"/>
  <c r="F911" i="3" a="1"/>
  <c r="F1397" i="3" a="1"/>
  <c r="F933" i="3" a="1"/>
  <c r="E21" i="3" a="1"/>
  <c r="F1156" i="3" a="1"/>
  <c r="F1113" i="3" a="1"/>
  <c r="E63" i="3" a="1"/>
  <c r="E1142" i="3" a="1"/>
  <c r="F1004" i="3" a="1"/>
  <c r="F1378" i="3" a="1"/>
  <c r="F1461" i="3" a="1"/>
  <c r="F1152" i="3" a="1"/>
  <c r="F709" i="3" a="1"/>
  <c r="F1132" i="3" a="1"/>
  <c r="F1352" i="3" a="1"/>
  <c r="F1365" i="3" a="1"/>
  <c r="F1224" i="3" a="1"/>
  <c r="F1277" i="3" a="1"/>
  <c r="F1221" i="3" a="1"/>
  <c r="F1122" i="3" a="1"/>
  <c r="F1425" i="3" a="1"/>
  <c r="E81" i="3" a="1"/>
  <c r="F616" i="3" a="1"/>
  <c r="F1469" i="3" a="1"/>
  <c r="F1414" i="3" a="1"/>
  <c r="F1274" i="3" a="1"/>
  <c r="F573" i="3" a="1"/>
  <c r="E515" i="3" a="1"/>
  <c r="F1142" i="3" a="1"/>
  <c r="F567" i="3" a="1"/>
  <c r="E1498" i="3" a="1"/>
  <c r="F386" i="3" a="1"/>
  <c r="F471" i="3" a="1"/>
  <c r="E353" i="3" a="1"/>
  <c r="F1376" i="3" a="1"/>
  <c r="F883" i="3" a="1"/>
  <c r="F540" i="3" a="1"/>
  <c r="F35" i="3" a="1"/>
  <c r="F38" i="3" a="1"/>
  <c r="F407" i="3" a="1"/>
  <c r="F1450" i="3" a="1"/>
  <c r="F1308" i="3" a="1"/>
  <c r="F636" i="3" a="1"/>
  <c r="F1211" i="3" a="1"/>
  <c r="F279" i="3" a="1"/>
  <c r="F98" i="3" a="1"/>
  <c r="F1204" i="3" a="1"/>
  <c r="F1020" i="3" a="1"/>
  <c r="E1116" i="3" a="1"/>
  <c r="F265" i="3" a="1"/>
  <c r="F679" i="3" a="1"/>
  <c r="E124" i="3" a="1"/>
  <c r="E1388" i="3" a="1"/>
  <c r="F1047" i="3" a="1"/>
  <c r="F219" i="3" a="1"/>
  <c r="F1154" i="3" a="1"/>
  <c r="F748" i="3" a="1"/>
  <c r="F815" i="3" a="1"/>
  <c r="E1385" i="3" a="1"/>
  <c r="E1487" i="3" a="1"/>
  <c r="F1489" i="3" a="1"/>
  <c r="E1238" i="3" a="1"/>
  <c r="F1040" i="3" a="1"/>
  <c r="F695" i="3" a="1"/>
  <c r="F1383" i="3" a="1"/>
  <c r="F17" i="3" a="1"/>
  <c r="F161" i="3" a="1"/>
  <c r="F218" i="3" a="1"/>
  <c r="F1213" i="3" a="1"/>
  <c r="F222" i="3" a="1"/>
  <c r="F1052" i="3" a="1"/>
  <c r="F51" i="3" a="1"/>
  <c r="F420" i="3" a="1"/>
  <c r="F1470" i="3" a="1"/>
  <c r="F1241" i="3" a="1"/>
  <c r="F661" i="3" a="1"/>
  <c r="E273" i="3" a="1"/>
  <c r="E1128" i="3" a="1"/>
  <c r="F239" i="3" a="1"/>
  <c r="F210" i="3" a="1"/>
  <c r="F252" i="3" a="1"/>
  <c r="F810" i="3" a="1"/>
  <c r="F1061" i="3" a="1"/>
  <c r="F127" i="3" a="1"/>
  <c r="F847" i="3" a="1"/>
  <c r="F198" i="3" a="1"/>
  <c r="F721" i="3" a="1"/>
  <c r="F148" i="3" a="1"/>
  <c r="E345" i="3" a="1"/>
  <c r="F1434" i="3" a="1"/>
  <c r="F1381" i="3" a="1"/>
  <c r="F694" i="3" a="1"/>
  <c r="F1354" i="3" a="1"/>
  <c r="F1018" i="3" a="1"/>
  <c r="F1100" i="3" a="1"/>
  <c r="F109" i="3" a="1"/>
  <c r="F547" i="3" a="1"/>
  <c r="F352" i="3" a="1"/>
  <c r="F664" i="3" a="1"/>
  <c r="F418" i="3" a="1"/>
  <c r="F570" i="3" a="1"/>
  <c r="E1468" i="3" a="1"/>
  <c r="F475" i="3" a="1"/>
  <c r="E1220" i="3" a="1"/>
  <c r="F419" i="3" a="1"/>
  <c r="F1269" i="3" a="1"/>
  <c r="F936" i="3" a="1"/>
  <c r="F927" i="3" a="1"/>
  <c r="F1131" i="3" a="1"/>
  <c r="F763" i="3" a="1"/>
  <c r="F331" i="3" a="1"/>
  <c r="F780" i="3" a="1"/>
  <c r="F1356" i="3" a="1"/>
  <c r="F906" i="3" a="1"/>
  <c r="F1006" i="3" a="1"/>
  <c r="F1060" i="3" a="1"/>
  <c r="F1219" i="3" a="1"/>
  <c r="F1449" i="3" a="1"/>
  <c r="F571" i="3" a="1"/>
  <c r="F1364" i="3" a="1"/>
  <c r="F1160" i="3" a="1"/>
  <c r="F1292" i="3" a="1"/>
  <c r="F1348" i="3" a="1"/>
  <c r="F1476" i="3" a="1"/>
  <c r="F889" i="3" a="1"/>
  <c r="F986" i="3" a="1"/>
  <c r="F422" i="3" a="1"/>
  <c r="F960" i="3" a="1"/>
  <c r="F334" i="3" a="1"/>
  <c r="E1133" i="3" a="1"/>
  <c r="F1428" i="3" a="1"/>
  <c r="F1410" i="3" a="1"/>
  <c r="E1114" i="3" a="1"/>
  <c r="E389" i="3" a="1"/>
  <c r="F796" i="3" a="1"/>
  <c r="F1459" i="3" a="1"/>
  <c r="F929" i="3" a="1"/>
  <c r="F1019" i="3" a="1"/>
  <c r="F1302" i="3" a="1"/>
  <c r="F1173" i="3" a="1"/>
  <c r="F1296" i="3" a="1"/>
  <c r="F1041" i="3" a="1"/>
  <c r="F1072" i="3" a="1"/>
  <c r="F1195" i="3" a="1"/>
  <c r="F670" i="3" a="1"/>
  <c r="F985" i="3" a="1"/>
  <c r="E9" i="3" a="1"/>
  <c r="F1451" i="3" a="1"/>
  <c r="E658" i="3" a="1"/>
  <c r="E39" i="3" a="1"/>
  <c r="F907" i="3" a="1"/>
  <c r="F1147" i="3" a="1"/>
  <c r="F1350" i="3" a="1"/>
  <c r="F1458" i="3" a="1"/>
  <c r="E711" i="3" a="1"/>
  <c r="F313" i="3" a="1"/>
  <c r="E1219" i="3" a="1"/>
  <c r="E740" i="3" a="1"/>
  <c r="E1250" i="3" a="1"/>
  <c r="F1216" i="3" a="1"/>
  <c r="F870" i="3" a="1"/>
  <c r="F912" i="3" a="1"/>
  <c r="F128" i="3" a="1"/>
  <c r="F282" i="3" a="1"/>
  <c r="F83" i="3" a="1"/>
  <c r="F326" i="3" a="1"/>
  <c r="F10" i="3" a="1"/>
  <c r="E1210" i="3" a="1"/>
  <c r="F493" i="3" a="1"/>
  <c r="F1306" i="3" a="1"/>
  <c r="F121" i="3" a="1"/>
  <c r="F1141" i="3" a="1"/>
  <c r="F858" i="3" a="1"/>
  <c r="F857" i="3" a="1"/>
  <c r="E1458" i="3" a="1"/>
  <c r="F437" i="3" a="1"/>
  <c r="E1200" i="3" a="1"/>
  <c r="F1111" i="3" a="1"/>
  <c r="F1140" i="3" a="1"/>
  <c r="F833" i="3" a="1"/>
  <c r="F291" i="3" a="1"/>
  <c r="F775" i="3" a="1"/>
  <c r="F440" i="3" a="1"/>
  <c r="F529" i="3" a="1"/>
  <c r="F995" i="3" a="1"/>
  <c r="F1162" i="3" a="1"/>
  <c r="F1143" i="3" a="1"/>
  <c r="F1284" i="3" a="1"/>
  <c r="F1155" i="3" a="1"/>
  <c r="F278" i="3" a="1"/>
  <c r="F779" i="3" a="1"/>
  <c r="F1353" i="3" a="1"/>
  <c r="F94" i="3" a="1"/>
  <c r="F85" i="3" a="1"/>
  <c r="F826" i="3" a="1"/>
  <c r="F736" i="3" a="1"/>
  <c r="F895" i="3" a="1"/>
  <c r="F349" i="3" a="1"/>
  <c r="E1173" i="3" a="1"/>
  <c r="F1208" i="3" a="1"/>
  <c r="F451" i="3" a="1"/>
  <c r="F1250" i="3" a="1"/>
  <c r="F1065" i="3" a="1"/>
  <c r="F1103" i="3" a="1"/>
  <c r="F1360" i="3" a="1"/>
  <c r="F130" i="3" a="1"/>
  <c r="F34" i="3" a="1"/>
  <c r="F485" i="3" a="1"/>
  <c r="F768" i="3" a="1"/>
  <c r="F149" i="3" a="1"/>
  <c r="F707" i="3" a="1"/>
  <c r="E1455" i="3" a="1"/>
  <c r="F553" i="3" a="1"/>
  <c r="E1196" i="3" a="1"/>
  <c r="F1375" i="3" a="1"/>
  <c r="F1260" i="3" a="1"/>
  <c r="F1455" i="3" a="1"/>
  <c r="E1112" i="3" a="1"/>
  <c r="F951" i="3" a="1"/>
  <c r="F1440" i="3" a="1"/>
  <c r="F845" i="3" a="1"/>
  <c r="E1176" i="3" a="1"/>
  <c r="F263" i="3" a="1"/>
  <c r="F301" i="3" a="1"/>
  <c r="F662" i="3" a="1"/>
  <c r="F7" i="3" a="1"/>
  <c r="F429" i="3" a="1"/>
  <c r="E1188" i="3" a="1"/>
  <c r="F643" i="3" a="1"/>
  <c r="E593" i="3" a="1"/>
  <c r="F5" i="3" a="1"/>
  <c r="E72" i="3" a="1"/>
  <c r="F840" i="3" a="1"/>
  <c r="F863" i="3" a="1"/>
  <c r="F1299" i="3" a="1"/>
  <c r="F537" i="3" a="1"/>
  <c r="F195" i="3" a="1"/>
  <c r="F605" i="3" a="1"/>
  <c r="F867" i="3" a="1"/>
  <c r="F241" i="3" a="1"/>
  <c r="F783" i="3" a="1"/>
  <c r="F1035" i="3" a="1"/>
  <c r="E1129" i="3" a="1"/>
  <c r="F1287" i="3" a="1"/>
  <c r="F613" i="3" a="1"/>
  <c r="F473" i="3" a="1"/>
  <c r="F864" i="3" a="1"/>
  <c r="F1106" i="3" a="1"/>
  <c r="F1070" i="3" a="1"/>
  <c r="F1235" i="3" a="1"/>
  <c r="F468" i="3" a="1"/>
  <c r="F821" i="3" a="1"/>
  <c r="F462" i="3" a="1"/>
  <c r="F1413" i="3" a="1"/>
  <c r="F559" i="3" a="1"/>
  <c r="F1363" i="3" a="1"/>
  <c r="F1093" i="3" a="1"/>
  <c r="F1095" i="3" a="1"/>
  <c r="F22" i="3" a="1"/>
  <c r="F1339" i="3" a="1"/>
  <c r="F649" i="3" a="1"/>
  <c r="F873" i="3" a="1"/>
  <c r="F1136" i="3" a="1"/>
  <c r="F1104" i="3" a="1"/>
  <c r="F521" i="3" a="1"/>
  <c r="F14" i="3" a="1"/>
  <c r="F897" i="3" a="1"/>
  <c r="F1279" i="3" a="1"/>
  <c r="E1037" i="3" a="1"/>
  <c r="F1286" i="3" a="1"/>
  <c r="F603" i="3" a="1"/>
  <c r="F816" i="3" a="1"/>
  <c r="E902" i="3" a="1"/>
  <c r="F1145" i="3" a="1"/>
  <c r="E616" i="3" a="1"/>
  <c r="E1412" i="3" a="1"/>
  <c r="F1273" i="3" a="1"/>
  <c r="F993" i="3" a="1"/>
  <c r="F1119" i="3" a="1"/>
  <c r="F1169" i="3" a="1"/>
  <c r="F1325" i="3" a="1"/>
  <c r="F1429" i="3" a="1"/>
  <c r="E1322" i="3" a="1"/>
  <c r="E5" i="3" a="1"/>
  <c r="F983" i="3" a="1"/>
  <c r="F1175" i="3" a="1"/>
  <c r="F262" i="3" a="1"/>
  <c r="F186" i="3" a="1"/>
  <c r="E84" i="3" a="1"/>
  <c r="E1495" i="3" a="1"/>
  <c r="F61" i="3" a="1"/>
  <c r="F139" i="3" a="1"/>
  <c r="E254" i="3" a="1"/>
  <c r="E924" i="3" a="1"/>
  <c r="E801" i="3" a="1"/>
  <c r="F738" i="3" a="1"/>
  <c r="E1466" i="3" a="1"/>
  <c r="F682" i="3" a="1"/>
  <c r="F519" i="3" a="1"/>
  <c r="F974" i="3" a="1"/>
  <c r="F1010" i="3" a="1"/>
  <c r="F1446" i="3" a="1"/>
  <c r="F1188" i="3" a="1"/>
  <c r="F943" i="3" a="1"/>
  <c r="F1261" i="3" a="1"/>
  <c r="F350" i="3" a="1"/>
  <c r="F931" i="3" a="1"/>
  <c r="F800" i="3" a="1"/>
  <c r="F308" i="3" a="1"/>
  <c r="F337" i="3" a="1"/>
  <c r="F681" i="3" a="1"/>
  <c r="E516" i="3" a="1"/>
  <c r="F120" i="3" a="1"/>
  <c r="F467" i="3" a="1"/>
  <c r="F39" i="3" a="1"/>
  <c r="F789" i="3" a="1"/>
  <c r="F848" i="3" a="1"/>
  <c r="F1411" i="3" a="1"/>
  <c r="F1028" i="3" a="1"/>
  <c r="F246" i="3" a="1"/>
  <c r="F702" i="3" a="1"/>
  <c r="F259" i="3" a="1"/>
  <c r="F823" i="3" a="1"/>
  <c r="F192" i="3" a="1"/>
  <c r="F1051" i="3" a="1"/>
  <c r="F935" i="3" a="1"/>
  <c r="E1224" i="3" a="1"/>
  <c r="F1178" i="3" a="1"/>
  <c r="F1433" i="3" a="1"/>
  <c r="F1285" i="3" a="1"/>
  <c r="F1092" i="3" a="1"/>
  <c r="E1107" i="3" a="1"/>
  <c r="F405" i="3" a="1"/>
  <c r="F344" i="3" a="1"/>
  <c r="F761" i="3" a="1"/>
  <c r="F86" i="3" a="1"/>
  <c r="F511" i="3" a="1"/>
  <c r="E1292" i="3" a="1"/>
  <c r="F416" i="3" a="1"/>
  <c r="F941" i="3" a="1"/>
  <c r="F1015" i="3" a="1"/>
  <c r="F381" i="3" a="1"/>
  <c r="F723" i="3" a="1"/>
  <c r="F1435" i="3" a="1"/>
  <c r="F1074" i="3" a="1"/>
  <c r="F1184" i="3" a="1"/>
  <c r="F588" i="3" a="1"/>
  <c r="F882" i="3" a="1"/>
  <c r="F245" i="3" a="1"/>
  <c r="F115" i="3" a="1"/>
  <c r="F560" i="3" a="1"/>
  <c r="E1230" i="3" a="1"/>
  <c r="F509" i="3" a="1"/>
  <c r="E1372" i="3" a="1"/>
  <c r="F426" i="3" a="1"/>
  <c r="F409" i="3" a="1"/>
  <c r="E373" i="3" a="1"/>
  <c r="F1304" i="3" a="1"/>
  <c r="F500" i="3" a="1"/>
  <c r="F232" i="3" a="1"/>
  <c r="F413" i="3" a="1"/>
  <c r="F498" i="3" a="1"/>
  <c r="F103" i="3" a="1"/>
  <c r="F458" i="3" a="1"/>
  <c r="F739" i="3" a="1"/>
  <c r="F1031" i="3" a="1"/>
  <c r="E1108" i="3" a="1"/>
  <c r="F1137" i="3" a="1"/>
  <c r="F877" i="3" a="1"/>
  <c r="F1238" i="3" a="1"/>
  <c r="F1203" i="3" a="1"/>
  <c r="F758" i="3" a="1"/>
  <c r="E1084" i="3" a="1"/>
  <c r="F515" i="3" a="1"/>
  <c r="F1390" i="3" a="1"/>
  <c r="E1345" i="3" a="1"/>
  <c r="E976" i="3" a="1"/>
  <c r="F566" i="3" a="1"/>
  <c r="F794" i="3" a="1"/>
  <c r="E462" i="3" a="1"/>
  <c r="F1130" i="3" a="1"/>
  <c r="F581" i="3" a="1"/>
  <c r="F801" i="3" a="1"/>
  <c r="F831" i="3" a="1"/>
  <c r="F1359" i="3" a="1"/>
  <c r="E49" i="3" a="1"/>
  <c r="F383" i="3" a="1"/>
  <c r="F834" i="3" a="1"/>
  <c r="F718" i="3" a="1"/>
  <c r="E1209" i="3" a="1"/>
  <c r="F829" i="3" a="1"/>
  <c r="F478" i="3" a="1"/>
  <c r="E1197" i="3" a="1"/>
  <c r="F452" i="3" a="1"/>
  <c r="F962" i="3" a="1"/>
  <c r="F1474" i="3" a="1"/>
  <c r="E1024" i="3" a="1"/>
  <c r="F330" i="3" a="1"/>
  <c r="F630" i="3" a="1"/>
  <c r="E1248" i="3" a="1"/>
  <c r="F1185" i="3" a="1"/>
  <c r="E1236" i="3" a="1"/>
  <c r="F1177" i="3" a="1"/>
  <c r="E726" i="3" a="1"/>
  <c r="F804" i="3" a="1"/>
  <c r="F920" i="3" a="1"/>
  <c r="F1086" i="3" a="1"/>
  <c r="F1336" i="3" a="1"/>
  <c r="F698" i="3" a="1"/>
  <c r="F1059" i="3" a="1"/>
  <c r="F1226" i="3" a="1"/>
  <c r="F1116" i="3" a="1"/>
  <c r="F1430" i="3" a="1"/>
  <c r="F454" i="3" a="1"/>
  <c r="F48" i="3" a="1"/>
  <c r="F852" i="3" a="1"/>
  <c r="E1144" i="3" a="1"/>
  <c r="E1213" i="3" a="1"/>
  <c r="F37" i="3" a="1"/>
  <c r="F1236" i="3" a="1"/>
  <c r="F1444" i="3" a="1"/>
  <c r="F1373" i="3" a="1"/>
  <c r="F469" i="3" a="1"/>
  <c r="F860" i="3" a="1"/>
  <c r="F957" i="3" a="1"/>
  <c r="F487" i="3" a="1"/>
  <c r="F417" i="3" a="1"/>
  <c r="F710" i="3" a="1"/>
  <c r="E1206" i="3" a="1"/>
  <c r="F926" i="3" a="1"/>
  <c r="F362" i="3" a="1"/>
  <c r="F425" i="3" a="1"/>
  <c r="E114" i="3" a="1"/>
  <c r="F622" i="3" a="1"/>
  <c r="F576" i="3" a="1"/>
  <c r="F402" i="3" a="1"/>
  <c r="F91" i="3" a="1"/>
  <c r="F355" i="3" a="1"/>
  <c r="F1138" i="3" a="1"/>
  <c r="E414" i="3" a="1"/>
  <c r="E423" i="3" a="1"/>
  <c r="F1115" i="3" a="1"/>
  <c r="F809" i="3" a="1"/>
  <c r="F580" i="3" a="1"/>
  <c r="F668" i="3" a="1"/>
  <c r="F1062" i="3" a="1"/>
  <c r="F194" i="3" a="1"/>
  <c r="F359" i="3" a="1"/>
  <c r="E1491" i="3" a="1"/>
  <c r="F685" i="3" a="1"/>
  <c r="F1295" i="3" a="1"/>
  <c r="F1123" i="3" a="1"/>
  <c r="F1251" i="3" a="1"/>
  <c r="F697" i="3" a="1"/>
  <c r="F1036" i="3" a="1"/>
  <c r="F965" i="3" a="1"/>
  <c r="F886" i="3" a="1"/>
  <c r="F626" i="3" a="1"/>
  <c r="F887" i="3" a="1"/>
  <c r="F268" i="3" a="1"/>
  <c r="F310" i="3" a="1"/>
  <c r="F725" i="3" a="1"/>
  <c r="E1314" i="3" a="1"/>
  <c r="F609" i="3" a="1"/>
  <c r="E1444" i="3" a="1"/>
  <c r="F503" i="3" a="1"/>
  <c r="F1438" i="3" a="1"/>
  <c r="F909" i="3" a="1"/>
  <c r="E569" i="3" a="1"/>
  <c r="F1046" i="3" a="1"/>
  <c r="F1002" i="3" a="1"/>
  <c r="F90" i="3" a="1"/>
  <c r="F770" i="3" a="1"/>
  <c r="F594" i="3" a="1"/>
  <c r="F1254" i="3" a="1"/>
  <c r="F84" i="3" a="1"/>
  <c r="F819" i="3" a="1"/>
  <c r="F448" i="3" a="1"/>
  <c r="E1408" i="3" a="1"/>
  <c r="F288" i="3" a="1"/>
  <c r="E1106" i="3" a="1"/>
  <c r="F207" i="3" a="1"/>
  <c r="E281" i="3" a="1"/>
  <c r="F1033" i="3" a="1"/>
  <c r="F1426" i="3" a="1"/>
  <c r="F258" i="3" a="1"/>
  <c r="F1345" i="3" a="1"/>
  <c r="E1049" i="3" a="1"/>
  <c r="F496" i="3" a="1"/>
  <c r="F591" i="3" a="1"/>
  <c r="F549" i="3" a="1"/>
  <c r="F398" i="3" a="1"/>
  <c r="F1243" i="3" a="1"/>
  <c r="F1317" i="3" a="1"/>
  <c r="E589" i="3" a="1"/>
  <c r="F1456" i="3" a="1"/>
  <c r="F950" i="3" a="1"/>
  <c r="F1045" i="3" a="1"/>
  <c r="F446" i="3" a="1"/>
  <c r="F1186" i="3" a="1"/>
  <c r="F421" i="3" a="1"/>
  <c r="F52" i="3" a="1"/>
  <c r="F1473" i="3" a="1"/>
  <c r="F1337" i="3" a="1"/>
  <c r="E1363" i="3" a="1"/>
  <c r="E456" i="3" a="1"/>
  <c r="F299" i="3" a="1"/>
  <c r="F505" i="3" a="1"/>
  <c r="F59" i="3" a="1"/>
  <c r="E1089" i="3" a="1"/>
  <c r="F235" i="3" a="1"/>
  <c r="F93" i="3" a="1"/>
  <c r="F1263" i="3" a="1"/>
  <c r="F1083" i="3" a="1"/>
  <c r="F1463" i="3" a="1"/>
  <c r="F653" i="3" a="1"/>
  <c r="F1037" i="3" a="1"/>
  <c r="F767" i="3" a="1"/>
  <c r="F373" i="3" a="1"/>
  <c r="F1320" i="3" a="1"/>
  <c r="F1023" i="3" a="1"/>
  <c r="F453" i="3" a="1"/>
  <c r="F1124" i="3" a="1"/>
  <c r="F1391" i="3" a="1"/>
  <c r="E1423" i="3" a="1"/>
  <c r="E1273" i="3" a="1"/>
  <c r="F415" i="3" a="1"/>
  <c r="F1477" i="3" a="1"/>
  <c r="F1167" i="3" a="1"/>
  <c r="F317" i="3" a="1"/>
  <c r="F1157" i="3" a="1"/>
  <c r="F492" i="3" a="1"/>
  <c r="F720" i="3" a="1"/>
  <c r="E447" i="3" a="1"/>
  <c r="F846" i="3" a="1"/>
  <c r="F510" i="3" a="1"/>
  <c r="E998" i="3" a="1"/>
  <c r="F1102" i="3" a="1"/>
  <c r="F1439" i="3" a="1"/>
  <c r="F866" i="3" a="1"/>
  <c r="E1501" i="3" a="1"/>
  <c r="F807" i="3" a="1"/>
  <c r="F388" i="3" a="1"/>
  <c r="F657" i="3" a="1"/>
  <c r="F404" i="3" a="1"/>
  <c r="E1175" i="3" a="1"/>
  <c r="E409" i="3" a="1"/>
  <c r="F544" i="3" a="1"/>
  <c r="E1177" i="3" a="1"/>
  <c r="F1319" i="3" a="1"/>
  <c r="F586" i="3" a="1"/>
  <c r="F223" i="3" a="1"/>
  <c r="F111" i="3" a="1"/>
  <c r="F621" i="3" a="1"/>
  <c r="F969" i="3" a="1"/>
  <c r="E452" i="3" a="1"/>
  <c r="F1024" i="3" a="1"/>
  <c r="E1427" i="3" a="1"/>
  <c r="E1207" i="3" a="1"/>
  <c r="F369" i="3" a="1"/>
  <c r="F343" i="3" a="1"/>
  <c r="F138" i="3" a="1"/>
  <c r="F158" i="3" a="1"/>
  <c r="F470" i="3" a="1"/>
  <c r="F27" i="3" a="1"/>
  <c r="F1314" i="3" a="1"/>
  <c r="F1401" i="3" a="1"/>
  <c r="F956" i="3" a="1"/>
  <c r="F1490" i="3" a="1"/>
  <c r="F151" i="3" a="1"/>
  <c r="F305" i="3" a="1"/>
  <c r="F472" i="3" a="1"/>
  <c r="F486" i="3" a="1"/>
  <c r="E1396" i="3" a="1"/>
  <c r="F229" i="3" a="1"/>
  <c r="E1121" i="3" a="1"/>
  <c r="F592" i="3" a="1"/>
  <c r="F1206" i="3" a="1"/>
  <c r="F63" i="3" a="1"/>
  <c r="F1500" i="3" a="1"/>
  <c r="F1488" i="3" a="1"/>
  <c r="F879" i="3" a="1"/>
  <c r="E299" i="3" a="1"/>
  <c r="F660" i="3" a="1"/>
  <c r="F147" i="3" a="1"/>
  <c r="F749" i="3" a="1"/>
  <c r="F1058" i="3" a="1"/>
  <c r="F31" i="3" a="1"/>
  <c r="F753" i="3" a="1"/>
  <c r="F1478" i="3" a="1"/>
  <c r="F217" i="3" a="1"/>
  <c r="F1422" i="3" a="1"/>
  <c r="F113" i="3" a="1"/>
  <c r="E1364" i="3" a="1"/>
  <c r="F11" i="3" a="1"/>
  <c r="E317" i="3" a="1"/>
  <c r="F803" i="3" a="1"/>
  <c r="F689" i="3" a="1"/>
  <c r="F1492" i="3" a="1"/>
  <c r="F606" i="3" a="1"/>
  <c r="F58" i="3" a="1"/>
  <c r="F324" i="3" a="1"/>
  <c r="F765" i="3" a="1"/>
  <c r="F12" i="3" a="1"/>
  <c r="F54" i="3" a="1"/>
  <c r="F954" i="3" a="1"/>
  <c r="F364" i="3" a="1"/>
  <c r="F959" i="3" a="1"/>
  <c r="F221" i="3" a="1"/>
  <c r="F1189" i="3" a="1"/>
  <c r="F948" i="3" a="1"/>
  <c r="F1001" i="3" a="1"/>
  <c r="E1202" i="3" a="1"/>
  <c r="F1406" i="3" a="1"/>
  <c r="F1215" i="3" a="1"/>
  <c r="F811" i="3" a="1"/>
  <c r="F1466" i="3" a="1"/>
  <c r="F134" i="3" a="1"/>
  <c r="F248" i="3" a="1"/>
  <c r="F1220" i="3" a="1"/>
  <c r="F438" i="3" a="1"/>
  <c r="F1491" i="3" a="1"/>
  <c r="F671" i="3" a="1"/>
  <c r="F1394" i="3" a="1"/>
  <c r="F590" i="3" a="1"/>
  <c r="F461" i="3" a="1"/>
  <c r="E620" i="3" a="1"/>
  <c r="F595" i="3" a="1"/>
  <c r="F898" i="3" a="1"/>
  <c r="F1467" i="3" a="1"/>
  <c r="F558" i="3" a="1"/>
  <c r="F1165" i="3" a="1"/>
  <c r="F548" i="3" a="1"/>
  <c r="E830" i="3" a="1"/>
  <c r="F812" i="3" a="1"/>
  <c r="F133" i="3" a="1"/>
  <c r="F16" i="3" a="1"/>
  <c r="F914" i="3" a="1"/>
  <c r="F188" i="3" a="1"/>
  <c r="F735" i="3" a="1"/>
  <c r="F137" i="3" a="1"/>
  <c r="F1409" i="3" a="1"/>
  <c r="F1248" i="3" a="1"/>
  <c r="F1355" i="3" a="1"/>
  <c r="F1443" i="3" a="1"/>
  <c r="F1067" i="3" a="1"/>
  <c r="F1094" i="3" a="1"/>
  <c r="F628" i="3" a="1"/>
  <c r="F1071" i="3" a="1"/>
  <c r="F95" i="3" a="1"/>
  <c r="F640" i="3" a="1"/>
  <c r="F546" i="3" a="1"/>
  <c r="E1488" i="3" a="1"/>
  <c r="F550" i="3" a="1"/>
  <c r="E1041" i="3" a="1"/>
  <c r="F396" i="3" a="1"/>
  <c r="F1498" i="3" a="1"/>
  <c r="F300" i="3" a="1"/>
  <c r="F32" i="3" a="1"/>
  <c r="E878" i="3" a="1"/>
  <c r="E1074" i="3" a="1"/>
  <c r="E327" i="3" a="1"/>
  <c r="E904" i="3" a="1"/>
  <c r="E384" i="3" a="1"/>
  <c r="E1297" i="3" a="1"/>
  <c r="E548" i="3" a="1"/>
  <c r="E1149" i="3" a="1"/>
  <c r="F827" i="3" a="1"/>
  <c r="E1370" i="3" a="1"/>
  <c r="F208" i="3" a="1"/>
  <c r="E883" i="3" a="1"/>
  <c r="E578" i="3" a="1"/>
  <c r="F784" i="3" a="1"/>
  <c r="F530" i="3" a="1"/>
  <c r="E1285" i="3" a="1"/>
  <c r="E846" i="3" a="1"/>
  <c r="E955" i="3" a="1"/>
  <c r="E454" i="3" a="1"/>
  <c r="E901" i="3" a="1"/>
  <c r="E539" i="3" a="1"/>
  <c r="E1257" i="3" a="1"/>
  <c r="E599" i="3" a="1"/>
  <c r="E1139" i="3" a="1"/>
  <c r="F209" i="3" a="1"/>
  <c r="E643" i="3" a="1"/>
  <c r="E1166" i="3" a="1"/>
  <c r="E313" i="3" a="1"/>
  <c r="F450" i="3" a="1"/>
  <c r="E1359" i="3" a="1"/>
  <c r="E1062" i="3" a="1"/>
  <c r="F70" i="3" a="1"/>
  <c r="E895" i="3" a="1"/>
  <c r="E1486" i="3" a="1"/>
  <c r="E690" i="3" a="1"/>
  <c r="E560" i="3" a="1"/>
  <c r="E989" i="3" a="1"/>
  <c r="E656" i="3" a="1"/>
  <c r="E937" i="3" a="1"/>
  <c r="E1378" i="3" a="1"/>
  <c r="E582" i="3" a="1"/>
  <c r="E1199" i="3" a="1"/>
  <c r="E547" i="3" a="1"/>
  <c r="E478" i="3" a="1"/>
  <c r="F518" i="3" a="1"/>
  <c r="E1445" i="3" a="1"/>
  <c r="E822" i="3" a="1"/>
  <c r="E1475" i="3" a="1"/>
  <c r="E844" i="3" a="1"/>
  <c r="E1151" i="3" a="1"/>
  <c r="E168" i="3" a="1"/>
  <c r="F484" i="3" a="1"/>
  <c r="E974" i="3" a="1"/>
  <c r="F489" i="3" a="1"/>
  <c r="E923" i="3" a="1"/>
  <c r="E1307" i="3" a="1"/>
  <c r="E651" i="3" a="1"/>
  <c r="E1020" i="3" a="1"/>
  <c r="E522" i="3" a="1"/>
  <c r="E1071" i="3" a="1"/>
  <c r="E1305" i="3" a="1"/>
  <c r="E1335" i="3" a="1"/>
  <c r="F303" i="3" a="1"/>
  <c r="E1489" i="3" a="1"/>
  <c r="E735" i="3" a="1"/>
  <c r="E1019" i="3" a="1"/>
  <c r="E47" i="3" a="1"/>
  <c r="E169" i="3" a="1"/>
  <c r="E1437" i="3" a="1"/>
  <c r="E1158" i="3" a="1"/>
  <c r="E1216" i="3" a="1"/>
  <c r="E1502" i="3" a="1"/>
  <c r="E1482" i="3" a="1"/>
  <c r="E1029" i="3" a="1"/>
  <c r="E970" i="3" a="1"/>
  <c r="E722" i="3" a="1"/>
  <c r="F479" i="3" a="1"/>
  <c r="E1038" i="3" a="1"/>
  <c r="E607" i="3" a="1"/>
  <c r="E279" i="3" a="1"/>
  <c r="E816" i="3" a="1"/>
  <c r="E1429" i="3" a="1"/>
  <c r="E163" i="3" a="1"/>
  <c r="E727" i="3" a="1"/>
  <c r="E40" i="3" a="1"/>
  <c r="E41" i="3" a="1"/>
  <c r="E1147" i="3" a="1"/>
  <c r="F254" i="3" a="1"/>
  <c r="F1457" i="3" a="1"/>
  <c r="F410" i="3" a="1"/>
  <c r="F980" i="3" a="1"/>
  <c r="F1480" i="3" a="1"/>
  <c r="F1334" i="3" a="1"/>
  <c r="F713" i="3" a="1"/>
  <c r="F678" i="3" a="1"/>
  <c r="F1405" i="3" a="1"/>
  <c r="F110" i="3" a="1"/>
  <c r="F612" i="3" a="1"/>
  <c r="F231" i="3" a="1"/>
  <c r="F465" i="3" a="1"/>
  <c r="E1243" i="3" a="1"/>
  <c r="F118" i="3" a="1"/>
  <c r="F1483" i="3" a="1"/>
  <c r="F502" i="3" a="1"/>
  <c r="F610" i="3" a="1"/>
  <c r="F126" i="3" a="1"/>
  <c r="F480" i="3" a="1"/>
  <c r="E1389" i="3" a="1"/>
  <c r="F647" i="3" a="1"/>
  <c r="F1091" i="3" a="1"/>
  <c r="F756" i="3" a="1"/>
  <c r="E333" i="3" a="1"/>
  <c r="F1217" i="3" a="1"/>
  <c r="F885" i="3" a="1"/>
  <c r="E415" i="3" a="1"/>
  <c r="F836" i="3" a="1"/>
  <c r="F309" i="3" a="1"/>
  <c r="F703" i="3" a="1"/>
  <c r="E1349" i="3" a="1"/>
  <c r="F255" i="3" a="1"/>
  <c r="F292" i="3" a="1"/>
  <c r="E1255" i="3" a="1"/>
  <c r="F168" i="3" a="1"/>
  <c r="E1316" i="3" a="1"/>
  <c r="F29" i="3" a="1"/>
  <c r="F772" i="3" a="1"/>
  <c r="F360" i="3" a="1"/>
  <c r="E1165" i="3" a="1"/>
  <c r="E178" i="3" a="1"/>
  <c r="E1259" i="3" a="1"/>
  <c r="F585" i="3" a="1"/>
  <c r="E983" i="3" a="1"/>
  <c r="E485" i="3" a="1"/>
  <c r="E776" i="3" a="1"/>
  <c r="E671" i="3" a="1"/>
  <c r="E739" i="3" a="1"/>
  <c r="E1180" i="3" a="1"/>
  <c r="E719" i="3" a="1"/>
  <c r="E1130" i="3" a="1"/>
  <c r="E763" i="3" a="1"/>
  <c r="F193" i="3" a="1"/>
  <c r="F338" i="3" a="1"/>
  <c r="E1478" i="3" a="1"/>
  <c r="E1354" i="3" a="1"/>
  <c r="F507" i="3" a="1"/>
  <c r="E1040" i="3" a="1"/>
  <c r="F141" i="3" a="1"/>
  <c r="E755" i="3" a="1"/>
  <c r="E565" i="3" a="1"/>
  <c r="E821" i="3" a="1"/>
  <c r="E551" i="3" a="1"/>
  <c r="E784" i="3" a="1"/>
  <c r="E1283" i="3" a="1"/>
  <c r="E82" i="3" a="1"/>
  <c r="E1454" i="3" a="1"/>
  <c r="E100" i="3" a="1"/>
  <c r="F395" i="3" a="1"/>
  <c r="E1268" i="3" a="1"/>
  <c r="E871" i="3" a="1"/>
  <c r="E1122" i="3" a="1"/>
  <c r="E284" i="3" a="1"/>
  <c r="E1184" i="3" a="1"/>
  <c r="E505" i="3" a="1"/>
  <c r="F319" i="3" a="1"/>
  <c r="E659" i="3" a="1"/>
  <c r="F243" i="3" a="1"/>
  <c r="E973" i="3" a="1"/>
  <c r="E802" i="3" a="1"/>
  <c r="E771" i="3" a="1"/>
  <c r="E809" i="3" a="1"/>
  <c r="E498" i="3" a="1"/>
  <c r="E999" i="3" a="1"/>
  <c r="F152" i="3" a="1"/>
  <c r="E1296" i="3" a="1"/>
  <c r="E869" i="3" a="1"/>
  <c r="E1327" i="3" a="1"/>
  <c r="E558" i="3" a="1"/>
  <c r="E1154" i="3" a="1"/>
  <c r="E477" i="3" a="1"/>
  <c r="E1367" i="3" a="1"/>
  <c r="E506" i="3" a="1"/>
  <c r="E1226" i="3" a="1"/>
  <c r="E328" i="3" a="1"/>
  <c r="E854" i="3" a="1"/>
  <c r="F724" i="3" a="1"/>
  <c r="E804" i="3" a="1"/>
  <c r="F632" i="3" a="1"/>
  <c r="E1451" i="3" a="1"/>
  <c r="E829" i="3" a="1"/>
  <c r="E787" i="3" a="1"/>
  <c r="E843" i="3" a="1"/>
  <c r="E806" i="3" a="1"/>
  <c r="E669" i="3" a="1"/>
  <c r="E911" i="3" a="1"/>
  <c r="E622" i="3" a="1"/>
  <c r="F913" i="3" a="1"/>
  <c r="E1337" i="3" a="1"/>
  <c r="E796" i="3" a="1"/>
  <c r="E1031" i="3" a="1"/>
  <c r="E810" i="3" a="1"/>
  <c r="E772" i="3" a="1"/>
  <c r="E1288" i="3" a="1"/>
  <c r="E77" i="3" a="1"/>
  <c r="E468" i="3" a="1"/>
  <c r="F608" i="3" a="1"/>
  <c r="E689" i="3" a="1"/>
  <c r="E229" i="3" a="1"/>
  <c r="E782" i="3" a="1"/>
  <c r="F589" i="3" a="1"/>
  <c r="E1203" i="3" a="1"/>
  <c r="F972" i="3" a="1"/>
  <c r="E275" i="3" a="1"/>
  <c r="F1016" i="3" a="1"/>
  <c r="F596" i="3" a="1"/>
  <c r="F1166" i="3" a="1"/>
  <c r="F742" i="3" a="1"/>
  <c r="F942" i="3" a="1"/>
  <c r="F1077" i="3" a="1"/>
  <c r="E1374" i="3" a="1"/>
  <c r="F1105" i="3" a="1"/>
  <c r="E1208" i="3" a="1"/>
  <c r="F937" i="3" a="1"/>
  <c r="F1454" i="3" a="1"/>
  <c r="F1384" i="3" a="1"/>
  <c r="E272" i="3" a="1"/>
  <c r="F751" i="3" a="1"/>
  <c r="E1480" i="3" a="1"/>
  <c r="F677" i="3" a="1"/>
  <c r="E1095" i="3" a="1"/>
  <c r="F541" i="3" a="1"/>
  <c r="E383" i="3" a="1"/>
  <c r="F924" i="3" a="1"/>
  <c r="F991" i="3" a="1"/>
  <c r="F1008" i="3" a="1"/>
  <c r="F746" i="3" a="1"/>
  <c r="F1201" i="3" a="1"/>
  <c r="F874" i="3" a="1"/>
  <c r="F191" i="3" a="1"/>
  <c r="F1012" i="3" a="1"/>
  <c r="F1377" i="3" a="1"/>
  <c r="F177" i="3" a="1"/>
  <c r="F105" i="3" a="1"/>
  <c r="F1168" i="3" a="1"/>
  <c r="F25" i="3" a="1"/>
  <c r="F1255" i="3" a="1"/>
  <c r="F276" i="3" a="1"/>
  <c r="F481" i="3" a="1"/>
  <c r="E1471" i="3" a="1"/>
  <c r="E1457" i="3" a="1"/>
  <c r="F782" i="3" a="1"/>
  <c r="E791" i="3" a="1"/>
  <c r="F297" i="3" a="1"/>
  <c r="E1353" i="3" a="1"/>
  <c r="E24" i="3" a="1"/>
  <c r="E886" i="3" a="1"/>
  <c r="E657" i="3" a="1"/>
  <c r="E817" i="3" a="1"/>
  <c r="E1393" i="3" a="1"/>
  <c r="E121" i="3" a="1"/>
  <c r="E1076" i="3" a="1"/>
  <c r="E155" i="3" a="1"/>
  <c r="E1081" i="3" a="1"/>
  <c r="F577" i="3" a="1"/>
  <c r="E1338" i="3" a="1"/>
  <c r="E1090" i="3" a="1"/>
  <c r="F556" i="3" a="1"/>
  <c r="E677" i="3" a="1"/>
  <c r="E1256" i="3" a="1"/>
  <c r="E352" i="3" a="1"/>
  <c r="F966" i="3" a="1"/>
  <c r="E874" i="3" a="1"/>
  <c r="F741" i="3" a="1"/>
  <c r="E812" i="3" a="1"/>
  <c r="E1169" i="3" a="1"/>
  <c r="E298" i="3" a="1"/>
  <c r="E831" i="3" a="1"/>
  <c r="E125" i="3" a="1"/>
  <c r="F196" i="3" a="1"/>
  <c r="E1377" i="3" a="1"/>
  <c r="E914" i="3" a="1"/>
  <c r="E1421" i="3" a="1"/>
  <c r="E611" i="3" a="1"/>
  <c r="E1265" i="3" a="1"/>
  <c r="E605" i="3" a="1"/>
  <c r="E1073" i="3" a="1"/>
  <c r="E654" i="3" a="1"/>
  <c r="E1358" i="3" a="1"/>
  <c r="E489" i="3" a="1"/>
  <c r="E990" i="3" a="1"/>
  <c r="F918" i="3" a="1"/>
  <c r="E837" i="3" a="1"/>
  <c r="E341" i="3" a="1"/>
  <c r="E23" i="3" a="1"/>
  <c r="F206" i="3" a="1"/>
  <c r="F233" i="3" a="1"/>
  <c r="E900" i="3" a="1"/>
  <c r="E1352" i="3" a="1"/>
  <c r="E699" i="3" a="1"/>
  <c r="E1272" i="3" a="1"/>
  <c r="E546" i="3" a="1"/>
  <c r="E1174" i="3" a="1"/>
  <c r="E956" i="3" a="1"/>
  <c r="E1053" i="3" a="1"/>
  <c r="F1403" i="3" a="1"/>
  <c r="E975" i="3" a="1"/>
  <c r="F443" i="3" a="1"/>
  <c r="E861" i="3" a="1"/>
  <c r="F520" i="3" a="1"/>
  <c r="E1369" i="3" a="1"/>
  <c r="E1000" i="3" a="1"/>
  <c r="E765" i="3" a="1"/>
  <c r="E896" i="3" a="1"/>
  <c r="E1435" i="3" a="1"/>
  <c r="E488" i="3" a="1"/>
  <c r="E555" i="3" a="1"/>
  <c r="E799" i="3" a="1"/>
  <c r="F376" i="3" a="1"/>
  <c r="E1286" i="3" a="1"/>
  <c r="E1411" i="3" a="1"/>
  <c r="E661" i="3" a="1"/>
  <c r="E853" i="3" a="1"/>
  <c r="E995" i="3" a="1"/>
  <c r="E433" i="3" a="1"/>
  <c r="E248" i="3" a="1"/>
  <c r="E131" i="3" a="1"/>
  <c r="F182" i="3" a="1"/>
  <c r="E106" i="3" a="1"/>
  <c r="F859" i="3" a="1"/>
  <c r="E268" i="3" a="1"/>
  <c r="E540" i="3" a="1"/>
  <c r="E1331" i="3" a="1"/>
  <c r="E1371" i="3" a="1"/>
  <c r="E123" i="3" a="1"/>
  <c r="E60" i="3" a="1"/>
  <c r="E717" i="3" a="1"/>
  <c r="F1163" i="3" a="1"/>
  <c r="F531" i="3" a="1"/>
  <c r="F1493" i="3" a="1"/>
  <c r="F143" i="3" a="1"/>
  <c r="F1257" i="3" a="1"/>
  <c r="F841" i="3" a="1"/>
  <c r="E1394" i="3" a="1"/>
  <c r="F247" i="3" a="1"/>
  <c r="F357" i="3" a="1"/>
  <c r="E232" i="3" a="1"/>
  <c r="F504" i="3" a="1"/>
  <c r="F474" i="3" a="1"/>
  <c r="F280" i="3" a="1"/>
  <c r="F45" i="3" a="1"/>
  <c r="F74" i="3" a="1"/>
  <c r="F464" i="3" a="1"/>
  <c r="F645" i="3" a="1"/>
  <c r="F441" i="3" a="1"/>
  <c r="E1123" i="3" a="1"/>
  <c r="F433" i="3" a="1"/>
  <c r="E1290" i="3" a="1"/>
  <c r="F654" i="3" a="1"/>
  <c r="F1223" i="3" a="1"/>
  <c r="E93" i="3" a="1"/>
  <c r="E174" i="3" a="1"/>
  <c r="F750" i="3" a="1"/>
  <c r="F727" i="3" a="1"/>
  <c r="F1448" i="3" a="1"/>
  <c r="F347" i="3" a="1"/>
  <c r="F92" i="3" a="1"/>
  <c r="F512" i="3" a="1"/>
  <c r="F990" i="3" a="1"/>
  <c r="E257" i="3" a="1"/>
  <c r="F637" i="3" a="1"/>
  <c r="F999" i="3" a="1"/>
  <c r="F122" i="3" a="1"/>
  <c r="F1087" i="3" a="1"/>
  <c r="F78" i="3" a="1"/>
  <c r="F744" i="3" a="1"/>
  <c r="E1416" i="3" a="1"/>
  <c r="E1181" i="3" a="1"/>
  <c r="F267" i="3" a="1"/>
  <c r="E769" i="3" a="1"/>
  <c r="E1395" i="3" a="1"/>
  <c r="E524" i="3" a="1"/>
  <c r="F1252" i="3" a="1"/>
  <c r="E1012" i="3" a="1"/>
  <c r="F910" i="3" a="1"/>
  <c r="E858" i="3" a="1"/>
  <c r="E1281" i="3" a="1"/>
  <c r="E364" i="3" a="1"/>
  <c r="E916" i="3" a="1"/>
  <c r="E209" i="3" a="1"/>
  <c r="E258" i="3" a="1"/>
  <c r="F717" i="3" a="1"/>
  <c r="E1094" i="3" a="1"/>
  <c r="E1009" i="3" a="1"/>
  <c r="E1103" i="3" a="1"/>
  <c r="E667" i="3" a="1"/>
  <c r="E1077" i="3" a="1"/>
  <c r="E700" i="3" a="1"/>
  <c r="F8" i="3" a="1"/>
  <c r="E963" i="3" a="1"/>
  <c r="F563" i="3" a="1"/>
  <c r="E935" i="3" a="1"/>
  <c r="E1118" i="3" a="1"/>
  <c r="E252" i="3" a="1"/>
  <c r="E1391" i="3" a="1"/>
  <c r="E1015" i="3" a="1"/>
  <c r="F64" i="3" a="1"/>
  <c r="F322" i="3" a="1"/>
  <c r="E947" i="3" a="1"/>
  <c r="E1428" i="3" a="1"/>
  <c r="E75" i="3" a="1"/>
  <c r="E748" i="3" a="1"/>
  <c r="E592" i="3" a="1"/>
  <c r="E1311" i="3" a="1"/>
  <c r="E92" i="3" a="1"/>
  <c r="E1164" i="3" a="1"/>
  <c r="E790" i="3" a="1"/>
  <c r="E1376" i="3" a="1"/>
  <c r="F112" i="3" a="1"/>
  <c r="E912" i="3" a="1"/>
  <c r="E179" i="3" a="1"/>
  <c r="F923" i="3" a="1"/>
  <c r="F107" i="3" a="1"/>
  <c r="F55" i="3" a="1"/>
  <c r="E688" i="3" a="1"/>
  <c r="E785" i="3" a="1"/>
  <c r="E698" i="3" a="1"/>
  <c r="E792" i="3" a="1"/>
  <c r="E408" i="3" a="1"/>
  <c r="E1105" i="3" a="1"/>
  <c r="E177" i="3" a="1"/>
  <c r="E1043" i="3" a="1"/>
  <c r="F68" i="3" a="1"/>
  <c r="E1215" i="3" a="1"/>
  <c r="E1324" i="3" a="1"/>
  <c r="E968" i="3" a="1"/>
  <c r="F411" i="3" a="1"/>
  <c r="E938" i="3" a="1"/>
  <c r="E206" i="3" a="1"/>
  <c r="E393" i="3" a="1"/>
  <c r="E749" i="3" a="1"/>
  <c r="E917" i="3" a="1"/>
  <c r="E575" i="3" a="1"/>
  <c r="E68" i="3" a="1"/>
  <c r="E400" i="3" a="1"/>
  <c r="F181" i="3" a="1"/>
  <c r="E834" i="3" a="1"/>
  <c r="E173" i="3" a="1"/>
  <c r="E323" i="3" a="1"/>
  <c r="E962" i="3" a="1"/>
  <c r="E758" i="3" a="1"/>
  <c r="F987" i="3" a="1"/>
  <c r="F456" i="3" a="1"/>
  <c r="E44" i="3" a="1"/>
  <c r="F1049" i="3" a="1"/>
  <c r="F1484" i="3" a="1"/>
  <c r="E1381" i="3" a="1"/>
  <c r="E381" i="3" a="1"/>
  <c r="F274" i="3" a="1"/>
  <c r="F180" i="3" a="1"/>
  <c r="F722" i="3" a="1"/>
  <c r="F1407" i="3" a="1"/>
  <c r="F955" i="3" a="1"/>
  <c r="F516" i="3" a="1"/>
  <c r="F890" i="3" a="1"/>
  <c r="F1222" i="3" a="1"/>
  <c r="F361" i="3" a="1"/>
  <c r="F26" i="3" a="1"/>
  <c r="F340" i="3" a="1"/>
  <c r="E1330" i="3" a="1"/>
  <c r="F212" i="3" a="1"/>
  <c r="E1398" i="3" a="1"/>
  <c r="F162" i="3" a="1"/>
  <c r="F389" i="3" a="1"/>
  <c r="F1332" i="3" a="1"/>
  <c r="F1054" i="3" a="1"/>
  <c r="F328" i="3" a="1"/>
  <c r="F1244" i="3" a="1"/>
  <c r="F1128" i="3" a="1"/>
  <c r="F434" i="3" a="1"/>
  <c r="F62" i="3" a="1"/>
  <c r="F791" i="3" a="1"/>
  <c r="F869" i="3" a="1"/>
  <c r="F1253" i="3" a="1"/>
  <c r="F390" i="3" a="1"/>
  <c r="F759" i="3" a="1"/>
  <c r="F144" i="3" a="1"/>
  <c r="F650" i="3" a="1"/>
  <c r="F325" i="3" a="1"/>
  <c r="F266" i="3" a="1"/>
  <c r="E1187" i="3" a="1"/>
  <c r="E1397" i="3" a="1"/>
  <c r="E1270" i="3" a="1"/>
  <c r="E774" i="3" a="1"/>
  <c r="E1211" i="3" a="1"/>
  <c r="E1124" i="3" a="1"/>
  <c r="F185" i="3" a="1"/>
  <c r="E1360" i="3" a="1"/>
  <c r="F312" i="3" a="1"/>
  <c r="E946" i="3" a="1"/>
  <c r="E1051" i="3" a="1"/>
  <c r="E293" i="3" a="1"/>
  <c r="E881" i="3" a="1"/>
  <c r="E349" i="3" a="1"/>
  <c r="E597" i="3" a="1"/>
  <c r="F656" i="3" a="1"/>
  <c r="E1282" i="3" a="1"/>
  <c r="E1315" i="3" a="1"/>
  <c r="E1329" i="3" a="1"/>
  <c r="E101" i="3" a="1"/>
  <c r="E1052" i="3" a="1"/>
  <c r="E129" i="3" a="1"/>
  <c r="E1481" i="3" a="1"/>
  <c r="E685" i="3" a="1"/>
  <c r="E1351" i="3" a="1"/>
  <c r="E604" i="3" a="1"/>
  <c r="E933" i="3" a="1"/>
  <c r="E424" i="3" a="1"/>
  <c r="E880" i="3" a="1"/>
  <c r="F1445" i="3" a="1"/>
  <c r="F189" i="3" a="1"/>
  <c r="F169" i="3" a="1"/>
  <c r="E807" i="3" a="1"/>
  <c r="E818" i="3" a="1"/>
  <c r="E86" i="3" a="1"/>
  <c r="E825" i="3" a="1"/>
  <c r="E567" i="3" a="1"/>
  <c r="E1204" i="3" a="1"/>
  <c r="E318" i="3" a="1"/>
  <c r="E1099" i="3" a="1"/>
  <c r="F202" i="3" a="1"/>
  <c r="E873" i="3" a="1"/>
  <c r="E1440" i="3" a="1"/>
  <c r="E660" i="3" a="1"/>
  <c r="E286" i="3" a="1"/>
  <c r="F708" i="3" a="1"/>
  <c r="F715" i="3" a="1"/>
  <c r="E1134" i="3" a="1"/>
  <c r="E294" i="3" a="1"/>
  <c r="E920" i="3" a="1"/>
  <c r="F808" i="3" a="1"/>
  <c r="E820" i="3" a="1"/>
  <c r="E306" i="3" a="1"/>
  <c r="E967" i="3" a="1"/>
  <c r="E221" i="3" a="1"/>
  <c r="E839" i="3" a="1"/>
  <c r="E1474" i="3" a="1"/>
  <c r="E751" i="3" a="1"/>
  <c r="E1072" i="3" a="1"/>
  <c r="E152" i="3" a="1"/>
  <c r="F116" i="3" a="1"/>
  <c r="E857" i="3" a="1"/>
  <c r="E618" i="3" a="1"/>
  <c r="E499" i="3" a="1"/>
  <c r="E680" i="3" a="1"/>
  <c r="F939" i="3" a="1"/>
  <c r="F160" i="3" a="1"/>
  <c r="E544" i="3" a="1"/>
  <c r="E172" i="3" a="1"/>
  <c r="F482" i="3" a="1"/>
  <c r="E1016" i="3" a="1"/>
  <c r="E493" i="3" a="1"/>
  <c r="E443" i="3" a="1"/>
  <c r="E594" i="3" a="1"/>
  <c r="F844" i="3" a="1"/>
  <c r="F41" i="3" a="1"/>
  <c r="E295" i="3" a="1"/>
  <c r="E94" i="3" a="1"/>
  <c r="E1170" i="3" a="1"/>
  <c r="E1217" i="3" a="1"/>
  <c r="E1419" i="3" a="1"/>
  <c r="E1368" i="3" a="1"/>
  <c r="E1195" i="3" a="1"/>
  <c r="E887" i="3" a="1"/>
  <c r="E1308" i="3" a="1"/>
  <c r="E214" i="3" a="1"/>
  <c r="E14" i="3" a="1"/>
  <c r="F436" i="3" a="1"/>
  <c r="F638" i="3" a="1"/>
  <c r="F1326" i="3" a="1"/>
  <c r="F964" i="3" a="1"/>
  <c r="F1027" i="3" a="1"/>
  <c r="F865" i="3" a="1"/>
  <c r="F49" i="3" a="1"/>
  <c r="F339" i="3" a="1"/>
  <c r="F674" i="3" a="1"/>
  <c r="E1218" i="3" a="1"/>
  <c r="F184" i="3" a="1"/>
  <c r="F1424" i="3" a="1"/>
  <c r="F403" i="3" a="1"/>
  <c r="E1172" i="3" a="1"/>
  <c r="F1199" i="3" a="1"/>
  <c r="F261" i="3" a="1"/>
  <c r="F166" i="3" a="1"/>
  <c r="F1000" i="3" a="1"/>
  <c r="F238" i="3" a="1"/>
  <c r="F958" i="3" a="1"/>
  <c r="F117" i="3" a="1"/>
  <c r="E1321" i="3" a="1"/>
  <c r="F1479" i="3" a="1"/>
  <c r="E679" i="3" a="1"/>
  <c r="E460" i="3" a="1"/>
  <c r="F1032" i="3" a="1"/>
  <c r="F1281" i="3" a="1"/>
  <c r="F916" i="3" a="1"/>
  <c r="E1493" i="3" a="1"/>
  <c r="F228" i="3" a="1"/>
  <c r="F542" i="3" a="1"/>
  <c r="F820" i="3" a="1"/>
  <c r="F495" i="3" a="1"/>
  <c r="F665" i="3" a="1"/>
  <c r="E1306" i="3" a="1"/>
  <c r="F535" i="3" a="1"/>
  <c r="F1181" i="3" a="1"/>
  <c r="F455" i="3" a="1"/>
  <c r="F832" i="3" a="1"/>
  <c r="E828" i="3" a="1"/>
  <c r="E1341" i="3" a="1"/>
  <c r="E398" i="3" a="1"/>
  <c r="E986" i="3" a="1"/>
  <c r="E225" i="3" a="1"/>
  <c r="E1415" i="3" a="1"/>
  <c r="E233" i="3" a="1"/>
  <c r="E1269" i="3" a="1"/>
  <c r="E194" i="3" a="1"/>
  <c r="E1027" i="3" a="1"/>
  <c r="F525" i="3" a="1"/>
  <c r="E957" i="3" a="1"/>
  <c r="E395" i="3" a="1"/>
  <c r="F1379" i="3" a="1"/>
  <c r="F173" i="3" a="1"/>
  <c r="F290" i="3" a="1"/>
  <c r="E786" i="3" a="1"/>
  <c r="E1033" i="3" a="1"/>
  <c r="E270" i="3" a="1"/>
  <c r="E860" i="3" a="1"/>
  <c r="E316" i="3" a="1"/>
  <c r="E1156" i="3" a="1"/>
  <c r="E500" i="3" a="1"/>
  <c r="E1413" i="3" a="1"/>
  <c r="F463" i="3" a="1"/>
  <c r="E1011" i="3" a="1"/>
  <c r="F100" i="3" a="1"/>
  <c r="E708" i="3" a="1"/>
  <c r="F818" i="3" a="1"/>
  <c r="F119" i="3" a="1"/>
  <c r="E1110" i="3" a="1"/>
  <c r="E742" i="3" a="1"/>
  <c r="E864" i="3" a="1"/>
  <c r="F190" i="3" a="1"/>
  <c r="E982" i="3" a="1"/>
  <c r="E195" i="3" a="1"/>
  <c r="E944" i="3" a="1"/>
  <c r="E437" i="3" a="1"/>
  <c r="E892" i="3" a="1"/>
  <c r="E1054" i="3" a="1"/>
  <c r="E263" i="3" a="1"/>
  <c r="E1126" i="3" a="1"/>
  <c r="E483" i="3" a="1"/>
  <c r="E1293" i="3" a="1"/>
  <c r="F604" i="3" a="1"/>
  <c r="E1279" i="3" a="1"/>
  <c r="E1441" i="3" a="1"/>
  <c r="F508" i="3" a="1"/>
  <c r="E852" i="3" a="1"/>
  <c r="E1382" i="3" a="1"/>
  <c r="E624" i="3" a="1"/>
  <c r="E208" i="3" a="1"/>
  <c r="E943" i="3" a="1"/>
  <c r="E579" i="3" a="1"/>
  <c r="E891" i="3" a="1"/>
  <c r="E1267" i="3" a="1"/>
  <c r="E536" i="3" a="1"/>
  <c r="E1104" i="3" a="1"/>
  <c r="E385" i="3" a="1"/>
  <c r="E1167" i="3" a="1"/>
  <c r="F307" i="3" a="1"/>
  <c r="E1264" i="3" a="1"/>
  <c r="E43" i="3" a="1"/>
  <c r="E533" i="3" a="1"/>
  <c r="E1141" i="3" a="1"/>
  <c r="E1046" i="3" a="1"/>
  <c r="E628" i="3" a="1"/>
  <c r="E1433" i="3" a="1"/>
  <c r="E1080" i="3" a="1"/>
  <c r="F225" i="3" a="1"/>
  <c r="E1088" i="3" a="1"/>
  <c r="E721" i="3" a="1"/>
  <c r="F1309" i="3" a="1"/>
  <c r="E1392" i="3" a="1"/>
  <c r="E1075" i="3" a="1"/>
  <c r="E89" i="3" a="1"/>
  <c r="F795" i="3" a="1"/>
  <c r="E1355" i="3" a="1"/>
  <c r="E953" i="3" a="1"/>
  <c r="E889" i="3" a="1"/>
  <c r="E1182" i="3" a="1"/>
  <c r="E985" i="3" a="1"/>
  <c r="E472" i="3" a="1"/>
  <c r="E576" i="3" a="1"/>
  <c r="E305" i="3" a="1"/>
  <c r="F372" i="3" a="1"/>
  <c r="F1313" i="3" a="1"/>
  <c r="F1259" i="3" a="1"/>
  <c r="F1080" i="3" a="1"/>
  <c r="F1481" i="3" a="1"/>
  <c r="E421" i="3" a="1"/>
  <c r="F1133" i="3" a="1"/>
  <c r="F466" i="3" a="1"/>
  <c r="F752" i="3" a="1"/>
  <c r="F60" i="3" a="1"/>
  <c r="E139" i="3" a="1"/>
  <c r="E778" i="3" a="1"/>
  <c r="E482" i="3" a="1"/>
  <c r="F294" i="3" a="1"/>
  <c r="E334" i="3" a="1"/>
  <c r="E198" i="3" a="1"/>
  <c r="F635" i="3" a="1"/>
  <c r="E1284" i="3" a="1"/>
  <c r="E890" i="3" a="1"/>
  <c r="E950" i="3" a="1"/>
  <c r="E186" i="3" a="1"/>
  <c r="E1443" i="3" a="1"/>
  <c r="E1030" i="3" a="1"/>
  <c r="E847" i="3" a="1"/>
  <c r="E426" i="3" a="1"/>
  <c r="E734" i="3" a="1"/>
  <c r="E942" i="3" a="1"/>
  <c r="F342" i="3" a="1"/>
  <c r="E527" i="3" a="1"/>
  <c r="F371" i="3" a="1"/>
  <c r="E1034" i="3" a="1"/>
  <c r="E733" i="3" a="1"/>
  <c r="E609" i="3" a="1"/>
  <c r="E650" i="3" a="1"/>
  <c r="E358" i="3" a="1"/>
  <c r="E541" i="3" a="1"/>
  <c r="E898" i="3" a="1"/>
  <c r="E793" i="3" a="1"/>
  <c r="E531" i="3" a="1"/>
  <c r="E175" i="3" a="1"/>
  <c r="F293" i="3" a="1"/>
  <c r="E612" i="3" a="1"/>
  <c r="E181" i="3" a="1"/>
  <c r="E664" i="3" a="1"/>
  <c r="E387" i="3" a="1"/>
  <c r="F412" i="3" a="1"/>
  <c r="E1470" i="3" a="1"/>
  <c r="E211" i="3" a="1"/>
  <c r="E104" i="3" a="1"/>
  <c r="E148" i="3" a="1"/>
  <c r="E566" i="3" a="1"/>
  <c r="E759" i="3" a="1"/>
  <c r="E142" i="3" a="1"/>
  <c r="E91" i="3" a="1"/>
  <c r="E972" i="3" a="1"/>
  <c r="E601" i="3" a="1"/>
  <c r="E1497" i="3" a="1"/>
  <c r="F973" i="3" a="1"/>
  <c r="F220" i="3" a="1"/>
  <c r="E330" i="3" a="1"/>
  <c r="E307" i="3" a="1"/>
  <c r="E1262" i="3" a="1"/>
  <c r="E1274" i="3" a="1"/>
  <c r="E308" i="3" a="1"/>
  <c r="E497" i="3" a="1"/>
  <c r="F28" i="3" a="1"/>
  <c r="E710" i="3" a="1"/>
  <c r="E552" i="3" a="1"/>
  <c r="E663" i="3" a="1"/>
  <c r="E872" i="3" a="1"/>
  <c r="F476" i="3" a="1"/>
  <c r="E1439" i="3" a="1"/>
  <c r="E228" i="3" a="1"/>
  <c r="F167" i="3" a="1"/>
  <c r="E1085" i="3" a="1"/>
  <c r="E193" i="3" a="1"/>
  <c r="E70" i="3" a="1"/>
  <c r="E164" i="3" a="1"/>
  <c r="E126" i="3" a="1"/>
  <c r="F157" i="3" a="1"/>
  <c r="E905" i="3" a="1"/>
  <c r="E187" i="3" a="1"/>
  <c r="E1014" i="3" a="1"/>
  <c r="E363" i="3" a="1"/>
  <c r="E338" i="3" a="1"/>
  <c r="E840" i="3" a="1"/>
  <c r="E899" i="3" a="1"/>
  <c r="E300" i="3" a="1"/>
  <c r="E171" i="3" a="1"/>
  <c r="F215" i="3" a="1"/>
  <c r="E559" i="3" a="1"/>
  <c r="E419" i="3" a="1"/>
  <c r="E435" i="3" a="1"/>
  <c r="E312" i="3" a="1"/>
  <c r="F129" i="3" a="1"/>
  <c r="E1356" i="3" a="1"/>
  <c r="E355" i="3" a="1"/>
  <c r="E25" i="3" a="1"/>
  <c r="E730" i="3" a="1"/>
  <c r="E757" i="3" a="1"/>
  <c r="E556" i="3" a="1"/>
  <c r="E617" i="3" a="1"/>
  <c r="E580" i="3" a="1"/>
  <c r="E512" i="3" a="1"/>
  <c r="E365" i="3" a="1"/>
  <c r="E518" i="3" a="1"/>
  <c r="E626" i="3" a="1"/>
  <c r="E369" i="3" a="1"/>
  <c r="E255" i="3" a="1"/>
  <c r="E362" i="3" a="1"/>
  <c r="E166" i="3" a="1"/>
  <c r="E581" i="3" a="1"/>
  <c r="E244" i="3" a="1"/>
  <c r="E602" i="3" a="1"/>
  <c r="E366" i="3" a="1"/>
  <c r="E58" i="3" a="1"/>
  <c r="E150" i="3" a="1"/>
  <c r="E851" i="3" a="1"/>
  <c r="E487" i="3" a="1"/>
  <c r="E196" i="3" a="1"/>
  <c r="E875" i="3" a="1"/>
  <c r="E29" i="3" a="1"/>
  <c r="F734" i="3" a="1"/>
  <c r="F625" i="3" a="1"/>
  <c r="E712" i="3" a="1"/>
  <c r="E66" i="3" a="1"/>
  <c r="E492" i="3" a="1"/>
  <c r="F766" i="3" a="1"/>
  <c r="F533" i="3" a="1"/>
  <c r="F1312" i="3" a="1"/>
  <c r="F1246" i="3" a="1"/>
  <c r="F853" i="3" a="1"/>
  <c r="F1432" i="3" a="1"/>
  <c r="F963" i="3" a="1"/>
  <c r="F277" i="3" a="1"/>
  <c r="E504" i="3" a="1"/>
  <c r="E678" i="3" a="1"/>
  <c r="F224" i="3" a="1"/>
  <c r="F786" i="3" a="1"/>
  <c r="E586" i="3" a="1"/>
  <c r="E1044" i="3" a="1"/>
  <c r="E882" i="3" a="1"/>
  <c r="E202" i="3" a="1"/>
  <c r="E969" i="3" a="1"/>
  <c r="E568" i="3" a="1"/>
  <c r="E1168" i="3" a="1"/>
  <c r="E457" i="3" a="1"/>
  <c r="E728" i="3" a="1"/>
  <c r="F77" i="3" a="1"/>
  <c r="E1058" i="3" a="1"/>
  <c r="E1100" i="3" a="1"/>
  <c r="E949" i="3" a="1"/>
  <c r="E1275" i="3" a="1"/>
  <c r="E1263" i="3" a="1"/>
  <c r="E250" i="3" a="1"/>
  <c r="E237" i="3" a="1"/>
  <c r="E684" i="3" a="1"/>
  <c r="E342" i="3" a="1"/>
  <c r="E372" i="3" a="1"/>
  <c r="E702" i="3" a="1"/>
  <c r="F302" i="3" a="1"/>
  <c r="E1179" i="3" a="1"/>
  <c r="F1120" i="3" a="1"/>
  <c r="F806" i="3" a="1"/>
  <c r="F332" i="3" a="1"/>
  <c r="F40" i="3" a="1"/>
  <c r="F79" i="3" a="1"/>
  <c r="F1475" i="3" a="1"/>
  <c r="F1114" i="3" a="1"/>
  <c r="F892" i="3" a="1"/>
  <c r="F75" i="3" a="1"/>
  <c r="E1365" i="3" a="1"/>
  <c r="E1119" i="3" a="1"/>
  <c r="E1477" i="3" a="1"/>
  <c r="E926" i="3" a="1"/>
  <c r="F922" i="3" a="1"/>
  <c r="E848" i="3" a="1"/>
  <c r="E1101" i="3" a="1"/>
  <c r="E913" i="3" a="1"/>
  <c r="E399" i="3" a="1"/>
  <c r="E370" i="3" a="1"/>
  <c r="E1484" i="3" a="1"/>
  <c r="E74" i="3" a="1"/>
  <c r="E374" i="3" a="1"/>
  <c r="E161" i="3" a="1"/>
  <c r="E1379" i="3" a="1"/>
  <c r="F304" i="3" a="1"/>
  <c r="E159" i="3" a="1"/>
  <c r="E153" i="3" a="1"/>
  <c r="E614" i="3" a="1"/>
  <c r="E632" i="3" a="1"/>
  <c r="F131" i="3" a="1"/>
  <c r="F861" i="3" a="1"/>
  <c r="E1083" i="3" a="1"/>
  <c r="F1192" i="3" a="1"/>
  <c r="E1300" i="3" a="1"/>
  <c r="E276" i="3" a="1"/>
  <c r="E325" i="3" a="1"/>
  <c r="E738" i="3" a="1"/>
  <c r="E695" i="3" a="1"/>
  <c r="E356" i="3" a="1"/>
  <c r="E151" i="3" a="1"/>
  <c r="E1152" i="3" a="1"/>
  <c r="F164" i="3" a="1"/>
  <c r="E1424" i="3" a="1"/>
  <c r="F814" i="3" a="1"/>
  <c r="F545" i="3" a="1"/>
  <c r="E1039" i="3" a="1"/>
  <c r="E764" i="3" a="1"/>
  <c r="E1465" i="3" a="1"/>
  <c r="E805" i="3" a="1"/>
  <c r="E430" i="3" a="1"/>
  <c r="E55" i="3" a="1"/>
  <c r="E893" i="3" a="1"/>
  <c r="E538" i="3" a="1"/>
  <c r="E502" i="3" a="1"/>
  <c r="E35" i="3" a="1"/>
  <c r="E603" i="3" a="1"/>
  <c r="F1108" i="3" a="1"/>
  <c r="E1192" i="3" a="1"/>
  <c r="E1067" i="3" a="1"/>
  <c r="E1241" i="3" a="1"/>
  <c r="E1059" i="3" a="1"/>
  <c r="E813" i="3" a="1"/>
  <c r="E359" i="3" a="1"/>
  <c r="E37" i="3" a="1"/>
  <c r="E921" i="3" a="1"/>
  <c r="E1291" i="3" a="1"/>
  <c r="E1403" i="3" a="1"/>
  <c r="E1318" i="3" a="1"/>
  <c r="F394" i="3" a="1"/>
  <c r="F108" i="3" a="1"/>
  <c r="E1117" i="3" a="1"/>
  <c r="E927" i="3" a="1"/>
  <c r="E1253" i="3" a="1"/>
  <c r="E1490" i="3" a="1"/>
  <c r="F875" i="3" a="1"/>
  <c r="F20" i="3" a="1"/>
  <c r="E146" i="3" a="1"/>
  <c r="E391" i="3" a="1"/>
  <c r="E1143" i="3" a="1"/>
  <c r="E1383" i="3" a="1"/>
  <c r="E501" i="3" a="1"/>
  <c r="E1426" i="3" a="1"/>
  <c r="E644" i="3" a="1"/>
  <c r="E132" i="3" a="1"/>
  <c r="E264" i="3" a="1"/>
  <c r="E550" i="3" a="1"/>
  <c r="E526" i="3" a="1"/>
  <c r="E467" i="3" a="1"/>
  <c r="E665" i="3" a="1"/>
  <c r="E1347" i="3" a="1"/>
  <c r="E1278" i="3" a="1"/>
  <c r="E1317" i="3" a="1"/>
  <c r="F204" i="3" a="1"/>
  <c r="F237" i="3" a="1"/>
  <c r="E835" i="3" a="1"/>
  <c r="E842" i="3" a="1"/>
  <c r="E838" i="3" a="1"/>
  <c r="E182" i="3" a="1"/>
  <c r="E417" i="3" a="1"/>
  <c r="E388" i="3" a="1"/>
  <c r="E32" i="3" a="1"/>
  <c r="E165" i="3" a="1"/>
  <c r="E987" i="3" a="1"/>
  <c r="E402" i="3" a="1"/>
  <c r="E486" i="3" a="1"/>
  <c r="E434" i="3" a="1"/>
  <c r="E48" i="3" a="1"/>
  <c r="E407" i="3" a="1"/>
  <c r="E290" i="3" a="1"/>
  <c r="E470" i="3" a="1"/>
  <c r="E98" i="3" a="1"/>
  <c r="E496" i="3" a="1"/>
  <c r="E115" i="3" a="1"/>
  <c r="E188" i="3" a="1"/>
  <c r="E303" i="3" a="1"/>
  <c r="E99" i="3" a="1"/>
  <c r="E662" i="3" a="1"/>
  <c r="E111" i="3" a="1"/>
  <c r="E1447" i="3" a="1"/>
  <c r="F327" i="3" a="1"/>
  <c r="E1097" i="3" a="1"/>
  <c r="E863" i="3" a="1"/>
  <c r="E110" i="3" a="1"/>
  <c r="E706" i="3" a="1"/>
  <c r="F414" i="3" a="1"/>
  <c r="E1045" i="3" a="1"/>
  <c r="F323" i="3" a="1"/>
  <c r="F197" i="3" a="1"/>
  <c r="F569" i="3" a="1"/>
  <c r="F1419" i="3" a="1"/>
  <c r="F514" i="3" a="1"/>
  <c r="E1185" i="3" a="1"/>
  <c r="E1417" i="3" a="1"/>
  <c r="E948" i="3" a="1"/>
  <c r="E1246" i="3" a="1"/>
  <c r="E448" i="3" a="1"/>
  <c r="E1459" i="3" a="1"/>
  <c r="E936" i="3" a="1"/>
  <c r="E1069" i="3" a="1"/>
  <c r="E646" i="3" a="1"/>
  <c r="F30" i="3" a="1"/>
  <c r="F667" i="3" a="1"/>
  <c r="E1390" i="3" a="1"/>
  <c r="E292" i="3" a="1"/>
  <c r="E1432" i="3" a="1"/>
  <c r="F289" i="3" a="1"/>
  <c r="E768" i="3" a="1"/>
  <c r="F142" i="3" a="1"/>
  <c r="E1399" i="3" a="1"/>
  <c r="E1472" i="3" a="1"/>
  <c r="E1406" i="3" a="1"/>
  <c r="E714" i="3" a="1"/>
  <c r="E1007" i="3" a="1"/>
  <c r="E1420" i="3" a="1"/>
  <c r="E964" i="3" a="1"/>
  <c r="E676" i="3" a="1"/>
  <c r="E877" i="3" a="1"/>
  <c r="E265" i="3" a="1"/>
  <c r="E103" i="3" a="1"/>
  <c r="E703" i="3" a="1"/>
  <c r="E641" i="3" a="1"/>
  <c r="E833" i="3" a="1"/>
  <c r="E117" i="3" a="1"/>
  <c r="E1449" i="3" a="1"/>
  <c r="E1086" i="3" a="1"/>
  <c r="E1340" i="3" a="1"/>
  <c r="E1242" i="3" a="1"/>
  <c r="E1066" i="3" a="1"/>
  <c r="E1448" i="3" a="1"/>
  <c r="E958" i="3" a="1"/>
  <c r="E619" i="3" a="1"/>
  <c r="E823" i="3" a="1"/>
  <c r="E479" i="3" a="1"/>
  <c r="E484" i="3" a="1"/>
  <c r="E321" i="3" a="1"/>
  <c r="E108" i="3" a="1"/>
  <c r="E62" i="3" a="1"/>
  <c r="E510" i="3" a="1"/>
  <c r="F893" i="3" a="1"/>
  <c r="E1492" i="3" a="1"/>
  <c r="E752" i="3" a="1"/>
  <c r="E1162" i="3" a="1"/>
  <c r="E1047" i="3" a="1"/>
  <c r="E1404" i="3" a="1"/>
  <c r="E930" i="3" a="1"/>
  <c r="E476" i="3" a="1"/>
  <c r="F1057" i="3" a="1"/>
  <c r="E572" i="3" a="1"/>
  <c r="F1452" i="3" a="1"/>
  <c r="E1436" i="3" a="1"/>
  <c r="E1405" i="3" a="1"/>
  <c r="E1079" i="3" a="1"/>
  <c r="E1387" i="3" a="1"/>
  <c r="E779" i="3" a="1"/>
  <c r="E1006" i="3" a="1"/>
  <c r="E80" i="3" a="1"/>
  <c r="E1422" i="3" a="1"/>
  <c r="E1401" i="3" a="1"/>
  <c r="E1414" i="3" a="1"/>
  <c r="F71" i="3" a="1"/>
  <c r="F199" i="3" a="1"/>
  <c r="E934" i="3" a="1"/>
  <c r="E971" i="3" a="1"/>
  <c r="E760" i="3" a="1"/>
  <c r="E649" i="3" a="1"/>
  <c r="E608" i="3" a="1"/>
  <c r="E19" i="3" a="1"/>
  <c r="E247" i="3" a="1"/>
  <c r="E207" i="3" a="1"/>
  <c r="E199" i="3" a="1"/>
  <c r="E587" i="3" a="1"/>
  <c r="E554" i="3" a="1"/>
  <c r="F387" i="3" a="1"/>
  <c r="E1057" i="3" a="1"/>
  <c r="E780" i="3" a="1"/>
  <c r="E1407" i="3" a="1"/>
  <c r="E1304" i="3" a="1"/>
  <c r="E885" i="3" a="1"/>
  <c r="E1140" i="3" a="1"/>
  <c r="E96" i="3" a="1"/>
  <c r="E557" i="3" a="1"/>
  <c r="E28" i="3" a="1"/>
  <c r="E6" i="3" a="1"/>
  <c r="E314" i="3" a="1"/>
  <c r="E458" i="3" a="1"/>
  <c r="E344" i="3" a="1"/>
  <c r="E2" i="3" a="1"/>
  <c r="E112" i="3" a="1"/>
  <c r="E475" i="3" a="1"/>
  <c r="E309" i="3" a="1"/>
  <c r="E200" i="3" a="1"/>
  <c r="E647" i="3" a="1"/>
  <c r="F73" i="3" a="1"/>
  <c r="E588" i="3" a="1"/>
  <c r="E256" i="3" a="1"/>
  <c r="E283" i="3" a="1"/>
  <c r="E574" i="3" a="1"/>
  <c r="E260" i="3" a="1"/>
  <c r="E51" i="3" a="1"/>
  <c r="E85" i="3" a="1"/>
  <c r="E137" i="3" a="1"/>
  <c r="E1342" i="3" a="1"/>
  <c r="E223" i="3" a="1"/>
  <c r="E34" i="3" a="1"/>
  <c r="E16" i="3" a="1"/>
  <c r="F354" i="3" a="1"/>
  <c r="F1056" i="3" a="1"/>
  <c r="F260" i="3" a="1"/>
  <c r="F706" i="3" a="1"/>
  <c r="F393" i="3" a="1"/>
  <c r="F1135" i="3" a="1"/>
  <c r="F1026" i="3" a="1"/>
  <c r="F854" i="3" a="1"/>
  <c r="F747" i="3" a="1"/>
  <c r="F648" i="3" a="1"/>
  <c r="E800" i="3" a="1"/>
  <c r="E185" i="3" a="1"/>
  <c r="E674" i="3" a="1"/>
  <c r="E561" i="3" a="1"/>
  <c r="E795" i="3" a="1"/>
  <c r="E167" i="3" a="1"/>
  <c r="E160" i="3" a="1"/>
  <c r="F835" i="3" a="1"/>
  <c r="E1098" i="3" a="1"/>
  <c r="E1280" i="3" a="1"/>
  <c r="E993" i="3" a="1"/>
  <c r="F705" i="3" a="1"/>
  <c r="E1061" i="3" a="1"/>
  <c r="E897" i="3" a="1"/>
  <c r="E222" i="3" a="1"/>
  <c r="E249" i="3" a="1"/>
  <c r="E1453" i="3" a="1"/>
  <c r="F3" i="3" a="1"/>
  <c r="E940" i="3" a="1"/>
  <c r="E627" i="3" a="1"/>
  <c r="F380" i="3" a="1"/>
  <c r="E613" i="3" a="1"/>
  <c r="E357" i="3" a="1"/>
  <c r="E141" i="3" a="1"/>
  <c r="E503" i="3" a="1"/>
  <c r="E136" i="3" a="1"/>
  <c r="E766" i="3" a="1"/>
  <c r="E746" i="3" a="1"/>
  <c r="E474" i="3" a="1"/>
  <c r="E50" i="3" a="1"/>
  <c r="F1486" i="3" a="1"/>
  <c r="F522" i="3" a="1"/>
  <c r="E866" i="3" a="1"/>
  <c r="E903" i="3" a="1"/>
  <c r="E1309" i="3" a="1"/>
  <c r="E1191" i="3" a="1"/>
  <c r="E918" i="3" a="1"/>
  <c r="E745" i="3" a="1"/>
  <c r="E481" i="3" a="1"/>
  <c r="E464" i="3" a="1"/>
  <c r="E449" i="3" a="1"/>
  <c r="E1326" i="3" a="1"/>
  <c r="E15" i="3" a="1"/>
  <c r="E122" i="3" a="1"/>
  <c r="E83" i="3" a="1"/>
  <c r="E520" i="3" a="1"/>
  <c r="F639" i="3" a="1"/>
  <c r="E1336" i="3" a="1"/>
  <c r="E908" i="3" a="1"/>
  <c r="E750" i="3" a="1"/>
  <c r="E855" i="3" a="1"/>
  <c r="E1008" i="3" a="1"/>
  <c r="E190" i="3" a="1"/>
  <c r="E469" i="3" a="1"/>
  <c r="E724" i="3" a="1"/>
  <c r="F1289" i="3" a="1"/>
  <c r="E1499" i="3" a="1"/>
  <c r="E1334" i="3" a="1"/>
  <c r="E996" i="3" a="1"/>
  <c r="E1410" i="3" a="1"/>
  <c r="E1325" i="3" a="1"/>
  <c r="E888" i="3" a="1"/>
  <c r="E595" i="3" a="1"/>
  <c r="E521" i="3" a="1"/>
  <c r="F617" i="3" a="1"/>
  <c r="E1125" i="3" a="1"/>
  <c r="E814" i="3" a="1"/>
  <c r="E1115" i="3" a="1"/>
  <c r="E1400" i="3" a="1"/>
  <c r="E932" i="3" a="1"/>
  <c r="E868" i="3" a="1"/>
  <c r="E529" i="3" a="1"/>
  <c r="E803" i="3" a="1"/>
  <c r="E289" i="3" a="1"/>
  <c r="E429" i="3" a="1"/>
  <c r="E128" i="3" a="1"/>
  <c r="E26" i="3" a="1"/>
  <c r="E154" i="3" a="1"/>
  <c r="F646" i="3" a="1"/>
  <c r="F731" i="3" a="1"/>
  <c r="E1409" i="3" a="1"/>
  <c r="E865" i="3" a="1"/>
  <c r="E1032" i="3" a="1"/>
  <c r="E1060" i="3" a="1"/>
  <c r="E1190" i="3" a="1"/>
  <c r="E720" i="3" a="1"/>
  <c r="E218" i="3" a="1"/>
  <c r="E361" i="3" a="1"/>
  <c r="E832" i="3" a="1"/>
  <c r="E78" i="3" a="1"/>
  <c r="E610" i="3" a="1"/>
  <c r="E1145" i="3" a="1"/>
  <c r="F435" i="3" a="1"/>
  <c r="E296" i="3" a="1"/>
  <c r="E432" i="3" a="1"/>
  <c r="E591" i="3" a="1"/>
  <c r="E753" i="3" a="1"/>
  <c r="E157" i="3" a="1"/>
  <c r="E682" i="3" a="1"/>
  <c r="E827" i="3" a="1"/>
  <c r="E158" i="3" a="1"/>
  <c r="E631" i="3" a="1"/>
  <c r="E826" i="3" a="1"/>
  <c r="E277" i="3" a="1"/>
  <c r="E1013" i="3" a="1"/>
  <c r="E57" i="3" a="1"/>
  <c r="E1375" i="3" a="1"/>
  <c r="E509" i="3" a="1"/>
  <c r="E965" i="3" a="1"/>
  <c r="E465" i="3" a="1"/>
  <c r="E718" i="3" a="1"/>
  <c r="E666" i="3" a="1"/>
  <c r="F1398" i="3" a="1"/>
  <c r="F562" i="3" a="1"/>
  <c r="F358" i="3" a="1"/>
  <c r="F1283" i="3" a="1"/>
  <c r="F295" i="3" a="1"/>
  <c r="F13" i="3" a="1"/>
  <c r="F601" i="3" a="1"/>
  <c r="F284" i="3" a="1"/>
  <c r="F4" i="3" a="1"/>
  <c r="F23" i="3" a="1"/>
  <c r="E1438" i="3" a="1"/>
  <c r="E1500" i="3" a="1"/>
  <c r="E978" i="3" a="1"/>
  <c r="E242" i="3" a="1"/>
  <c r="E1235" i="3" a="1"/>
  <c r="E1276" i="3" a="1"/>
  <c r="E977" i="3" a="1"/>
  <c r="F171" i="3" a="1"/>
  <c r="F979" i="3" a="1"/>
  <c r="E262" i="3" a="1"/>
  <c r="E1212" i="3" a="1"/>
  <c r="F50" i="3" a="1"/>
  <c r="F97" i="3" a="1"/>
  <c r="E371" i="3" a="1"/>
  <c r="E1384" i="3" a="1"/>
  <c r="F1318" i="3" a="1"/>
  <c r="E1386" i="3" a="1"/>
  <c r="E210" i="3" a="1"/>
  <c r="E1339" i="3" a="1"/>
  <c r="E634" i="3" a="1"/>
  <c r="E61" i="3" a="1"/>
  <c r="F712" i="3" a="1"/>
  <c r="E797" i="3" a="1"/>
  <c r="E725" i="3" a="1"/>
  <c r="E655" i="3" a="1"/>
  <c r="E301" i="3" a="1"/>
  <c r="E907" i="3" a="1"/>
  <c r="E304" i="3" a="1"/>
  <c r="E17" i="3" a="1"/>
  <c r="E140" i="3" a="1"/>
  <c r="F385" i="3" a="1"/>
  <c r="E1022" i="3" a="1"/>
  <c r="E762" i="3" a="1"/>
  <c r="E240" i="3" a="1"/>
  <c r="E783" i="3" a="1"/>
  <c r="E1018" i="3" a="1"/>
  <c r="E105" i="3" a="1"/>
  <c r="E636" i="3" a="1"/>
  <c r="E324" i="3" a="1"/>
  <c r="E238" i="3" a="1"/>
  <c r="E696" i="3" a="1"/>
  <c r="E1035" i="3" a="1"/>
  <c r="E192" i="3" a="1"/>
  <c r="E46" i="3" a="1"/>
  <c r="E379" i="3" a="1"/>
  <c r="E537" i="3" a="1"/>
  <c r="F6" i="3" a="1"/>
  <c r="E1091" i="3" a="1"/>
  <c r="E511" i="3" a="1"/>
  <c r="E322" i="3" a="1"/>
  <c r="E339" i="3" a="1"/>
  <c r="E267" i="3" a="1"/>
  <c r="F716" i="3" a="1"/>
  <c r="E507" i="3" a="1"/>
  <c r="E347" i="3" a="1"/>
  <c r="F318" i="3" a="1"/>
  <c r="E756" i="3" a="1"/>
  <c r="E633" i="3" a="1"/>
  <c r="E97" i="3" a="1"/>
  <c r="E884" i="3" a="1"/>
  <c r="E1294" i="3" a="1"/>
  <c r="E403" i="3" a="1"/>
  <c r="E411" i="3" a="1"/>
  <c r="F631" i="3" a="1"/>
  <c r="E1260" i="3" a="1"/>
  <c r="E988" i="3" a="1"/>
  <c r="E1010" i="3" a="1"/>
  <c r="E788" i="3" a="1"/>
  <c r="E1063" i="3" a="1"/>
  <c r="E773" i="3" a="1"/>
  <c r="E741" i="3" a="1"/>
  <c r="E406" i="3" a="1"/>
  <c r="E204" i="3" a="1"/>
  <c r="E1266" i="3" a="1"/>
  <c r="F526" i="3" a="1"/>
  <c r="E326" i="3" a="1"/>
  <c r="E705" i="3" a="1"/>
  <c r="E508" i="3" a="1"/>
  <c r="E282" i="3" a="1"/>
  <c r="F483" i="3" a="1"/>
  <c r="E915" i="3" a="1"/>
  <c r="E376" i="3" a="1"/>
  <c r="E553" i="3" a="1"/>
  <c r="E743" i="3" a="1"/>
  <c r="E648" i="3" a="1"/>
  <c r="E134" i="3" a="1"/>
  <c r="E630" i="3" a="1"/>
  <c r="E42" i="3" a="1"/>
  <c r="E8" i="3" a="1"/>
  <c r="E412" i="3" a="1"/>
  <c r="E623" i="3" a="1"/>
  <c r="E1313" i="3" a="1"/>
  <c r="E1036" i="3" a="1"/>
  <c r="E287" i="3" a="1"/>
  <c r="E966" i="3" a="1"/>
  <c r="E7" i="3" a="1"/>
  <c r="E67" i="3" a="1"/>
  <c r="E239" i="3" a="1"/>
  <c r="E315" i="3" a="1"/>
  <c r="E798" i="3" a="1"/>
  <c r="E1366" i="3" a="1"/>
  <c r="E701" i="3" a="1"/>
  <c r="E297" i="3" a="1"/>
  <c r="E88" i="3" a="1"/>
  <c r="E1254" i="3" a="1"/>
  <c r="E278" i="3" a="1"/>
  <c r="E596" i="3" a="1"/>
  <c r="E176" i="3" a="1"/>
  <c r="E1450" i="3" a="1"/>
  <c r="E149" i="3" a="1"/>
  <c r="E71" i="3" a="1"/>
  <c r="E1252" i="3" a="1"/>
  <c r="E1425" i="3" a="1"/>
  <c r="F1380" i="3" a="1"/>
  <c r="F213" i="3" a="1"/>
  <c r="F1125" i="3" a="1"/>
  <c r="F47" i="3" a="1"/>
  <c r="F65" i="3" a="1"/>
  <c r="F1081" i="3" a="1"/>
  <c r="F1290" i="3" a="1"/>
  <c r="E1452" i="3" a="1"/>
  <c r="F813" i="3" a="1"/>
  <c r="E1003" i="3" a="1"/>
  <c r="E1333" i="3" a="1"/>
  <c r="E715" i="3" a="1"/>
  <c r="F1022" i="3" a="1"/>
  <c r="E1002" i="3" a="1"/>
  <c r="E744" i="3" a="1"/>
  <c r="E606" i="3" a="1"/>
  <c r="E1065" i="3" a="1"/>
  <c r="E1298" i="3" a="1"/>
  <c r="F401" i="3" a="1"/>
  <c r="E731" i="3" a="1"/>
  <c r="E1157" i="3" a="1"/>
  <c r="E1430" i="3" a="1"/>
  <c r="F256" i="3" a="1"/>
  <c r="E775" i="3" a="1"/>
  <c r="E997" i="3" a="1"/>
  <c r="E709" i="3" a="1"/>
  <c r="E1160" i="3" a="1"/>
  <c r="E808" i="3" a="1"/>
  <c r="F945" i="3" a="1"/>
  <c r="E1087" i="3" a="1"/>
  <c r="E1302" i="3" a="1"/>
  <c r="E945" i="3" a="1"/>
  <c r="E205" i="3" a="1"/>
  <c r="F644" i="3" a="1"/>
  <c r="E1155" i="3" a="1"/>
  <c r="E45" i="3" a="1"/>
  <c r="E519" i="3" a="1"/>
  <c r="E549" i="3" a="1"/>
  <c r="E681" i="3" a="1"/>
  <c r="F249" i="3" a="1"/>
  <c r="E959" i="3" a="1"/>
  <c r="E732" i="3" a="1"/>
  <c r="E687" i="3" a="1"/>
  <c r="E754" i="3" a="1"/>
  <c r="E640" i="3" a="1"/>
  <c r="F1101" i="3" a="1"/>
  <c r="E513" i="3" a="1"/>
  <c r="F2" i="3" a="1"/>
  <c r="E1064" i="3" a="1"/>
  <c r="E217" i="3" a="1"/>
  <c r="E405" i="3" a="1"/>
  <c r="E876" i="3" a="1"/>
  <c r="E954" i="3" a="1"/>
  <c r="E65" i="3" a="1"/>
  <c r="E707" i="3" a="1"/>
  <c r="F67" i="3" a="1"/>
  <c r="E867" i="3" a="1"/>
  <c r="E598" i="3" a="1"/>
  <c r="E767" i="3" a="1"/>
  <c r="E119" i="3" a="1"/>
  <c r="F205" i="3" a="1"/>
  <c r="E1159" i="3" a="1"/>
  <c r="E1348" i="3" a="1"/>
  <c r="E1153" i="3" a="1"/>
  <c r="F106" i="3" a="1"/>
  <c r="E925" i="3" a="1"/>
  <c r="E466" i="3" a="1"/>
  <c r="E266" i="3" a="1"/>
  <c r="E274" i="3" a="1"/>
  <c r="E226" i="3" a="1"/>
  <c r="F629" i="3" a="1"/>
  <c r="E401" i="3" a="1"/>
  <c r="F575" i="3" a="1"/>
  <c r="E960" i="3" a="1"/>
  <c r="E542" i="3" a="1"/>
  <c r="E600" i="3" a="1"/>
  <c r="E979" i="3" a="1"/>
  <c r="E736" i="3" a="1"/>
  <c r="E213" i="3" a="1"/>
  <c r="E716" i="3" a="1"/>
  <c r="E243" i="3" a="1"/>
  <c r="E113" i="3" a="1"/>
  <c r="E564" i="3" a="1"/>
  <c r="E1001" i="3" a="1"/>
  <c r="F187" i="3" a="1"/>
  <c r="E1496" i="3" a="1"/>
  <c r="E145" i="3" a="1"/>
  <c r="E615" i="3" a="1"/>
  <c r="F104" i="3" a="1"/>
  <c r="E994" i="3" a="1"/>
  <c r="E138" i="3" a="1"/>
  <c r="E686" i="3" a="1"/>
  <c r="E130" i="3" a="1"/>
  <c r="E87" i="3" a="1"/>
  <c r="F216" i="3" a="1"/>
  <c r="E675" i="3" a="1"/>
  <c r="E30" i="3" a="1"/>
  <c r="E1442" i="3" a="1"/>
  <c r="E836" i="3" a="1"/>
  <c r="E201" i="3" a="1"/>
  <c r="E427" i="3" a="1"/>
  <c r="E253" i="3" a="1"/>
  <c r="E562" i="3" a="1"/>
  <c r="E590" i="3" a="1"/>
  <c r="E418" i="3" a="1"/>
  <c r="E390" i="3" a="1"/>
  <c r="E13" i="3" a="1"/>
  <c r="E127" i="3" a="1"/>
  <c r="E441" i="3" a="1"/>
  <c r="E416" i="3" a="1"/>
  <c r="E777" i="3" a="1"/>
  <c r="E203" i="3" a="1"/>
  <c r="E224" i="3" a="1"/>
  <c r="E311" i="3" a="1"/>
  <c r="E246" i="3" a="1"/>
  <c r="E517" i="3" a="1"/>
  <c r="E894" i="3" a="1"/>
  <c r="E1120" i="3" a="1"/>
  <c r="F365" i="3" a="1"/>
  <c r="E1068" i="3" a="1"/>
  <c r="E922" i="3" a="1"/>
  <c r="F159" i="3" a="1"/>
  <c r="E951" i="3" a="1"/>
  <c r="E343" i="3" a="1"/>
  <c r="F136" i="3" a="1"/>
  <c r="E227" i="3" a="1"/>
  <c r="E1261" i="3" a="1"/>
  <c r="F1239" i="3" a="1"/>
  <c r="E639" i="3" a="1"/>
  <c r="F611" i="3" a="1"/>
  <c r="E1271" i="3" a="1"/>
  <c r="E27" i="3" a="1"/>
  <c r="E1240" i="3" a="1"/>
  <c r="E191" i="3" a="1"/>
  <c r="E672" i="3" a="1"/>
  <c r="F366" i="3" a="1"/>
  <c r="E931" i="3" a="1"/>
  <c r="E1362" i="3" a="1"/>
  <c r="E668" i="3" a="1"/>
  <c r="E288" i="3" a="1"/>
  <c r="E859" i="3" a="1"/>
  <c r="E259" i="3" a="1"/>
  <c r="E625" i="3" a="1"/>
  <c r="E693" i="3" a="1"/>
  <c r="E811" i="3" a="1"/>
  <c r="E637" i="3" a="1"/>
  <c r="F555" i="3" a="1"/>
  <c r="E280" i="3" a="1"/>
  <c r="E523" i="3" a="1"/>
  <c r="E331" i="3" a="1"/>
  <c r="E3" i="3" a="1"/>
  <c r="E360" i="3" a="1"/>
  <c r="E38" i="3" a="1"/>
  <c r="F346" i="3" a="1"/>
  <c r="E1025" i="3" a="1"/>
  <c r="E570" i="3" a="1"/>
  <c r="E530" i="3" a="1"/>
  <c r="E397" i="3" a="1"/>
  <c r="E824" i="3" a="1"/>
  <c r="E910" i="3" a="1"/>
  <c r="E320" i="3" a="1"/>
  <c r="E941" i="3" a="1"/>
  <c r="E1042" i="3" a="1"/>
  <c r="E285" i="3" a="1"/>
  <c r="E212" i="3" a="1"/>
  <c r="F793" i="3" a="1"/>
  <c r="E584" i="3" a="1"/>
  <c r="E683" i="3" a="1"/>
  <c r="E841" i="3" a="1"/>
  <c r="E183" i="3" a="1"/>
  <c r="E909" i="3" a="1"/>
  <c r="E337" i="3" a="1"/>
  <c r="E585" i="3" a="1"/>
  <c r="E1373" i="3" a="1"/>
  <c r="E490" i="3" a="1"/>
  <c r="E162" i="3" a="1"/>
  <c r="E54" i="3" a="1"/>
  <c r="E491" i="3" a="1"/>
  <c r="E95" i="3" a="1"/>
  <c r="E670" i="3" a="1"/>
  <c r="E534" i="3" a="1"/>
  <c r="E220" i="3" a="1"/>
  <c r="E215" i="3" a="1"/>
  <c r="E577" i="3" a="1"/>
  <c r="E495" i="3" a="1"/>
  <c r="E216" i="3" a="1"/>
  <c r="E79" i="3" a="1"/>
  <c r="E33" i="3" a="1"/>
  <c r="F862" i="3" a="1"/>
  <c r="F178" i="3" a="1"/>
  <c r="E1026" i="3" a="1"/>
  <c r="F538" i="3" a="1"/>
  <c r="F96" i="3" a="1"/>
  <c r="E845" i="3" a="1"/>
  <c r="E180" i="3" a="1"/>
  <c r="E350" i="3" a="1"/>
  <c r="E789" i="3" a="1"/>
  <c r="E879" i="3" a="1"/>
  <c r="F598" i="3" a="1"/>
  <c r="E1028" i="3" a="1"/>
  <c r="F856" i="3" a="1"/>
  <c r="E1146" i="3" a="1"/>
  <c r="E450" i="3" a="1"/>
  <c r="E4" i="3" a="1"/>
  <c r="F536" i="3" a="1"/>
  <c r="E1092" i="3" a="1"/>
  <c r="E56" i="3" a="1"/>
  <c r="E815" i="3" a="1"/>
  <c r="E439" i="3" a="1"/>
  <c r="E856" i="3" a="1"/>
  <c r="E819" i="3" a="1"/>
  <c r="E635" i="3" a="1"/>
  <c r="E919" i="3" a="1"/>
  <c r="E135" i="3" a="1"/>
  <c r="E340" i="3" a="1"/>
  <c r="F743" i="3" a="1"/>
  <c r="E1319" i="3" a="1"/>
  <c r="E761" i="3" a="1"/>
  <c r="E1289" i="3" a="1"/>
  <c r="E118" i="3" a="1"/>
  <c r="E991" i="3" a="1"/>
  <c r="E535" i="3" a="1"/>
  <c r="E514" i="3" a="1"/>
  <c r="E1494" i="3" a="1"/>
  <c r="E1214" i="3" a="1"/>
  <c r="E1462" i="3" a="1"/>
  <c r="E770" i="3" a="1"/>
  <c r="F306" i="3" a="1"/>
  <c r="E455" i="3" a="1"/>
  <c r="E20" i="3" a="1"/>
  <c r="E189" i="3" a="1"/>
  <c r="E1434" i="3" a="1"/>
  <c r="E747" i="3" a="1"/>
  <c r="E1193" i="3" a="1"/>
  <c r="E480" i="3" a="1"/>
  <c r="E1005" i="3" a="1"/>
  <c r="E147" i="3" a="1"/>
  <c r="E1189" i="3" a="1"/>
  <c r="E794" i="3" a="1"/>
  <c r="E952" i="3" a="1"/>
  <c r="E1148" i="3" a="1"/>
  <c r="E583" i="3" a="1"/>
  <c r="E396" i="3" a="1"/>
  <c r="E862" i="3" a="1"/>
  <c r="E73" i="3" a="1"/>
  <c r="E245" i="3" a="1"/>
  <c r="E319" i="3" a="1"/>
  <c r="E1431" i="3" a="1"/>
  <c r="E1078" i="3" a="1"/>
  <c r="E109" i="3" a="1"/>
  <c r="E436" i="3" a="1"/>
  <c r="E346" i="3" a="1"/>
  <c r="E573" i="3" a="1"/>
  <c r="E107" i="3" a="1"/>
  <c r="F618" i="3" a="1"/>
  <c r="E431" i="3" a="1"/>
  <c r="E302" i="3" a="1"/>
  <c r="E939" i="3" a="1"/>
  <c r="F154" i="3" a="1"/>
  <c r="E440" i="3" a="1"/>
  <c r="E704" i="3" a="1"/>
  <c r="E563" i="3" a="1"/>
  <c r="E1239" i="3" a="1"/>
  <c r="E870" i="3" a="1"/>
  <c r="E1135" i="3" a="1"/>
  <c r="E1056" i="3" a="1"/>
  <c r="E442" i="3" a="1"/>
  <c r="E184" i="3" a="1"/>
  <c r="E984" i="3" a="1"/>
  <c r="E629" i="3" a="1"/>
  <c r="E31" i="3" a="1"/>
  <c r="E144" i="3" a="1"/>
  <c r="E261" i="3" a="1"/>
  <c r="E621" i="3" a="1"/>
  <c r="F700" i="3" a="1"/>
  <c r="F214" i="3" a="1"/>
  <c r="E1048" i="3" a="1"/>
  <c r="F391" i="3" a="1"/>
  <c r="F615" i="3" a="1"/>
  <c r="E1004" i="3" a="1"/>
  <c r="E219" i="3" a="1"/>
  <c r="E1233" i="3" a="1"/>
  <c r="E673" i="3" a="1"/>
  <c r="E197" i="3" a="1"/>
  <c r="F270" i="3" a="1"/>
  <c r="E463" i="3" a="1"/>
  <c r="E380" i="3" a="1"/>
  <c r="E269" i="3" a="1"/>
  <c r="E692" i="3" a="1"/>
  <c r="F1190" i="3" a="1"/>
  <c r="F488" i="3" a="1"/>
  <c r="E1464" i="3" a="1"/>
  <c r="E645" i="3" a="1"/>
  <c r="E1467" i="3" a="1"/>
  <c r="F684" i="3" a="1"/>
  <c r="E335" i="3" a="1"/>
  <c r="E713" i="3" a="1"/>
  <c r="E394" i="3" a="1"/>
  <c r="F583" i="3" a="1"/>
  <c r="E737" i="3" a="1"/>
  <c r="F523" i="3" a="1"/>
  <c r="E1163" i="3" a="1"/>
  <c r="E392" i="3" a="1"/>
  <c r="E1050" i="3" a="1"/>
  <c r="E336" i="3" a="1"/>
  <c r="E116" i="3" a="1"/>
  <c r="E1461" i="3" a="1"/>
  <c r="E1301" i="3" a="1"/>
  <c r="E64" i="3" a="1"/>
  <c r="E53" i="3" a="1"/>
  <c r="E545" i="3" a="1"/>
  <c r="E310" i="3" a="1"/>
  <c r="E12" i="3" a="1"/>
  <c r="E471" i="3" a="1"/>
  <c r="F269" i="3" a="1"/>
  <c r="F1014" i="3" a="1"/>
  <c r="E329" i="3" a="1"/>
  <c r="E445" i="3" a="1"/>
  <c r="E251" i="3" a="1"/>
  <c r="E571" i="3" a="1"/>
  <c r="E156" i="3" a="1"/>
  <c r="E929" i="3" a="1"/>
  <c r="E652" i="3" a="1"/>
  <c r="E525" i="3" a="1"/>
  <c r="F19" i="3" a="1"/>
  <c r="P154" i="3" l="1"/>
  <c r="P258" i="3"/>
  <c r="P354" i="3"/>
  <c r="P474" i="3"/>
  <c r="P530" i="3"/>
  <c r="P578" i="3"/>
  <c r="P698" i="3"/>
  <c r="P706" i="3"/>
  <c r="P762" i="3"/>
  <c r="P850" i="3"/>
  <c r="P1018" i="3"/>
  <c r="P1026" i="3"/>
  <c r="P1106" i="3"/>
  <c r="P1154" i="3"/>
  <c r="P1170" i="3"/>
  <c r="P1234" i="3"/>
  <c r="P1274" i="3"/>
  <c r="P1282" i="3"/>
  <c r="P1410" i="3"/>
  <c r="P1474" i="3"/>
  <c r="P4" i="3"/>
  <c r="P20" i="3"/>
  <c r="O28" i="3"/>
  <c r="P44" i="3"/>
  <c r="O60" i="3"/>
  <c r="P76" i="3"/>
  <c r="P92" i="3"/>
  <c r="P100" i="3"/>
  <c r="O116" i="3"/>
  <c r="P132" i="3"/>
  <c r="P148" i="3"/>
  <c r="O156" i="3"/>
  <c r="O172" i="3"/>
  <c r="P196" i="3"/>
  <c r="O212" i="3"/>
  <c r="P220" i="3"/>
  <c r="O244" i="3"/>
  <c r="P12" i="3"/>
  <c r="P36" i="3"/>
  <c r="P52" i="3"/>
  <c r="O68" i="3"/>
  <c r="P84" i="3"/>
  <c r="P108" i="3"/>
  <c r="O124" i="3"/>
  <c r="P140" i="3"/>
  <c r="P164" i="3"/>
  <c r="O180" i="3"/>
  <c r="P188" i="3"/>
  <c r="O204" i="3"/>
  <c r="P228" i="3"/>
  <c r="O236" i="3"/>
  <c r="P67" i="3"/>
  <c r="P260" i="3"/>
  <c r="O268" i="3"/>
  <c r="P276" i="3"/>
  <c r="O284" i="3"/>
  <c r="P292" i="3"/>
  <c r="O300" i="3"/>
  <c r="P308" i="3"/>
  <c r="P316" i="3"/>
  <c r="P324" i="3"/>
  <c r="O332" i="3"/>
  <c r="O340" i="3"/>
  <c r="P348" i="3"/>
  <c r="O356" i="3"/>
  <c r="O364" i="3"/>
  <c r="P372" i="3"/>
  <c r="P380" i="3"/>
  <c r="O388" i="3"/>
  <c r="O396" i="3"/>
  <c r="P404" i="3"/>
  <c r="O412" i="3"/>
  <c r="P420" i="3"/>
  <c r="P428" i="3"/>
  <c r="O436" i="3"/>
  <c r="O444" i="3"/>
  <c r="O452" i="3"/>
  <c r="P460" i="3"/>
  <c r="P468" i="3"/>
  <c r="P476" i="3"/>
  <c r="O484" i="3"/>
  <c r="O492" i="3"/>
  <c r="P500" i="3"/>
  <c r="O508" i="3"/>
  <c r="P516" i="3"/>
  <c r="P524" i="3"/>
  <c r="O532" i="3"/>
  <c r="O540" i="3"/>
  <c r="P548" i="3"/>
  <c r="O556" i="3"/>
  <c r="P564" i="3"/>
  <c r="P572" i="3"/>
  <c r="O580" i="3"/>
  <c r="O588" i="3"/>
  <c r="P596" i="3"/>
  <c r="P604" i="3"/>
  <c r="O612" i="3"/>
  <c r="P620" i="3"/>
  <c r="O628" i="3"/>
  <c r="O636" i="3"/>
  <c r="O644" i="3"/>
  <c r="P652" i="3"/>
  <c r="P660" i="3"/>
  <c r="O668" i="3"/>
  <c r="O676" i="3"/>
  <c r="O684" i="3"/>
  <c r="O692" i="3"/>
  <c r="O700" i="3"/>
  <c r="P708" i="3"/>
  <c r="O716" i="3"/>
  <c r="P724" i="3"/>
  <c r="O732" i="3"/>
  <c r="P740" i="3"/>
  <c r="O748" i="3"/>
  <c r="P756" i="3"/>
  <c r="O764" i="3"/>
  <c r="P772" i="3"/>
  <c r="O780" i="3"/>
  <c r="P788" i="3"/>
  <c r="P796" i="3"/>
  <c r="O804" i="3"/>
  <c r="P812" i="3"/>
  <c r="O820" i="3"/>
  <c r="P828" i="3"/>
  <c r="O836" i="3"/>
  <c r="O844" i="3"/>
  <c r="O852" i="3"/>
  <c r="P860" i="3"/>
  <c r="O868" i="3"/>
  <c r="P876" i="3"/>
  <c r="O884" i="3"/>
  <c r="O892" i="3"/>
  <c r="P900" i="3"/>
  <c r="O908" i="3"/>
  <c r="P916" i="3"/>
  <c r="O924" i="3"/>
  <c r="P932" i="3"/>
  <c r="O747" i="3"/>
  <c r="O1411" i="3"/>
  <c r="O3" i="3"/>
  <c r="O11" i="3"/>
  <c r="O19" i="3"/>
  <c r="O27" i="3"/>
  <c r="O35" i="3"/>
  <c r="O43" i="3"/>
  <c r="O51" i="3"/>
  <c r="O59" i="3"/>
  <c r="O67" i="3"/>
  <c r="O75" i="3"/>
  <c r="O83" i="3"/>
  <c r="O91" i="3"/>
  <c r="O99" i="3"/>
  <c r="O107" i="3"/>
  <c r="O115" i="3"/>
  <c r="O123" i="3"/>
  <c r="P131" i="3"/>
  <c r="O139" i="3"/>
  <c r="O147" i="3"/>
  <c r="O155" i="3"/>
  <c r="O163" i="3"/>
  <c r="O171" i="3"/>
  <c r="O179" i="3"/>
  <c r="O187" i="3"/>
  <c r="O195" i="3"/>
  <c r="O203" i="3"/>
  <c r="O211" i="3"/>
  <c r="O219" i="3"/>
  <c r="O227" i="3"/>
  <c r="P235" i="3"/>
  <c r="O243" i="3"/>
  <c r="O251" i="3"/>
  <c r="O259" i="3"/>
  <c r="O267" i="3"/>
  <c r="O275" i="3"/>
  <c r="O283" i="3"/>
  <c r="P291" i="3"/>
  <c r="O299" i="3"/>
  <c r="O307" i="3"/>
  <c r="O315" i="3"/>
  <c r="O323" i="3"/>
  <c r="O331" i="3"/>
  <c r="O339" i="3"/>
  <c r="P347" i="3"/>
  <c r="O355" i="3"/>
  <c r="O363" i="3"/>
  <c r="O371" i="3"/>
  <c r="O379" i="3"/>
  <c r="O387" i="3"/>
  <c r="O395" i="3"/>
  <c r="P403" i="3"/>
  <c r="O411" i="3"/>
  <c r="O419" i="3"/>
  <c r="O427" i="3"/>
  <c r="P435" i="3"/>
  <c r="O443" i="3"/>
  <c r="O451" i="3"/>
  <c r="O459" i="3"/>
  <c r="O467" i="3"/>
  <c r="O475" i="3"/>
  <c r="O499" i="3"/>
  <c r="O515" i="3"/>
  <c r="O523" i="3"/>
  <c r="O531" i="3"/>
  <c r="O539" i="3"/>
  <c r="P547" i="3"/>
  <c r="O555" i="3"/>
  <c r="O563" i="3"/>
  <c r="O571" i="3"/>
  <c r="P579" i="3"/>
  <c r="P587" i="3"/>
  <c r="O595" i="3"/>
  <c r="O603" i="3"/>
  <c r="O611" i="3"/>
  <c r="O619" i="3"/>
  <c r="O627" i="3"/>
  <c r="O635" i="3"/>
  <c r="O643" i="3"/>
  <c r="O651" i="3"/>
  <c r="P659" i="3"/>
  <c r="O667" i="3"/>
  <c r="P675" i="3"/>
  <c r="O683" i="3"/>
  <c r="O691" i="3"/>
  <c r="O699" i="3"/>
  <c r="O707" i="3"/>
  <c r="O715" i="3"/>
  <c r="O723" i="3"/>
  <c r="O731" i="3"/>
  <c r="P739" i="3"/>
  <c r="P747" i="3"/>
  <c r="O755" i="3"/>
  <c r="O763" i="3"/>
  <c r="O771" i="3"/>
  <c r="O779" i="3"/>
  <c r="O787" i="3"/>
  <c r="P795" i="3"/>
  <c r="P803" i="3"/>
  <c r="O811" i="3"/>
  <c r="O819" i="3"/>
  <c r="P1291" i="3"/>
  <c r="P811" i="3"/>
  <c r="O507" i="3"/>
  <c r="P1187" i="3"/>
  <c r="P275" i="3"/>
  <c r="P491" i="3"/>
  <c r="P1475" i="3"/>
  <c r="P1347" i="3"/>
  <c r="O483" i="3"/>
  <c r="P1211" i="3"/>
  <c r="O18" i="3"/>
  <c r="O90" i="3"/>
  <c r="P130" i="3"/>
  <c r="O146" i="3"/>
  <c r="P218" i="3"/>
  <c r="P226" i="3"/>
  <c r="P242" i="3"/>
  <c r="P282" i="3"/>
  <c r="P290" i="3"/>
  <c r="P346" i="3"/>
  <c r="P370" i="3"/>
  <c r="P386" i="3"/>
  <c r="P450" i="3"/>
  <c r="P482" i="3"/>
  <c r="P506" i="3"/>
  <c r="O522" i="3"/>
  <c r="P570" i="3"/>
  <c r="P594" i="3"/>
  <c r="O634" i="3"/>
  <c r="P642" i="3"/>
  <c r="O690" i="3"/>
  <c r="P722" i="3"/>
  <c r="P770" i="3"/>
  <c r="P786" i="3"/>
  <c r="P826" i="3"/>
  <c r="P890" i="3"/>
  <c r="P914" i="3"/>
  <c r="P954" i="3"/>
  <c r="O962" i="3"/>
  <c r="P1042" i="3"/>
  <c r="P1082" i="3"/>
  <c r="P1090" i="3"/>
  <c r="O1138" i="3"/>
  <c r="P1146" i="3"/>
  <c r="O1194" i="3"/>
  <c r="P1218" i="3"/>
  <c r="O1290" i="3"/>
  <c r="P1298" i="3"/>
  <c r="P1338" i="3"/>
  <c r="P1346" i="3"/>
  <c r="P1362" i="3"/>
  <c r="P1386" i="3"/>
  <c r="P1402" i="3"/>
  <c r="P1426" i="3"/>
  <c r="P1450" i="3"/>
  <c r="P1466" i="3"/>
  <c r="P1490" i="3"/>
  <c r="P827" i="3"/>
  <c r="O835" i="3"/>
  <c r="O843" i="3"/>
  <c r="O851" i="3"/>
  <c r="O859" i="3"/>
  <c r="P867" i="3"/>
  <c r="P875" i="3"/>
  <c r="O883" i="3"/>
  <c r="O891" i="3"/>
  <c r="P899" i="3"/>
  <c r="O907" i="3"/>
  <c r="O915" i="3"/>
  <c r="P923" i="3"/>
  <c r="O931" i="3"/>
  <c r="O939" i="3"/>
  <c r="P947" i="3"/>
  <c r="O955" i="3"/>
  <c r="P963" i="3"/>
  <c r="P971" i="3"/>
  <c r="P979" i="3"/>
  <c r="P987" i="3"/>
  <c r="O995" i="3"/>
  <c r="P1003" i="3"/>
  <c r="O1011" i="3"/>
  <c r="O1019" i="3"/>
  <c r="P1027" i="3"/>
  <c r="O1035" i="3"/>
  <c r="P1043" i="3"/>
  <c r="O1051" i="3"/>
  <c r="P1059" i="3"/>
  <c r="O1067" i="3"/>
  <c r="O1075" i="3"/>
  <c r="P1083" i="3"/>
  <c r="P1091" i="3"/>
  <c r="O1099" i="3"/>
  <c r="P1107" i="3"/>
  <c r="O1115" i="3"/>
  <c r="O1123" i="3"/>
  <c r="O1131" i="3"/>
  <c r="P1139" i="3"/>
  <c r="P1147" i="3"/>
  <c r="P1155" i="3"/>
  <c r="O1163" i="3"/>
  <c r="O1171" i="3"/>
  <c r="O1179" i="3"/>
  <c r="O1187" i="3"/>
  <c r="P1195" i="3"/>
  <c r="P1203" i="3"/>
  <c r="O1211" i="3"/>
  <c r="P1219" i="3"/>
  <c r="O1227" i="3"/>
  <c r="O1235" i="3"/>
  <c r="P1243" i="3"/>
  <c r="O1251" i="3"/>
  <c r="O1259" i="3"/>
  <c r="O1267" i="3"/>
  <c r="P1275" i="3"/>
  <c r="P1283" i="3"/>
  <c r="O1291" i="3"/>
  <c r="O1299" i="3"/>
  <c r="O1307" i="3"/>
  <c r="P1315" i="3"/>
  <c r="O1323" i="3"/>
  <c r="P1331" i="3"/>
  <c r="P1339" i="3"/>
  <c r="O1347" i="3"/>
  <c r="O1355" i="3"/>
  <c r="O1363" i="3"/>
  <c r="O1371" i="3"/>
  <c r="P1379" i="3"/>
  <c r="P1387" i="3"/>
  <c r="O1395" i="3"/>
  <c r="P1403" i="3"/>
  <c r="P1411" i="3"/>
  <c r="O1419" i="3"/>
  <c r="P1427" i="3"/>
  <c r="P1435" i="3"/>
  <c r="O1443" i="3"/>
  <c r="O1451" i="3"/>
  <c r="P1459" i="3"/>
  <c r="O1467" i="3"/>
  <c r="O1475" i="3"/>
  <c r="O1483" i="3"/>
  <c r="O1491" i="3"/>
  <c r="O1499" i="3"/>
  <c r="O1434" i="3"/>
  <c r="O778" i="3"/>
  <c r="O450" i="3"/>
  <c r="P1194" i="3"/>
  <c r="O394" i="3"/>
  <c r="P962" i="3"/>
  <c r="O722" i="3"/>
  <c r="P634" i="3"/>
  <c r="P307" i="3"/>
  <c r="P155" i="3"/>
  <c r="O675" i="3"/>
  <c r="O347" i="3"/>
  <c r="P835" i="3"/>
  <c r="P459" i="3"/>
  <c r="O923" i="3"/>
  <c r="P915" i="3"/>
  <c r="P755" i="3"/>
  <c r="P539" i="3"/>
  <c r="P99" i="3"/>
  <c r="O1219" i="3"/>
  <c r="P187" i="3"/>
  <c r="O827" i="3"/>
  <c r="O587" i="3"/>
  <c r="P779" i="3"/>
  <c r="P699" i="3"/>
  <c r="P35" i="3"/>
  <c r="O1155" i="3"/>
  <c r="P427" i="3"/>
  <c r="O1091" i="3"/>
  <c r="P1499" i="3"/>
  <c r="P1419" i="3"/>
  <c r="P1395" i="3"/>
  <c r="P1371" i="3"/>
  <c r="P1235" i="3"/>
  <c r="P1131" i="3"/>
  <c r="P1099" i="3"/>
  <c r="P1075" i="3"/>
  <c r="P1019" i="3"/>
  <c r="P995" i="3"/>
  <c r="P859" i="3"/>
  <c r="P723" i="3"/>
  <c r="P643" i="3"/>
  <c r="P619" i="3"/>
  <c r="P563" i="3"/>
  <c r="P507" i="3"/>
  <c r="P483" i="3"/>
  <c r="P395" i="3"/>
  <c r="P363" i="3"/>
  <c r="P243" i="3"/>
  <c r="P211" i="3"/>
  <c r="P123" i="3"/>
  <c r="O1459" i="3"/>
  <c r="O1403" i="3"/>
  <c r="O1339" i="3"/>
  <c r="O1283" i="3"/>
  <c r="O1147" i="3"/>
  <c r="O1083" i="3"/>
  <c r="O1003" i="3"/>
  <c r="O739" i="3"/>
  <c r="O659" i="3"/>
  <c r="O579" i="3"/>
  <c r="O291" i="3"/>
  <c r="O1331" i="3"/>
  <c r="O1275" i="3"/>
  <c r="O1203" i="3"/>
  <c r="O1139" i="3"/>
  <c r="O987" i="3"/>
  <c r="O899" i="3"/>
  <c r="O803" i="3"/>
  <c r="O235" i="3"/>
  <c r="P725" i="3"/>
  <c r="P1443" i="3"/>
  <c r="P907" i="3"/>
  <c r="P531" i="3"/>
  <c r="P451" i="3"/>
  <c r="P331" i="3"/>
  <c r="P59" i="3"/>
  <c r="P3" i="3"/>
  <c r="P1491" i="3"/>
  <c r="P1363" i="3"/>
  <c r="P1259" i="3"/>
  <c r="P1227" i="3"/>
  <c r="P1123" i="3"/>
  <c r="P851" i="3"/>
  <c r="P771" i="3"/>
  <c r="P715" i="3"/>
  <c r="P691" i="3"/>
  <c r="P635" i="3"/>
  <c r="P611" i="3"/>
  <c r="P475" i="3"/>
  <c r="P387" i="3"/>
  <c r="P355" i="3"/>
  <c r="P267" i="3"/>
  <c r="P147" i="3"/>
  <c r="O1387" i="3"/>
  <c r="O1195" i="3"/>
  <c r="O1059" i="3"/>
  <c r="O979" i="3"/>
  <c r="O795" i="3"/>
  <c r="O547" i="3"/>
  <c r="O435" i="3"/>
  <c r="P19" i="3"/>
  <c r="P1307" i="3"/>
  <c r="P1171" i="3"/>
  <c r="P1067" i="3"/>
  <c r="P1035" i="3"/>
  <c r="P1011" i="3"/>
  <c r="P955" i="3"/>
  <c r="P931" i="3"/>
  <c r="P555" i="3"/>
  <c r="P523" i="3"/>
  <c r="P499" i="3"/>
  <c r="P443" i="3"/>
  <c r="P411" i="3"/>
  <c r="P323" i="3"/>
  <c r="P203" i="3"/>
  <c r="P171" i="3"/>
  <c r="P115" i="3"/>
  <c r="P83" i="3"/>
  <c r="P51" i="3"/>
  <c r="O1435" i="3"/>
  <c r="O1379" i="3"/>
  <c r="O1315" i="3"/>
  <c r="O1043" i="3"/>
  <c r="O971" i="3"/>
  <c r="O875" i="3"/>
  <c r="O403" i="3"/>
  <c r="O131" i="3"/>
  <c r="P299" i="3"/>
  <c r="P1483" i="3"/>
  <c r="P1355" i="3"/>
  <c r="P1251" i="3"/>
  <c r="P1115" i="3"/>
  <c r="P843" i="3"/>
  <c r="P819" i="3"/>
  <c r="P763" i="3"/>
  <c r="P603" i="3"/>
  <c r="P467" i="3"/>
  <c r="P379" i="3"/>
  <c r="P259" i="3"/>
  <c r="P227" i="3"/>
  <c r="P139" i="3"/>
  <c r="O867" i="3"/>
  <c r="P1467" i="3"/>
  <c r="P1179" i="3"/>
  <c r="P939" i="3"/>
  <c r="P883" i="3"/>
  <c r="P667" i="3"/>
  <c r="P419" i="3"/>
  <c r="P179" i="3"/>
  <c r="P91" i="3"/>
  <c r="P27" i="3"/>
  <c r="P11" i="3"/>
  <c r="P1299" i="3"/>
  <c r="P1163" i="3"/>
  <c r="P787" i="3"/>
  <c r="P707" i="3"/>
  <c r="P683" i="3"/>
  <c r="P651" i="3"/>
  <c r="P627" i="3"/>
  <c r="P571" i="3"/>
  <c r="P315" i="3"/>
  <c r="P283" i="3"/>
  <c r="P195" i="3"/>
  <c r="P163" i="3"/>
  <c r="P107" i="3"/>
  <c r="P75" i="3"/>
  <c r="P43" i="3"/>
  <c r="O1427" i="3"/>
  <c r="O1243" i="3"/>
  <c r="O1107" i="3"/>
  <c r="O1027" i="3"/>
  <c r="O947" i="3"/>
  <c r="P891" i="3"/>
  <c r="P731" i="3"/>
  <c r="P595" i="3"/>
  <c r="P515" i="3"/>
  <c r="P371" i="3"/>
  <c r="P339" i="3"/>
  <c r="P251" i="3"/>
  <c r="P219" i="3"/>
  <c r="O963" i="3"/>
  <c r="P13" i="3"/>
  <c r="O21" i="3"/>
  <c r="O93" i="3"/>
  <c r="O117" i="3"/>
  <c r="P189" i="3"/>
  <c r="O205" i="3"/>
  <c r="P245" i="3"/>
  <c r="O269" i="3"/>
  <c r="P317" i="3"/>
  <c r="O333" i="3"/>
  <c r="P373" i="3"/>
  <c r="O397" i="3"/>
  <c r="O461" i="3"/>
  <c r="O533" i="3"/>
  <c r="O541" i="3"/>
  <c r="P549" i="3"/>
  <c r="O557" i="3"/>
  <c r="O597" i="3"/>
  <c r="O605" i="3"/>
  <c r="O621" i="3"/>
  <c r="P637" i="3"/>
  <c r="O661" i="3"/>
  <c r="O669" i="3"/>
  <c r="O685" i="3"/>
  <c r="P709" i="3"/>
  <c r="O725" i="3"/>
  <c r="O733" i="3"/>
  <c r="O749" i="3"/>
  <c r="O789" i="3"/>
  <c r="O797" i="3"/>
  <c r="O813" i="3"/>
  <c r="P821" i="3"/>
  <c r="O853" i="3"/>
  <c r="O861" i="3"/>
  <c r="O877" i="3"/>
  <c r="O917" i="3"/>
  <c r="O925" i="3"/>
  <c r="O941" i="3"/>
  <c r="O981" i="3"/>
  <c r="O989" i="3"/>
  <c r="O1005" i="3"/>
  <c r="O1045" i="3"/>
  <c r="O1053" i="3"/>
  <c r="P1061" i="3"/>
  <c r="O1069" i="3"/>
  <c r="O1109" i="3"/>
  <c r="O1117" i="3"/>
  <c r="O1133" i="3"/>
  <c r="P1149" i="3"/>
  <c r="O1173" i="3"/>
  <c r="O1181" i="3"/>
  <c r="O1197" i="3"/>
  <c r="P1205" i="3"/>
  <c r="O1237" i="3"/>
  <c r="O1245" i="3"/>
  <c r="O1261" i="3"/>
  <c r="P1293" i="3"/>
  <c r="O1301" i="3"/>
  <c r="O1309" i="3"/>
  <c r="P1317" i="3"/>
  <c r="O1325" i="3"/>
  <c r="O1349" i="3"/>
  <c r="O1365" i="3"/>
  <c r="O1373" i="3"/>
  <c r="O1389" i="3"/>
  <c r="P1397" i="3"/>
  <c r="O1413" i="3"/>
  <c r="O1429" i="3"/>
  <c r="O1437" i="3"/>
  <c r="O1453" i="3"/>
  <c r="P1461" i="3"/>
  <c r="O1477" i="3"/>
  <c r="O1493" i="3"/>
  <c r="O1501" i="3"/>
  <c r="O20" i="3"/>
  <c r="O377" i="3"/>
  <c r="O545" i="3"/>
  <c r="O617" i="3"/>
  <c r="O713" i="3"/>
  <c r="O785" i="3"/>
  <c r="O1057" i="3"/>
  <c r="O1129" i="3"/>
  <c r="O1225" i="3"/>
  <c r="O1297" i="3"/>
  <c r="P1288" i="3"/>
  <c r="P568" i="3"/>
  <c r="P1440" i="3"/>
  <c r="P1352" i="3"/>
  <c r="P1400" i="3"/>
  <c r="P1272" i="3"/>
  <c r="O524" i="3"/>
  <c r="O940" i="3"/>
  <c r="P948" i="3"/>
  <c r="P956" i="3"/>
  <c r="P964" i="3"/>
  <c r="P972" i="3"/>
  <c r="O980" i="3"/>
  <c r="P988" i="3"/>
  <c r="O996" i="3"/>
  <c r="P1004" i="3"/>
  <c r="O1012" i="3"/>
  <c r="P1020" i="3"/>
  <c r="P1028" i="3"/>
  <c r="O1036" i="3"/>
  <c r="P1044" i="3"/>
  <c r="O1052" i="3"/>
  <c r="O1060" i="3"/>
  <c r="O1068" i="3"/>
  <c r="P1076" i="3"/>
  <c r="P1084" i="3"/>
  <c r="O1092" i="3"/>
  <c r="O1100" i="3"/>
  <c r="O1108" i="3"/>
  <c r="P1116" i="3"/>
  <c r="O1124" i="3"/>
  <c r="P1132" i="3"/>
  <c r="P1140" i="3"/>
  <c r="O1148" i="3"/>
  <c r="P1156" i="3"/>
  <c r="O1164" i="3"/>
  <c r="P1172" i="3"/>
  <c r="O1180" i="3"/>
  <c r="P1188" i="3"/>
  <c r="O1196" i="3"/>
  <c r="O1204" i="3"/>
  <c r="P1212" i="3"/>
  <c r="P1220" i="3"/>
  <c r="O1228" i="3"/>
  <c r="O1236" i="3"/>
  <c r="P1244" i="3"/>
  <c r="P1252" i="3"/>
  <c r="O1260" i="3"/>
  <c r="P1268" i="3"/>
  <c r="O1276" i="3"/>
  <c r="P1284" i="3"/>
  <c r="O1292" i="3"/>
  <c r="P1300" i="3"/>
  <c r="P1308" i="3"/>
  <c r="O1316" i="3"/>
  <c r="O1324" i="3"/>
  <c r="P1332" i="3"/>
  <c r="P1340" i="3"/>
  <c r="O1348" i="3"/>
  <c r="P1356" i="3"/>
  <c r="O1364" i="3"/>
  <c r="O1372" i="3"/>
  <c r="O1380" i="3"/>
  <c r="P1388" i="3"/>
  <c r="P1396" i="3"/>
  <c r="O1404" i="3"/>
  <c r="P1412" i="3"/>
  <c r="P1420" i="3"/>
  <c r="P1428" i="3"/>
  <c r="O1436" i="3"/>
  <c r="O1444" i="3"/>
  <c r="P1452" i="3"/>
  <c r="O1460" i="3"/>
  <c r="O1468" i="3"/>
  <c r="P1476" i="3"/>
  <c r="O1484" i="3"/>
  <c r="O1492" i="3"/>
  <c r="O1500" i="3"/>
  <c r="O94" i="3"/>
  <c r="O262" i="3"/>
  <c r="O350" i="3"/>
  <c r="O510" i="3"/>
  <c r="O590" i="3"/>
  <c r="O686" i="3"/>
  <c r="O766" i="3"/>
  <c r="O926" i="3"/>
  <c r="O950" i="3"/>
  <c r="O1030" i="3"/>
  <c r="O1110" i="3"/>
  <c r="O1190" i="3"/>
  <c r="O1206" i="3"/>
  <c r="O1366" i="3"/>
  <c r="P836" i="3"/>
  <c r="O772" i="3"/>
  <c r="O860" i="3"/>
  <c r="O9" i="3"/>
  <c r="O17" i="3"/>
  <c r="P105" i="3"/>
  <c r="P137" i="3"/>
  <c r="P241" i="3"/>
  <c r="P273" i="3"/>
  <c r="P345" i="3"/>
  <c r="P377" i="3"/>
  <c r="P441" i="3"/>
  <c r="P481" i="3"/>
  <c r="O513" i="3"/>
  <c r="O521" i="3"/>
  <c r="O529" i="3"/>
  <c r="O537" i="3"/>
  <c r="P545" i="3"/>
  <c r="O553" i="3"/>
  <c r="O561" i="3"/>
  <c r="O569" i="3"/>
  <c r="O577" i="3"/>
  <c r="O585" i="3"/>
  <c r="O593" i="3"/>
  <c r="O601" i="3"/>
  <c r="O609" i="3"/>
  <c r="P617" i="3"/>
  <c r="O625" i="3"/>
  <c r="O633" i="3"/>
  <c r="O641" i="3"/>
  <c r="O649" i="3"/>
  <c r="O657" i="3"/>
  <c r="O665" i="3"/>
  <c r="O673" i="3"/>
  <c r="O681" i="3"/>
  <c r="O689" i="3"/>
  <c r="O697" i="3"/>
  <c r="O705" i="3"/>
  <c r="P713" i="3"/>
  <c r="O721" i="3"/>
  <c r="O729" i="3"/>
  <c r="O737" i="3"/>
  <c r="O745" i="3"/>
  <c r="O753" i="3"/>
  <c r="O761" i="3"/>
  <c r="O769" i="3"/>
  <c r="O777" i="3"/>
  <c r="P785" i="3"/>
  <c r="O793" i="3"/>
  <c r="O801" i="3"/>
  <c r="O809" i="3"/>
  <c r="O817" i="3"/>
  <c r="O380" i="3"/>
  <c r="O825" i="3"/>
  <c r="O833" i="3"/>
  <c r="O841" i="3"/>
  <c r="O849" i="3"/>
  <c r="O857" i="3"/>
  <c r="O865" i="3"/>
  <c r="O873" i="3"/>
  <c r="O881" i="3"/>
  <c r="O889" i="3"/>
  <c r="O897" i="3"/>
  <c r="O905" i="3"/>
  <c r="O913" i="3"/>
  <c r="O921" i="3"/>
  <c r="O929" i="3"/>
  <c r="O937" i="3"/>
  <c r="O945" i="3"/>
  <c r="O953" i="3"/>
  <c r="O961" i="3"/>
  <c r="O969" i="3"/>
  <c r="O977" i="3"/>
  <c r="O985" i="3"/>
  <c r="O993" i="3"/>
  <c r="O1001" i="3"/>
  <c r="O1009" i="3"/>
  <c r="O1017" i="3"/>
  <c r="O1025" i="3"/>
  <c r="O1033" i="3"/>
  <c r="O1041" i="3"/>
  <c r="O1049" i="3"/>
  <c r="P1057" i="3"/>
  <c r="O1065" i="3"/>
  <c r="O1073" i="3"/>
  <c r="O1081" i="3"/>
  <c r="O1089" i="3"/>
  <c r="O1097" i="3"/>
  <c r="O1105" i="3"/>
  <c r="O1113" i="3"/>
  <c r="O1121" i="3"/>
  <c r="P1129" i="3"/>
  <c r="O1137" i="3"/>
  <c r="O1145" i="3"/>
  <c r="O1153" i="3"/>
  <c r="O1161" i="3"/>
  <c r="O1169" i="3"/>
  <c r="O1177" i="3"/>
  <c r="O1185" i="3"/>
  <c r="O1193" i="3"/>
  <c r="O1201" i="3"/>
  <c r="O1209" i="3"/>
  <c r="O1217" i="3"/>
  <c r="P1225" i="3"/>
  <c r="O1233" i="3"/>
  <c r="O1241" i="3"/>
  <c r="O1249" i="3"/>
  <c r="O1257" i="3"/>
  <c r="O1265" i="3"/>
  <c r="O1273" i="3"/>
  <c r="O1281" i="3"/>
  <c r="O1289" i="3"/>
  <c r="P1297" i="3"/>
  <c r="O1305" i="3"/>
  <c r="O1313" i="3"/>
  <c r="O1321" i="3"/>
  <c r="O1329" i="3"/>
  <c r="O1337" i="3"/>
  <c r="O1345" i="3"/>
  <c r="O1353" i="3"/>
  <c r="O1361" i="3"/>
  <c r="O1369" i="3"/>
  <c r="O1377" i="3"/>
  <c r="O1385" i="3"/>
  <c r="O1393" i="3"/>
  <c r="O1401" i="3"/>
  <c r="O1409" i="3"/>
  <c r="O1417" i="3"/>
  <c r="O1425" i="3"/>
  <c r="O1433" i="3"/>
  <c r="O1441" i="3"/>
  <c r="O1449" i="3"/>
  <c r="O1457" i="3"/>
  <c r="O1465" i="3"/>
  <c r="O1473" i="3"/>
  <c r="O1481" i="3"/>
  <c r="O1489" i="3"/>
  <c r="O1497" i="3"/>
  <c r="O1284" i="3"/>
  <c r="P364" i="3"/>
  <c r="O796" i="3"/>
  <c r="O468" i="3"/>
  <c r="O1140" i="3"/>
  <c r="P1429" i="3"/>
  <c r="P1380" i="3"/>
  <c r="P1292" i="3"/>
  <c r="P1012" i="3"/>
  <c r="P716" i="3"/>
  <c r="O1308" i="3"/>
  <c r="O948" i="3"/>
  <c r="O52" i="3"/>
  <c r="O324" i="3"/>
  <c r="P1460" i="3"/>
  <c r="P884" i="3"/>
  <c r="P580" i="3"/>
  <c r="P180" i="3"/>
  <c r="O1172" i="3"/>
  <c r="O140" i="3"/>
  <c r="P1196" i="3"/>
  <c r="P1126" i="3"/>
  <c r="P852" i="3"/>
  <c r="O1004" i="3"/>
  <c r="O108" i="3"/>
  <c r="P1324" i="3"/>
  <c r="P804" i="3"/>
  <c r="O828" i="3"/>
  <c r="O500" i="3"/>
  <c r="P1367" i="3"/>
  <c r="P700" i="3"/>
  <c r="P1238" i="3"/>
  <c r="P124" i="3"/>
  <c r="O1340" i="3"/>
  <c r="O1252" i="3"/>
  <c r="O972" i="3"/>
  <c r="O292" i="3"/>
  <c r="O84" i="3"/>
  <c r="P70" i="3"/>
  <c r="P1431" i="3"/>
  <c r="O1116" i="3"/>
  <c r="P1500" i="3"/>
  <c r="P1484" i="3"/>
  <c r="P1444" i="3"/>
  <c r="P1404" i="3"/>
  <c r="P1364" i="3"/>
  <c r="P1276" i="3"/>
  <c r="P1236" i="3"/>
  <c r="P1180" i="3"/>
  <c r="P1164" i="3"/>
  <c r="P1124" i="3"/>
  <c r="P1108" i="3"/>
  <c r="P1068" i="3"/>
  <c r="P1052" i="3"/>
  <c r="P1036" i="3"/>
  <c r="P998" i="3"/>
  <c r="P940" i="3"/>
  <c r="P924" i="3"/>
  <c r="P908" i="3"/>
  <c r="P868" i="3"/>
  <c r="P820" i="3"/>
  <c r="P732" i="3"/>
  <c r="P684" i="3"/>
  <c r="P612" i="3"/>
  <c r="P508" i="3"/>
  <c r="P492" i="3"/>
  <c r="P454" i="3"/>
  <c r="P436" i="3"/>
  <c r="P284" i="3"/>
  <c r="P252" i="3"/>
  <c r="P68" i="3"/>
  <c r="O12" i="3"/>
  <c r="O1428" i="3"/>
  <c r="O1396" i="3"/>
  <c r="O1220" i="3"/>
  <c r="O1084" i="3"/>
  <c r="O1028" i="3"/>
  <c r="O916" i="3"/>
  <c r="O740" i="3"/>
  <c r="O660" i="3"/>
  <c r="O548" i="3"/>
  <c r="O404" i="3"/>
  <c r="O260" i="3"/>
  <c r="O228" i="3"/>
  <c r="O196" i="3"/>
  <c r="O164" i="3"/>
  <c r="O919" i="3"/>
  <c r="O983" i="3"/>
  <c r="O1047" i="3"/>
  <c r="O1111" i="3"/>
  <c r="O1175" i="3"/>
  <c r="O1239" i="3"/>
  <c r="O1303" i="3"/>
  <c r="O1367" i="3"/>
  <c r="P1468" i="3"/>
  <c r="P1348" i="3"/>
  <c r="P1148" i="3"/>
  <c r="P1092" i="3"/>
  <c r="P1022" i="3"/>
  <c r="P996" i="3"/>
  <c r="P980" i="3"/>
  <c r="P894" i="3"/>
  <c r="P780" i="3"/>
  <c r="P764" i="3"/>
  <c r="P748" i="3"/>
  <c r="P644" i="3"/>
  <c r="P628" i="3"/>
  <c r="P540" i="3"/>
  <c r="P452" i="3"/>
  <c r="P396" i="3"/>
  <c r="P340" i="3"/>
  <c r="P268" i="3"/>
  <c r="P212" i="3"/>
  <c r="P156" i="3"/>
  <c r="P28" i="3"/>
  <c r="O1452" i="3"/>
  <c r="O1332" i="3"/>
  <c r="O1300" i="3"/>
  <c r="O1244" i="3"/>
  <c r="O964" i="3"/>
  <c r="O788" i="3"/>
  <c r="O604" i="3"/>
  <c r="O460" i="3"/>
  <c r="O348" i="3"/>
  <c r="O316" i="3"/>
  <c r="O132" i="3"/>
  <c r="O100" i="3"/>
  <c r="O76" i="3"/>
  <c r="O44" i="3"/>
  <c r="O4" i="3"/>
  <c r="O1476" i="3"/>
  <c r="O1420" i="3"/>
  <c r="O1388" i="3"/>
  <c r="O1212" i="3"/>
  <c r="O1132" i="3"/>
  <c r="O1076" i="3"/>
  <c r="O1020" i="3"/>
  <c r="O708" i="3"/>
  <c r="O652" i="3"/>
  <c r="O572" i="3"/>
  <c r="O516" i="3"/>
  <c r="O428" i="3"/>
  <c r="O372" i="3"/>
  <c r="O220" i="3"/>
  <c r="O188" i="3"/>
  <c r="P1262" i="3"/>
  <c r="P1204" i="3"/>
  <c r="P892" i="3"/>
  <c r="P588" i="3"/>
  <c r="P412" i="3"/>
  <c r="P356" i="3"/>
  <c r="P300" i="3"/>
  <c r="P230" i="3"/>
  <c r="P172" i="3"/>
  <c r="P1414" i="3"/>
  <c r="P1316" i="3"/>
  <c r="P1260" i="3"/>
  <c r="P1190" i="3"/>
  <c r="P844" i="3"/>
  <c r="P692" i="3"/>
  <c r="P676" i="3"/>
  <c r="P556" i="3"/>
  <c r="P484" i="3"/>
  <c r="P244" i="3"/>
  <c r="P60" i="3"/>
  <c r="O1356" i="3"/>
  <c r="O1268" i="3"/>
  <c r="O1188" i="3"/>
  <c r="O1156" i="3"/>
  <c r="O1044" i="3"/>
  <c r="O988" i="3"/>
  <c r="O932" i="3"/>
  <c r="O876" i="3"/>
  <c r="O812" i="3"/>
  <c r="O620" i="3"/>
  <c r="O596" i="3"/>
  <c r="O308" i="3"/>
  <c r="O276" i="3"/>
  <c r="O36" i="3"/>
  <c r="P1390" i="3"/>
  <c r="P1492" i="3"/>
  <c r="P1100" i="3"/>
  <c r="P444" i="3"/>
  <c r="P116" i="3"/>
  <c r="O1412" i="3"/>
  <c r="O956" i="3"/>
  <c r="O900" i="3"/>
  <c r="O756" i="3"/>
  <c r="O724" i="3"/>
  <c r="O564" i="3"/>
  <c r="O420" i="3"/>
  <c r="O148" i="3"/>
  <c r="O92" i="3"/>
  <c r="P1372" i="3"/>
  <c r="P1228" i="3"/>
  <c r="P1436" i="3"/>
  <c r="P1086" i="3"/>
  <c r="P790" i="3"/>
  <c r="P636" i="3"/>
  <c r="P532" i="3"/>
  <c r="P388" i="3"/>
  <c r="P332" i="3"/>
  <c r="O476" i="3"/>
  <c r="P1060" i="3"/>
  <c r="P278" i="3"/>
  <c r="P1462" i="3"/>
  <c r="P668" i="3"/>
  <c r="P582" i="3"/>
  <c r="P366" i="3"/>
  <c r="P236" i="3"/>
  <c r="P204" i="3"/>
  <c r="P1325" i="3"/>
  <c r="P1493" i="3"/>
  <c r="P981" i="3"/>
  <c r="P925" i="3"/>
  <c r="P789" i="3"/>
  <c r="P557" i="3"/>
  <c r="O1317" i="3"/>
  <c r="O6" i="3"/>
  <c r="O14" i="3"/>
  <c r="O22" i="3"/>
  <c r="O30" i="3"/>
  <c r="P54" i="3"/>
  <c r="O70" i="3"/>
  <c r="P78" i="3"/>
  <c r="P94" i="3"/>
  <c r="P118" i="3"/>
  <c r="P158" i="3"/>
  <c r="O182" i="3"/>
  <c r="P198" i="3"/>
  <c r="P1453" i="3"/>
  <c r="P1389" i="3"/>
  <c r="P1045" i="3"/>
  <c r="P269" i="3"/>
  <c r="O13" i="3"/>
  <c r="O1205" i="3"/>
  <c r="P669" i="3"/>
  <c r="O1397" i="3"/>
  <c r="O1149" i="3"/>
  <c r="P1301" i="3"/>
  <c r="P1181" i="3"/>
  <c r="P989" i="3"/>
  <c r="P733" i="3"/>
  <c r="P533" i="3"/>
  <c r="O637" i="3"/>
  <c r="P1237" i="3"/>
  <c r="P1245" i="3"/>
  <c r="P1069" i="3"/>
  <c r="P333" i="3"/>
  <c r="P813" i="3"/>
  <c r="O206" i="3"/>
  <c r="P222" i="3"/>
  <c r="O230" i="3"/>
  <c r="P262" i="3"/>
  <c r="O278" i="3"/>
  <c r="P286" i="3"/>
  <c r="O318" i="3"/>
  <c r="P326" i="3"/>
  <c r="P350" i="3"/>
  <c r="O366" i="3"/>
  <c r="P390" i="3"/>
  <c r="P406" i="3"/>
  <c r="O414" i="3"/>
  <c r="P430" i="3"/>
  <c r="O454" i="3"/>
  <c r="P470" i="3"/>
  <c r="O478" i="3"/>
  <c r="O502" i="3"/>
  <c r="P510" i="3"/>
  <c r="O534" i="3"/>
  <c r="P550" i="3"/>
  <c r="O558" i="3"/>
  <c r="O582" i="3"/>
  <c r="P590" i="3"/>
  <c r="O606" i="3"/>
  <c r="P630" i="3"/>
  <c r="P646" i="3"/>
  <c r="P686" i="3"/>
  <c r="O710" i="3"/>
  <c r="P742" i="3"/>
  <c r="P766" i="3"/>
  <c r="P782" i="3"/>
  <c r="O790" i="3"/>
  <c r="O798" i="3"/>
  <c r="O814" i="3"/>
  <c r="P822" i="3"/>
  <c r="O846" i="3"/>
  <c r="P886" i="3"/>
  <c r="O894" i="3"/>
  <c r="O918" i="3"/>
  <c r="P926" i="3"/>
  <c r="O942" i="3"/>
  <c r="P950" i="3"/>
  <c r="P966" i="3"/>
  <c r="P990" i="3"/>
  <c r="O998" i="3"/>
  <c r="O1022" i="3"/>
  <c r="P1030" i="3"/>
  <c r="P1070" i="3"/>
  <c r="O1078" i="3"/>
  <c r="O1086" i="3"/>
  <c r="O1102" i="3"/>
  <c r="P1110" i="3"/>
  <c r="O1126" i="3"/>
  <c r="O1150" i="3"/>
  <c r="O1158" i="3"/>
  <c r="O1166" i="3"/>
  <c r="O1174" i="3"/>
  <c r="O1198" i="3"/>
  <c r="P1206" i="3"/>
  <c r="O1230" i="3"/>
  <c r="O1238" i="3"/>
  <c r="O1246" i="3"/>
  <c r="O1254" i="3"/>
  <c r="O1262" i="3"/>
  <c r="O1270" i="3"/>
  <c r="P1286" i="3"/>
  <c r="P1302" i="3"/>
  <c r="O1310" i="3"/>
  <c r="O1334" i="3"/>
  <c r="P1342" i="3"/>
  <c r="O1350" i="3"/>
  <c r="P1366" i="3"/>
  <c r="O1374" i="3"/>
  <c r="O1390" i="3"/>
  <c r="O1398" i="3"/>
  <c r="P1406" i="3"/>
  <c r="O1414" i="3"/>
  <c r="P1422" i="3"/>
  <c r="O1446" i="3"/>
  <c r="O1454" i="3"/>
  <c r="O1462" i="3"/>
  <c r="O1494" i="3"/>
  <c r="P1502" i="3"/>
  <c r="O1408" i="3"/>
  <c r="O10" i="3"/>
  <c r="O26" i="3"/>
  <c r="O34" i="3"/>
  <c r="O42" i="3"/>
  <c r="O50" i="3"/>
  <c r="O58" i="3"/>
  <c r="O66" i="3"/>
  <c r="O74" i="3"/>
  <c r="O82" i="3"/>
  <c r="O98" i="3"/>
  <c r="O106" i="3"/>
  <c r="O114" i="3"/>
  <c r="O122" i="3"/>
  <c r="O130" i="3"/>
  <c r="O138" i="3"/>
  <c r="O154" i="3"/>
  <c r="O162" i="3"/>
  <c r="O170" i="3"/>
  <c r="O178" i="3"/>
  <c r="O186" i="3"/>
  <c r="O194" i="3"/>
  <c r="O202" i="3"/>
  <c r="O210" i="3"/>
  <c r="O218" i="3"/>
  <c r="O226" i="3"/>
  <c r="O234" i="3"/>
  <c r="O242" i="3"/>
  <c r="O250" i="3"/>
  <c r="O258" i="3"/>
  <c r="O266" i="3"/>
  <c r="O274" i="3"/>
  <c r="O282" i="3"/>
  <c r="O290" i="3"/>
  <c r="O298" i="3"/>
  <c r="O306" i="3"/>
  <c r="O314" i="3"/>
  <c r="O322" i="3"/>
  <c r="O330" i="3"/>
  <c r="O338" i="3"/>
  <c r="O346" i="3"/>
  <c r="O354" i="3"/>
  <c r="O362" i="3"/>
  <c r="O370" i="3"/>
  <c r="O378" i="3"/>
  <c r="O386" i="3"/>
  <c r="O402" i="3"/>
  <c r="O410" i="3"/>
  <c r="O418" i="3"/>
  <c r="O426" i="3"/>
  <c r="O434" i="3"/>
  <c r="O442" i="3"/>
  <c r="O458" i="3"/>
  <c r="O466" i="3"/>
  <c r="O474" i="3"/>
  <c r="O482" i="3"/>
  <c r="O490" i="3"/>
  <c r="O498" i="3"/>
  <c r="O506" i="3"/>
  <c r="P150" i="3"/>
  <c r="O150" i="3"/>
  <c r="O190" i="3"/>
  <c r="P190" i="3"/>
  <c r="O214" i="3"/>
  <c r="P214" i="3"/>
  <c r="O294" i="3"/>
  <c r="P294" i="3"/>
  <c r="P310" i="3"/>
  <c r="O310" i="3"/>
  <c r="O398" i="3"/>
  <c r="P398" i="3"/>
  <c r="P422" i="3"/>
  <c r="O422" i="3"/>
  <c r="O438" i="3"/>
  <c r="P438" i="3"/>
  <c r="P494" i="3"/>
  <c r="O494" i="3"/>
  <c r="O526" i="3"/>
  <c r="P526" i="3"/>
  <c r="P670" i="3"/>
  <c r="O670" i="3"/>
  <c r="O694" i="3"/>
  <c r="P694" i="3"/>
  <c r="P702" i="3"/>
  <c r="O702" i="3"/>
  <c r="P726" i="3"/>
  <c r="O726" i="3"/>
  <c r="O750" i="3"/>
  <c r="P750" i="3"/>
  <c r="O774" i="3"/>
  <c r="P774" i="3"/>
  <c r="O854" i="3"/>
  <c r="P854" i="3"/>
  <c r="O958" i="3"/>
  <c r="P958" i="3"/>
  <c r="O1222" i="3"/>
  <c r="P1222" i="3"/>
  <c r="P1318" i="3"/>
  <c r="O1318" i="3"/>
  <c r="O1430" i="3"/>
  <c r="P1430" i="3"/>
  <c r="P1350" i="3"/>
  <c r="P1174" i="3"/>
  <c r="P1032" i="3"/>
  <c r="P534" i="3"/>
  <c r="P120" i="3"/>
  <c r="P14" i="3"/>
  <c r="P1398" i="3"/>
  <c r="P1310" i="3"/>
  <c r="P1270" i="3"/>
  <c r="P1246" i="3"/>
  <c r="P1224" i="3"/>
  <c r="P1198" i="3"/>
  <c r="P1160" i="3"/>
  <c r="P918" i="3"/>
  <c r="P846" i="3"/>
  <c r="P710" i="3"/>
  <c r="P502" i="3"/>
  <c r="P414" i="3"/>
  <c r="O1302" i="3"/>
  <c r="O966" i="3"/>
  <c r="O630" i="3"/>
  <c r="O550" i="3"/>
  <c r="O470" i="3"/>
  <c r="O198" i="3"/>
  <c r="O46" i="3"/>
  <c r="P46" i="3"/>
  <c r="P86" i="3"/>
  <c r="O86" i="3"/>
  <c r="O110" i="3"/>
  <c r="P110" i="3"/>
  <c r="P142" i="3"/>
  <c r="O142" i="3"/>
  <c r="P174" i="3"/>
  <c r="O174" i="3"/>
  <c r="O334" i="3"/>
  <c r="P334" i="3"/>
  <c r="P374" i="3"/>
  <c r="O374" i="3"/>
  <c r="O518" i="3"/>
  <c r="P518" i="3"/>
  <c r="O542" i="3"/>
  <c r="P542" i="3"/>
  <c r="P622" i="3"/>
  <c r="O622" i="3"/>
  <c r="O838" i="3"/>
  <c r="P838" i="3"/>
  <c r="O974" i="3"/>
  <c r="P974" i="3"/>
  <c r="O1118" i="3"/>
  <c r="P1118" i="3"/>
  <c r="P1134" i="3"/>
  <c r="O1134" i="3"/>
  <c r="O1278" i="3"/>
  <c r="P1278" i="3"/>
  <c r="P1326" i="3"/>
  <c r="O1326" i="3"/>
  <c r="O1382" i="3"/>
  <c r="P1382" i="3"/>
  <c r="O1478" i="3"/>
  <c r="P1478" i="3"/>
  <c r="P1376" i="3"/>
  <c r="O1286" i="3"/>
  <c r="O286" i="3"/>
  <c r="P6" i="3"/>
  <c r="P1494" i="3"/>
  <c r="P1456" i="3"/>
  <c r="P1446" i="3"/>
  <c r="P1374" i="3"/>
  <c r="P1334" i="3"/>
  <c r="P1208" i="3"/>
  <c r="P952" i="3"/>
  <c r="P942" i="3"/>
  <c r="P206" i="3"/>
  <c r="O1406" i="3"/>
  <c r="O1070" i="3"/>
  <c r="O990" i="3"/>
  <c r="O886" i="3"/>
  <c r="O646" i="3"/>
  <c r="O390" i="3"/>
  <c r="O222" i="3"/>
  <c r="O254" i="3"/>
  <c r="P254" i="3"/>
  <c r="P446" i="3"/>
  <c r="O446" i="3"/>
  <c r="P910" i="3"/>
  <c r="O910" i="3"/>
  <c r="P1480" i="3"/>
  <c r="P1158" i="3"/>
  <c r="P814" i="3"/>
  <c r="P798" i="3"/>
  <c r="P606" i="3"/>
  <c r="P464" i="3"/>
  <c r="P38" i="3"/>
  <c r="O38" i="3"/>
  <c r="O62" i="3"/>
  <c r="P62" i="3"/>
  <c r="O134" i="3"/>
  <c r="P134" i="3"/>
  <c r="P238" i="3"/>
  <c r="O238" i="3"/>
  <c r="O302" i="3"/>
  <c r="P302" i="3"/>
  <c r="O342" i="3"/>
  <c r="P342" i="3"/>
  <c r="P566" i="3"/>
  <c r="O566" i="3"/>
  <c r="O662" i="3"/>
  <c r="P662" i="3"/>
  <c r="O734" i="3"/>
  <c r="P734" i="3"/>
  <c r="O758" i="3"/>
  <c r="P758" i="3"/>
  <c r="P806" i="3"/>
  <c r="O806" i="3"/>
  <c r="O830" i="3"/>
  <c r="P830" i="3"/>
  <c r="O862" i="3"/>
  <c r="P862" i="3"/>
  <c r="P878" i="3"/>
  <c r="O878" i="3"/>
  <c r="P902" i="3"/>
  <c r="O902" i="3"/>
  <c r="O934" i="3"/>
  <c r="P934" i="3"/>
  <c r="P982" i="3"/>
  <c r="O982" i="3"/>
  <c r="P1006" i="3"/>
  <c r="O1006" i="3"/>
  <c r="O1046" i="3"/>
  <c r="P1046" i="3"/>
  <c r="P1142" i="3"/>
  <c r="O1142" i="3"/>
  <c r="O1182" i="3"/>
  <c r="P1182" i="3"/>
  <c r="O1214" i="3"/>
  <c r="P1214" i="3"/>
  <c r="O1358" i="3"/>
  <c r="P1358" i="3"/>
  <c r="O1438" i="3"/>
  <c r="P1438" i="3"/>
  <c r="P30" i="3"/>
  <c r="O118" i="3"/>
  <c r="P1464" i="3"/>
  <c r="P1454" i="3"/>
  <c r="P1254" i="3"/>
  <c r="P688" i="3"/>
  <c r="P558" i="3"/>
  <c r="P478" i="3"/>
  <c r="P182" i="3"/>
  <c r="O822" i="3"/>
  <c r="O406" i="3"/>
  <c r="O158" i="3"/>
  <c r="O54" i="3"/>
  <c r="O102" i="3"/>
  <c r="P102" i="3"/>
  <c r="O126" i="3"/>
  <c r="P126" i="3"/>
  <c r="O166" i="3"/>
  <c r="P166" i="3"/>
  <c r="O246" i="3"/>
  <c r="P246" i="3"/>
  <c r="O270" i="3"/>
  <c r="P270" i="3"/>
  <c r="O358" i="3"/>
  <c r="P358" i="3"/>
  <c r="P382" i="3"/>
  <c r="O382" i="3"/>
  <c r="O462" i="3"/>
  <c r="P462" i="3"/>
  <c r="P486" i="3"/>
  <c r="O486" i="3"/>
  <c r="P574" i="3"/>
  <c r="O574" i="3"/>
  <c r="O598" i="3"/>
  <c r="P598" i="3"/>
  <c r="P614" i="3"/>
  <c r="O614" i="3"/>
  <c r="O638" i="3"/>
  <c r="P638" i="3"/>
  <c r="O654" i="3"/>
  <c r="P654" i="3"/>
  <c r="O678" i="3"/>
  <c r="P678" i="3"/>
  <c r="O718" i="3"/>
  <c r="P718" i="3"/>
  <c r="P870" i="3"/>
  <c r="O870" i="3"/>
  <c r="P1014" i="3"/>
  <c r="O1014" i="3"/>
  <c r="O1038" i="3"/>
  <c r="P1038" i="3"/>
  <c r="P1054" i="3"/>
  <c r="O1054" i="3"/>
  <c r="P1062" i="3"/>
  <c r="O1062" i="3"/>
  <c r="P1094" i="3"/>
  <c r="O1094" i="3"/>
  <c r="O1294" i="3"/>
  <c r="P1294" i="3"/>
  <c r="O1470" i="3"/>
  <c r="P1470" i="3"/>
  <c r="P1486" i="3"/>
  <c r="O1486" i="3"/>
  <c r="P1150" i="3"/>
  <c r="P880" i="3"/>
  <c r="O782" i="3"/>
  <c r="P22" i="3"/>
  <c r="P8" i="3"/>
  <c r="P1264" i="3"/>
  <c r="P1230" i="3"/>
  <c r="P1166" i="3"/>
  <c r="P1102" i="3"/>
  <c r="P1078" i="3"/>
  <c r="P824" i="3"/>
  <c r="P318" i="3"/>
  <c r="O1502" i="3"/>
  <c r="O1422" i="3"/>
  <c r="O1342" i="3"/>
  <c r="O742" i="3"/>
  <c r="O430" i="3"/>
  <c r="O326" i="3"/>
  <c r="O78" i="3"/>
  <c r="P1392" i="3"/>
  <c r="P1080" i="3"/>
  <c r="P944" i="3"/>
  <c r="P712" i="3"/>
  <c r="P560" i="3"/>
  <c r="P208" i="3"/>
  <c r="O23" i="3"/>
  <c r="O87" i="3"/>
  <c r="O151" i="3"/>
  <c r="O215" i="3"/>
  <c r="O279" i="3"/>
  <c r="O343" i="3"/>
  <c r="O407" i="3"/>
  <c r="O471" i="3"/>
  <c r="O535" i="3"/>
  <c r="O599" i="3"/>
  <c r="O663" i="3"/>
  <c r="O727" i="3"/>
  <c r="O791" i="3"/>
  <c r="O855" i="3"/>
  <c r="P1136" i="3"/>
  <c r="P1008" i="3"/>
  <c r="P904" i="3"/>
  <c r="P776" i="3"/>
  <c r="P696" i="3"/>
  <c r="P400" i="3"/>
  <c r="O8" i="3"/>
  <c r="O120" i="3"/>
  <c r="O152" i="3"/>
  <c r="O208" i="3"/>
  <c r="O272" i="3"/>
  <c r="O336" i="3"/>
  <c r="O400" i="3"/>
  <c r="O464" i="3"/>
  <c r="O496" i="3"/>
  <c r="O504" i="3"/>
  <c r="O520" i="3"/>
  <c r="O560" i="3"/>
  <c r="O568" i="3"/>
  <c r="O584" i="3"/>
  <c r="O624" i="3"/>
  <c r="O632" i="3"/>
  <c r="O648" i="3"/>
  <c r="O688" i="3"/>
  <c r="O696" i="3"/>
  <c r="O712" i="3"/>
  <c r="O752" i="3"/>
  <c r="O760" i="3"/>
  <c r="O776" i="3"/>
  <c r="O816" i="3"/>
  <c r="O824" i="3"/>
  <c r="O840" i="3"/>
  <c r="O880" i="3"/>
  <c r="O888" i="3"/>
  <c r="O904" i="3"/>
  <c r="O944" i="3"/>
  <c r="O952" i="3"/>
  <c r="O968" i="3"/>
  <c r="O1008" i="3"/>
  <c r="O1016" i="3"/>
  <c r="O1032" i="3"/>
  <c r="O1072" i="3"/>
  <c r="O1080" i="3"/>
  <c r="O1096" i="3"/>
  <c r="O1136" i="3"/>
  <c r="O1144" i="3"/>
  <c r="O1160" i="3"/>
  <c r="O1200" i="3"/>
  <c r="O1208" i="3"/>
  <c r="O1224" i="3"/>
  <c r="O1264" i="3"/>
  <c r="O1272" i="3"/>
  <c r="O1288" i="3"/>
  <c r="O1328" i="3"/>
  <c r="O1336" i="3"/>
  <c r="O1352" i="3"/>
  <c r="O1376" i="3"/>
  <c r="O1392" i="3"/>
  <c r="O1400" i="3"/>
  <c r="P1408" i="3"/>
  <c r="O1416" i="3"/>
  <c r="O1440" i="3"/>
  <c r="O1456" i="3"/>
  <c r="O1464" i="3"/>
  <c r="O1480" i="3"/>
  <c r="O514" i="3"/>
  <c r="O530" i="3"/>
  <c r="O538" i="3"/>
  <c r="O546" i="3"/>
  <c r="O554" i="3"/>
  <c r="O562" i="3"/>
  <c r="O570" i="3"/>
  <c r="O578" i="3"/>
  <c r="O586" i="3"/>
  <c r="O594" i="3"/>
  <c r="O602" i="3"/>
  <c r="O618" i="3"/>
  <c r="O626" i="3"/>
  <c r="O642" i="3"/>
  <c r="O650" i="3"/>
  <c r="O658" i="3"/>
  <c r="O666" i="3"/>
  <c r="O674" i="3"/>
  <c r="O682" i="3"/>
  <c r="O698" i="3"/>
  <c r="O706" i="3"/>
  <c r="O714" i="3"/>
  <c r="O730" i="3"/>
  <c r="O738" i="3"/>
  <c r="O746" i="3"/>
  <c r="P752" i="3"/>
  <c r="P648" i="3"/>
  <c r="P520" i="3"/>
  <c r="P336" i="3"/>
  <c r="P152" i="3"/>
  <c r="P1328" i="3"/>
  <c r="P1144" i="3"/>
  <c r="P1096" i="3"/>
  <c r="P1016" i="3"/>
  <c r="P624" i="3"/>
  <c r="P496" i="3"/>
  <c r="P1072" i="3"/>
  <c r="P888" i="3"/>
  <c r="P840" i="3"/>
  <c r="P760" i="3"/>
  <c r="P272" i="3"/>
  <c r="P1416" i="3"/>
  <c r="P1336" i="3"/>
  <c r="P1200" i="3"/>
  <c r="P968" i="3"/>
  <c r="P816" i="3"/>
  <c r="P632" i="3"/>
  <c r="P584" i="3"/>
  <c r="P504" i="3"/>
  <c r="O754" i="3"/>
  <c r="O762" i="3"/>
  <c r="O770" i="3"/>
  <c r="O786" i="3"/>
  <c r="O794" i="3"/>
  <c r="O802" i="3"/>
  <c r="O810" i="3"/>
  <c r="O818" i="3"/>
  <c r="O826" i="3"/>
  <c r="O834" i="3"/>
  <c r="O842" i="3"/>
  <c r="O850" i="3"/>
  <c r="O858" i="3"/>
  <c r="O866" i="3"/>
  <c r="O874" i="3"/>
  <c r="O882" i="3"/>
  <c r="O898" i="3"/>
  <c r="O906" i="3"/>
  <c r="O914" i="3"/>
  <c r="O922" i="3"/>
  <c r="O930" i="3"/>
  <c r="O938" i="3"/>
  <c r="O946" i="3"/>
  <c r="O954" i="3"/>
  <c r="O970" i="3"/>
  <c r="O978" i="3"/>
  <c r="O986" i="3"/>
  <c r="O994" i="3"/>
  <c r="O1002" i="3"/>
  <c r="O1010" i="3"/>
  <c r="O1026" i="3"/>
  <c r="O1034" i="3"/>
  <c r="O1042" i="3"/>
  <c r="O1050" i="3"/>
  <c r="O1058" i="3"/>
  <c r="O1066" i="3"/>
  <c r="O1074" i="3"/>
  <c r="O1082" i="3"/>
  <c r="O1090" i="3"/>
  <c r="O1098" i="3"/>
  <c r="O1106" i="3"/>
  <c r="O1114" i="3"/>
  <c r="O1122" i="3"/>
  <c r="O1130" i="3"/>
  <c r="O1146" i="3"/>
  <c r="O1154" i="3"/>
  <c r="O1162" i="3"/>
  <c r="O1170" i="3"/>
  <c r="O1178" i="3"/>
  <c r="O1186" i="3"/>
  <c r="O1202" i="3"/>
  <c r="O1210" i="3"/>
  <c r="O1218" i="3"/>
  <c r="O1226" i="3"/>
  <c r="O1234" i="3"/>
  <c r="O1242" i="3"/>
  <c r="O1250" i="3"/>
  <c r="O1258" i="3"/>
  <c r="O1266" i="3"/>
  <c r="O1274" i="3"/>
  <c r="O1282" i="3"/>
  <c r="O1298" i="3"/>
  <c r="O1306" i="3"/>
  <c r="O1314" i="3"/>
  <c r="O1322" i="3"/>
  <c r="O1330" i="3"/>
  <c r="O1338" i="3"/>
  <c r="O1346" i="3"/>
  <c r="O1354" i="3"/>
  <c r="O1362" i="3"/>
  <c r="O1370" i="3"/>
  <c r="O1378" i="3"/>
  <c r="O1386" i="3"/>
  <c r="O1394" i="3"/>
  <c r="O1402" i="3"/>
  <c r="O1410" i="3"/>
  <c r="O1418" i="3"/>
  <c r="O1426" i="3"/>
  <c r="O1442" i="3"/>
  <c r="O1450" i="3"/>
  <c r="O1458" i="3"/>
  <c r="O1474" i="3"/>
  <c r="O1482" i="3"/>
  <c r="O1490" i="3"/>
  <c r="O1498" i="3"/>
  <c r="P5" i="3"/>
  <c r="O5" i="3"/>
  <c r="P29" i="3"/>
  <c r="O29" i="3"/>
  <c r="P37" i="3"/>
  <c r="O37" i="3"/>
  <c r="O45" i="3"/>
  <c r="P45" i="3"/>
  <c r="O53" i="3"/>
  <c r="P53" i="3"/>
  <c r="O61" i="3"/>
  <c r="P61" i="3"/>
  <c r="O69" i="3"/>
  <c r="P69" i="3"/>
  <c r="P77" i="3"/>
  <c r="O77" i="3"/>
  <c r="P85" i="3"/>
  <c r="O85" i="3"/>
  <c r="P101" i="3"/>
  <c r="O101" i="3"/>
  <c r="O109" i="3"/>
  <c r="P109" i="3"/>
  <c r="O125" i="3"/>
  <c r="P125" i="3"/>
  <c r="O133" i="3"/>
  <c r="P133" i="3"/>
  <c r="P141" i="3"/>
  <c r="O141" i="3"/>
  <c r="P149" i="3"/>
  <c r="O149" i="3"/>
  <c r="O157" i="3"/>
  <c r="P157" i="3"/>
  <c r="O165" i="3"/>
  <c r="P165" i="3"/>
  <c r="O173" i="3"/>
  <c r="P173" i="3"/>
  <c r="O181" i="3"/>
  <c r="P181" i="3"/>
  <c r="O197" i="3"/>
  <c r="P197" i="3"/>
  <c r="P213" i="3"/>
  <c r="O213" i="3"/>
  <c r="O221" i="3"/>
  <c r="P221" i="3"/>
  <c r="O229" i="3"/>
  <c r="P229" i="3"/>
  <c r="O237" i="3"/>
  <c r="P237" i="3"/>
  <c r="O253" i="3"/>
  <c r="P253" i="3"/>
  <c r="O261" i="3"/>
  <c r="P261" i="3"/>
  <c r="P277" i="3"/>
  <c r="O277" i="3"/>
  <c r="O285" i="3"/>
  <c r="P285" i="3"/>
  <c r="O293" i="3"/>
  <c r="P293" i="3"/>
  <c r="O301" i="3"/>
  <c r="P301" i="3"/>
  <c r="O309" i="3"/>
  <c r="P309" i="3"/>
  <c r="O325" i="3"/>
  <c r="P325" i="3"/>
  <c r="P341" i="3"/>
  <c r="O341" i="3"/>
  <c r="O349" i="3"/>
  <c r="P349" i="3"/>
  <c r="O357" i="3"/>
  <c r="P357" i="3"/>
  <c r="O365" i="3"/>
  <c r="P365" i="3"/>
  <c r="O381" i="3"/>
  <c r="P381" i="3"/>
  <c r="O389" i="3"/>
  <c r="P389" i="3"/>
  <c r="P405" i="3"/>
  <c r="O405" i="3"/>
  <c r="O413" i="3"/>
  <c r="P413" i="3"/>
  <c r="O421" i="3"/>
  <c r="P421" i="3"/>
  <c r="O429" i="3"/>
  <c r="P429" i="3"/>
  <c r="O437" i="3"/>
  <c r="P437" i="3"/>
  <c r="O445" i="3"/>
  <c r="P445" i="3"/>
  <c r="O453" i="3"/>
  <c r="P453" i="3"/>
  <c r="P469" i="3"/>
  <c r="O469" i="3"/>
  <c r="O477" i="3"/>
  <c r="P477" i="3"/>
  <c r="O485" i="3"/>
  <c r="P485" i="3"/>
  <c r="O493" i="3"/>
  <c r="P493" i="3"/>
  <c r="O501" i="3"/>
  <c r="P501" i="3"/>
  <c r="O509" i="3"/>
  <c r="P509" i="3"/>
  <c r="O517" i="3"/>
  <c r="P517" i="3"/>
  <c r="P525" i="3"/>
  <c r="O525" i="3"/>
  <c r="O565" i="3"/>
  <c r="P565" i="3"/>
  <c r="O573" i="3"/>
  <c r="P573" i="3"/>
  <c r="O581" i="3"/>
  <c r="P581" i="3"/>
  <c r="O589" i="3"/>
  <c r="P589" i="3"/>
  <c r="O613" i="3"/>
  <c r="P613" i="3"/>
  <c r="O629" i="3"/>
  <c r="P629" i="3"/>
  <c r="P645" i="3"/>
  <c r="O645" i="3"/>
  <c r="O653" i="3"/>
  <c r="P653" i="3"/>
  <c r="O677" i="3"/>
  <c r="P677" i="3"/>
  <c r="O693" i="3"/>
  <c r="P693" i="3"/>
  <c r="P701" i="3"/>
  <c r="O701" i="3"/>
  <c r="O717" i="3"/>
  <c r="P717" i="3"/>
  <c r="O741" i="3"/>
  <c r="P741" i="3"/>
  <c r="O757" i="3"/>
  <c r="P757" i="3"/>
  <c r="O765" i="3"/>
  <c r="P765" i="3"/>
  <c r="O773" i="3"/>
  <c r="P773" i="3"/>
  <c r="O781" i="3"/>
  <c r="P781" i="3"/>
  <c r="O805" i="3"/>
  <c r="P805" i="3"/>
  <c r="O829" i="3"/>
  <c r="P829" i="3"/>
  <c r="O837" i="3"/>
  <c r="P837" i="3"/>
  <c r="O845" i="3"/>
  <c r="P845" i="3"/>
  <c r="O869" i="3"/>
  <c r="P869" i="3"/>
  <c r="O885" i="3"/>
  <c r="P885" i="3"/>
  <c r="O893" i="3"/>
  <c r="P893" i="3"/>
  <c r="P901" i="3"/>
  <c r="O901" i="3"/>
  <c r="P909" i="3"/>
  <c r="O909" i="3"/>
  <c r="O933" i="3"/>
  <c r="P933" i="3"/>
  <c r="O949" i="3"/>
  <c r="P949" i="3"/>
  <c r="O957" i="3"/>
  <c r="P957" i="3"/>
  <c r="O965" i="3"/>
  <c r="P965" i="3"/>
  <c r="P973" i="3"/>
  <c r="O973" i="3"/>
  <c r="O997" i="3"/>
  <c r="P997" i="3"/>
  <c r="O1013" i="3"/>
  <c r="P1013" i="3"/>
  <c r="O1021" i="3"/>
  <c r="P1021" i="3"/>
  <c r="P1029" i="3"/>
  <c r="O1029" i="3"/>
  <c r="P1037" i="3"/>
  <c r="O1037" i="3"/>
  <c r="O1077" i="3"/>
  <c r="P1077" i="3"/>
  <c r="O1085" i="3"/>
  <c r="P1085" i="3"/>
  <c r="O1093" i="3"/>
  <c r="P1093" i="3"/>
  <c r="O1101" i="3"/>
  <c r="P1101" i="3"/>
  <c r="O1125" i="3"/>
  <c r="P1125" i="3"/>
  <c r="O1141" i="3"/>
  <c r="P1141" i="3"/>
  <c r="O1157" i="3"/>
  <c r="P1157" i="3"/>
  <c r="O1165" i="3"/>
  <c r="P1165" i="3"/>
  <c r="O1189" i="3"/>
  <c r="P1189" i="3"/>
  <c r="O1213" i="3"/>
  <c r="P1213" i="3"/>
  <c r="O1221" i="3"/>
  <c r="P1221" i="3"/>
  <c r="P1229" i="3"/>
  <c r="O1229" i="3"/>
  <c r="O1253" i="3"/>
  <c r="P1253" i="3"/>
  <c r="O1269" i="3"/>
  <c r="P1269" i="3"/>
  <c r="O1277" i="3"/>
  <c r="P1277" i="3"/>
  <c r="O1285" i="3"/>
  <c r="P1285" i="3"/>
  <c r="O1333" i="3"/>
  <c r="P1333" i="3"/>
  <c r="O1341" i="3"/>
  <c r="P1341" i="3"/>
  <c r="O1357" i="3"/>
  <c r="P1357" i="3"/>
  <c r="O1381" i="3"/>
  <c r="P1381" i="3"/>
  <c r="O1405" i="3"/>
  <c r="P1405" i="3"/>
  <c r="O1421" i="3"/>
  <c r="P1421" i="3"/>
  <c r="O1445" i="3"/>
  <c r="P1445" i="3"/>
  <c r="O1469" i="3"/>
  <c r="P1469" i="3"/>
  <c r="O1485" i="3"/>
  <c r="P1485" i="3"/>
  <c r="P1365" i="3"/>
  <c r="P1133" i="3"/>
  <c r="P877" i="3"/>
  <c r="P621" i="3"/>
  <c r="O709" i="3"/>
  <c r="O317" i="3"/>
  <c r="O16" i="3"/>
  <c r="P16" i="3"/>
  <c r="O24" i="3"/>
  <c r="P24" i="3"/>
  <c r="O32" i="3"/>
  <c r="P32" i="3"/>
  <c r="O40" i="3"/>
  <c r="P40" i="3"/>
  <c r="O48" i="3"/>
  <c r="P48" i="3"/>
  <c r="O56" i="3"/>
  <c r="P56" i="3"/>
  <c r="O64" i="3"/>
  <c r="P64" i="3"/>
  <c r="O72" i="3"/>
  <c r="P72" i="3"/>
  <c r="O80" i="3"/>
  <c r="P80" i="3"/>
  <c r="O88" i="3"/>
  <c r="P88" i="3"/>
  <c r="O96" i="3"/>
  <c r="P96" i="3"/>
  <c r="O104" i="3"/>
  <c r="P104" i="3"/>
  <c r="O112" i="3"/>
  <c r="P112" i="3"/>
  <c r="O128" i="3"/>
  <c r="P128" i="3"/>
  <c r="O136" i="3"/>
  <c r="P136" i="3"/>
  <c r="O144" i="3"/>
  <c r="P144" i="3"/>
  <c r="O160" i="3"/>
  <c r="P160" i="3"/>
  <c r="O168" i="3"/>
  <c r="P168" i="3"/>
  <c r="O176" i="3"/>
  <c r="P176" i="3"/>
  <c r="O184" i="3"/>
  <c r="P184" i="3"/>
  <c r="O192" i="3"/>
  <c r="P192" i="3"/>
  <c r="O200" i="3"/>
  <c r="P200" i="3"/>
  <c r="O216" i="3"/>
  <c r="P216" i="3"/>
  <c r="O224" i="3"/>
  <c r="P224" i="3"/>
  <c r="O232" i="3"/>
  <c r="P232" i="3"/>
  <c r="O240" i="3"/>
  <c r="P240" i="3"/>
  <c r="O248" i="3"/>
  <c r="P248" i="3"/>
  <c r="O256" i="3"/>
  <c r="P256" i="3"/>
  <c r="O264" i="3"/>
  <c r="P264" i="3"/>
  <c r="O280" i="3"/>
  <c r="P280" i="3"/>
  <c r="O288" i="3"/>
  <c r="P288" i="3"/>
  <c r="O296" i="3"/>
  <c r="P296" i="3"/>
  <c r="O304" i="3"/>
  <c r="P304" i="3"/>
  <c r="O312" i="3"/>
  <c r="P312" i="3"/>
  <c r="O320" i="3"/>
  <c r="P320" i="3"/>
  <c r="O328" i="3"/>
  <c r="P328" i="3"/>
  <c r="O344" i="3"/>
  <c r="P344" i="3"/>
  <c r="O352" i="3"/>
  <c r="P352" i="3"/>
  <c r="O360" i="3"/>
  <c r="P360" i="3"/>
  <c r="O368" i="3"/>
  <c r="P368" i="3"/>
  <c r="O376" i="3"/>
  <c r="P376" i="3"/>
  <c r="O384" i="3"/>
  <c r="P384" i="3"/>
  <c r="O392" i="3"/>
  <c r="P392" i="3"/>
  <c r="O408" i="3"/>
  <c r="P408" i="3"/>
  <c r="O416" i="3"/>
  <c r="P416" i="3"/>
  <c r="O424" i="3"/>
  <c r="P424" i="3"/>
  <c r="O432" i="3"/>
  <c r="P432" i="3"/>
  <c r="O440" i="3"/>
  <c r="P440" i="3"/>
  <c r="O448" i="3"/>
  <c r="P448" i="3"/>
  <c r="O456" i="3"/>
  <c r="P456" i="3"/>
  <c r="O472" i="3"/>
  <c r="P472" i="3"/>
  <c r="O480" i="3"/>
  <c r="P480" i="3"/>
  <c r="O488" i="3"/>
  <c r="P488" i="3"/>
  <c r="O512" i="3"/>
  <c r="P512" i="3"/>
  <c r="O528" i="3"/>
  <c r="P528" i="3"/>
  <c r="O536" i="3"/>
  <c r="P536" i="3"/>
  <c r="O544" i="3"/>
  <c r="P544" i="3"/>
  <c r="O552" i="3"/>
  <c r="P552" i="3"/>
  <c r="O576" i="3"/>
  <c r="P576" i="3"/>
  <c r="O592" i="3"/>
  <c r="P592" i="3"/>
  <c r="O600" i="3"/>
  <c r="P600" i="3"/>
  <c r="O608" i="3"/>
  <c r="P608" i="3"/>
  <c r="O616" i="3"/>
  <c r="P616" i="3"/>
  <c r="O640" i="3"/>
  <c r="P640" i="3"/>
  <c r="O656" i="3"/>
  <c r="P656" i="3"/>
  <c r="O664" i="3"/>
  <c r="P664" i="3"/>
  <c r="O672" i="3"/>
  <c r="P672" i="3"/>
  <c r="O680" i="3"/>
  <c r="P680" i="3"/>
  <c r="O704" i="3"/>
  <c r="P704" i="3"/>
  <c r="O720" i="3"/>
  <c r="P720" i="3"/>
  <c r="O728" i="3"/>
  <c r="P728" i="3"/>
  <c r="O736" i="3"/>
  <c r="P736" i="3"/>
  <c r="O744" i="3"/>
  <c r="P744" i="3"/>
  <c r="O768" i="3"/>
  <c r="P768" i="3"/>
  <c r="O784" i="3"/>
  <c r="P784" i="3"/>
  <c r="O792" i="3"/>
  <c r="P792" i="3"/>
  <c r="O800" i="3"/>
  <c r="P800" i="3"/>
  <c r="O808" i="3"/>
  <c r="P808" i="3"/>
  <c r="O832" i="3"/>
  <c r="P832" i="3"/>
  <c r="O848" i="3"/>
  <c r="P848" i="3"/>
  <c r="O856" i="3"/>
  <c r="P856" i="3"/>
  <c r="O864" i="3"/>
  <c r="P864" i="3"/>
  <c r="O872" i="3"/>
  <c r="P872" i="3"/>
  <c r="O896" i="3"/>
  <c r="P896" i="3"/>
  <c r="O912" i="3"/>
  <c r="P912" i="3"/>
  <c r="O920" i="3"/>
  <c r="P920" i="3"/>
  <c r="O928" i="3"/>
  <c r="P928" i="3"/>
  <c r="O936" i="3"/>
  <c r="P936" i="3"/>
  <c r="O960" i="3"/>
  <c r="P960" i="3"/>
  <c r="O976" i="3"/>
  <c r="P976" i="3"/>
  <c r="O984" i="3"/>
  <c r="P984" i="3"/>
  <c r="O992" i="3"/>
  <c r="P992" i="3"/>
  <c r="O1000" i="3"/>
  <c r="P1000" i="3"/>
  <c r="O1024" i="3"/>
  <c r="P1024" i="3"/>
  <c r="O1040" i="3"/>
  <c r="P1040" i="3"/>
  <c r="O1048" i="3"/>
  <c r="P1048" i="3"/>
  <c r="O1056" i="3"/>
  <c r="P1056" i="3"/>
  <c r="O1064" i="3"/>
  <c r="P1064" i="3"/>
  <c r="O1088" i="3"/>
  <c r="P1088" i="3"/>
  <c r="O1104" i="3"/>
  <c r="P1104" i="3"/>
  <c r="O1112" i="3"/>
  <c r="P1112" i="3"/>
  <c r="O1120" i="3"/>
  <c r="P1120" i="3"/>
  <c r="O1128" i="3"/>
  <c r="P1128" i="3"/>
  <c r="O1152" i="3"/>
  <c r="P1152" i="3"/>
  <c r="O1168" i="3"/>
  <c r="P1168" i="3"/>
  <c r="O1176" i="3"/>
  <c r="P1176" i="3"/>
  <c r="O1184" i="3"/>
  <c r="P1184" i="3"/>
  <c r="O1192" i="3"/>
  <c r="P1192" i="3"/>
  <c r="O1216" i="3"/>
  <c r="P1216" i="3"/>
  <c r="O1232" i="3"/>
  <c r="P1232" i="3"/>
  <c r="O1240" i="3"/>
  <c r="P1240" i="3"/>
  <c r="O1248" i="3"/>
  <c r="P1248" i="3"/>
  <c r="O1256" i="3"/>
  <c r="P1256" i="3"/>
  <c r="O1280" i="3"/>
  <c r="P1280" i="3"/>
  <c r="O1296" i="3"/>
  <c r="P1296" i="3"/>
  <c r="O1304" i="3"/>
  <c r="P1304" i="3"/>
  <c r="O1312" i="3"/>
  <c r="P1312" i="3"/>
  <c r="O1320" i="3"/>
  <c r="P1320" i="3"/>
  <c r="O1344" i="3"/>
  <c r="P1344" i="3"/>
  <c r="O1360" i="3"/>
  <c r="P1360" i="3"/>
  <c r="O1368" i="3"/>
  <c r="P1368" i="3"/>
  <c r="O1384" i="3"/>
  <c r="P1384" i="3"/>
  <c r="O1424" i="3"/>
  <c r="P1424" i="3"/>
  <c r="O1432" i="3"/>
  <c r="P1432" i="3"/>
  <c r="O1448" i="3"/>
  <c r="P1448" i="3"/>
  <c r="O1472" i="3"/>
  <c r="P1472" i="3"/>
  <c r="O1488" i="3"/>
  <c r="P1488" i="3"/>
  <c r="O1496" i="3"/>
  <c r="P1496" i="3"/>
  <c r="P21" i="3"/>
  <c r="P1309" i="3"/>
  <c r="P1109" i="3"/>
  <c r="P1053" i="3"/>
  <c r="P853" i="3"/>
  <c r="P797" i="3"/>
  <c r="P597" i="3"/>
  <c r="P541" i="3"/>
  <c r="P461" i="3"/>
  <c r="P205" i="3"/>
  <c r="O1293" i="3"/>
  <c r="O821" i="3"/>
  <c r="P941" i="3"/>
  <c r="P685" i="3"/>
  <c r="O1061" i="3"/>
  <c r="O549" i="3"/>
  <c r="O373" i="3"/>
  <c r="O189" i="3"/>
  <c r="P1373" i="3"/>
  <c r="P1197" i="3"/>
  <c r="P1173" i="3"/>
  <c r="P1117" i="3"/>
  <c r="P917" i="3"/>
  <c r="P861" i="3"/>
  <c r="P661" i="3"/>
  <c r="P605" i="3"/>
  <c r="P397" i="3"/>
  <c r="P117" i="3"/>
  <c r="P93" i="3"/>
  <c r="P1501" i="3"/>
  <c r="P1437" i="3"/>
  <c r="P1477" i="3"/>
  <c r="P1413" i="3"/>
  <c r="P1349" i="3"/>
  <c r="P1261" i="3"/>
  <c r="P1005" i="3"/>
  <c r="P749" i="3"/>
  <c r="O1461" i="3"/>
  <c r="O245" i="3"/>
  <c r="P1482" i="3"/>
  <c r="P1418" i="3"/>
  <c r="P1354" i="3"/>
  <c r="P1290" i="3"/>
  <c r="P1226" i="3"/>
  <c r="P1162" i="3"/>
  <c r="P1098" i="3"/>
  <c r="P1034" i="3"/>
  <c r="P970" i="3"/>
  <c r="P906" i="3"/>
  <c r="P842" i="3"/>
  <c r="P778" i="3"/>
  <c r="P714" i="3"/>
  <c r="P650" i="3"/>
  <c r="P586" i="3"/>
  <c r="P522" i="3"/>
  <c r="P162" i="3"/>
  <c r="P26" i="3"/>
  <c r="P1498" i="3"/>
  <c r="P1434" i="3"/>
  <c r="P1370" i="3"/>
  <c r="P1306" i="3"/>
  <c r="P1242" i="3"/>
  <c r="P1178" i="3"/>
  <c r="P1114" i="3"/>
  <c r="P1050" i="3"/>
  <c r="P986" i="3"/>
  <c r="P922" i="3"/>
  <c r="P858" i="3"/>
  <c r="P794" i="3"/>
  <c r="P730" i="3"/>
  <c r="P666" i="3"/>
  <c r="P602" i="3"/>
  <c r="P538" i="3"/>
  <c r="P1442" i="3"/>
  <c r="P1378" i="3"/>
  <c r="P1314" i="3"/>
  <c r="P1250" i="3"/>
  <c r="P1186" i="3"/>
  <c r="P1122" i="3"/>
  <c r="P1058" i="3"/>
  <c r="P994" i="3"/>
  <c r="P930" i="3"/>
  <c r="P866" i="3"/>
  <c r="P802" i="3"/>
  <c r="P738" i="3"/>
  <c r="P674" i="3"/>
  <c r="P610" i="3"/>
  <c r="P546" i="3"/>
  <c r="P490" i="3"/>
  <c r="P1303" i="3"/>
  <c r="P1258" i="3"/>
  <c r="P1239" i="3"/>
  <c r="P1175" i="3"/>
  <c r="P1130" i="3"/>
  <c r="P1111" i="3"/>
  <c r="P1066" i="3"/>
  <c r="P1047" i="3"/>
  <c r="P1002" i="3"/>
  <c r="P983" i="3"/>
  <c r="P938" i="3"/>
  <c r="P919" i="3"/>
  <c r="P874" i="3"/>
  <c r="P855" i="3"/>
  <c r="P810" i="3"/>
  <c r="P791" i="3"/>
  <c r="P746" i="3"/>
  <c r="P727" i="3"/>
  <c r="P682" i="3"/>
  <c r="P663" i="3"/>
  <c r="P618" i="3"/>
  <c r="P599" i="3"/>
  <c r="P554" i="3"/>
  <c r="P535" i="3"/>
  <c r="P90" i="3"/>
  <c r="P66" i="3"/>
  <c r="P10" i="3"/>
  <c r="P1458" i="3"/>
  <c r="P1394" i="3"/>
  <c r="P1330" i="3"/>
  <c r="P1266" i="3"/>
  <c r="P1202" i="3"/>
  <c r="P1138" i="3"/>
  <c r="P1074" i="3"/>
  <c r="P1010" i="3"/>
  <c r="P946" i="3"/>
  <c r="P882" i="3"/>
  <c r="P818" i="3"/>
  <c r="P754" i="3"/>
  <c r="P690" i="3"/>
  <c r="P626" i="3"/>
  <c r="P562" i="3"/>
  <c r="P498" i="3"/>
  <c r="P458" i="3"/>
  <c r="P394" i="3"/>
  <c r="P330" i="3"/>
  <c r="P266" i="3"/>
  <c r="P202" i="3"/>
  <c r="P138" i="3"/>
  <c r="P74" i="3"/>
  <c r="P466" i="3"/>
  <c r="P402" i="3"/>
  <c r="P338" i="3"/>
  <c r="P274" i="3"/>
  <c r="P210" i="3"/>
  <c r="P146" i="3"/>
  <c r="P82" i="3"/>
  <c r="P98" i="3"/>
  <c r="P34" i="3"/>
  <c r="P471" i="3"/>
  <c r="P426" i="3"/>
  <c r="P407" i="3"/>
  <c r="P362" i="3"/>
  <c r="P343" i="3"/>
  <c r="P298" i="3"/>
  <c r="P279" i="3"/>
  <c r="P234" i="3"/>
  <c r="P215" i="3"/>
  <c r="P170" i="3"/>
  <c r="P151" i="3"/>
  <c r="P106" i="3"/>
  <c r="P87" i="3"/>
  <c r="P42" i="3"/>
  <c r="P178" i="3"/>
  <c r="P114" i="3"/>
  <c r="P50" i="3"/>
  <c r="P442" i="3"/>
  <c r="P378" i="3"/>
  <c r="P314" i="3"/>
  <c r="P250" i="3"/>
  <c r="P186" i="3"/>
  <c r="P122" i="3"/>
  <c r="P58" i="3"/>
  <c r="P1439" i="3"/>
  <c r="P1375" i="3"/>
  <c r="P1311" i="3"/>
  <c r="P1247" i="3"/>
  <c r="P1183" i="3"/>
  <c r="P1119" i="3"/>
  <c r="P1055" i="3"/>
  <c r="P991" i="3"/>
  <c r="P927" i="3"/>
  <c r="P863" i="3"/>
  <c r="P799" i="3"/>
  <c r="P735" i="3"/>
  <c r="P671" i="3"/>
  <c r="P607" i="3"/>
  <c r="P543" i="3"/>
  <c r="P479" i="3"/>
  <c r="P415" i="3"/>
  <c r="P351" i="3"/>
  <c r="P287" i="3"/>
  <c r="P223" i="3"/>
  <c r="P159" i="3"/>
  <c r="P95" i="3"/>
  <c r="P31" i="3"/>
  <c r="O7" i="3"/>
  <c r="O15" i="3"/>
  <c r="P23" i="3"/>
  <c r="O31" i="3"/>
  <c r="O39" i="3"/>
  <c r="O47" i="3"/>
  <c r="O55" i="3"/>
  <c r="O63" i="3"/>
  <c r="O71" i="3"/>
  <c r="O79" i="3"/>
  <c r="O95" i="3"/>
  <c r="O103" i="3"/>
  <c r="O111" i="3"/>
  <c r="O119" i="3"/>
  <c r="O127" i="3"/>
  <c r="O135" i="3"/>
  <c r="O143" i="3"/>
  <c r="O159" i="3"/>
  <c r="O167" i="3"/>
  <c r="O175" i="3"/>
  <c r="O183" i="3"/>
  <c r="O191" i="3"/>
  <c r="O199" i="3"/>
  <c r="O207" i="3"/>
  <c r="O223" i="3"/>
  <c r="O231" i="3"/>
  <c r="O239" i="3"/>
  <c r="O247" i="3"/>
  <c r="O255" i="3"/>
  <c r="O263" i="3"/>
  <c r="O271" i="3"/>
  <c r="O287" i="3"/>
  <c r="O295" i="3"/>
  <c r="O303" i="3"/>
  <c r="O311" i="3"/>
  <c r="O319" i="3"/>
  <c r="O327" i="3"/>
  <c r="O335" i="3"/>
  <c r="O351" i="3"/>
  <c r="O359" i="3"/>
  <c r="O367" i="3"/>
  <c r="O375" i="3"/>
  <c r="O383" i="3"/>
  <c r="O391" i="3"/>
  <c r="O399" i="3"/>
  <c r="O415" i="3"/>
  <c r="O423" i="3"/>
  <c r="O431" i="3"/>
  <c r="O439" i="3"/>
  <c r="O447" i="3"/>
  <c r="O455" i="3"/>
  <c r="O463" i="3"/>
  <c r="O479" i="3"/>
  <c r="O487" i="3"/>
  <c r="O495" i="3"/>
  <c r="O503" i="3"/>
  <c r="O511" i="3"/>
  <c r="O519" i="3"/>
  <c r="O527" i="3"/>
  <c r="O543" i="3"/>
  <c r="O551" i="3"/>
  <c r="O559" i="3"/>
  <c r="O567" i="3"/>
  <c r="O575" i="3"/>
  <c r="O583" i="3"/>
  <c r="O591" i="3"/>
  <c r="O607" i="3"/>
  <c r="O615" i="3"/>
  <c r="O623" i="3"/>
  <c r="O631" i="3"/>
  <c r="O639" i="3"/>
  <c r="O647" i="3"/>
  <c r="O655" i="3"/>
  <c r="O671" i="3"/>
  <c r="O679" i="3"/>
  <c r="O687" i="3"/>
  <c r="O695" i="3"/>
  <c r="O703" i="3"/>
  <c r="O711" i="3"/>
  <c r="O719" i="3"/>
  <c r="O735" i="3"/>
  <c r="P1447" i="3"/>
  <c r="P1383" i="3"/>
  <c r="P1319" i="3"/>
  <c r="P1255" i="3"/>
  <c r="P1191" i="3"/>
  <c r="P1127" i="3"/>
  <c r="P1063" i="3"/>
  <c r="P999" i="3"/>
  <c r="P935" i="3"/>
  <c r="P871" i="3"/>
  <c r="P807" i="3"/>
  <c r="P743" i="3"/>
  <c r="P679" i="3"/>
  <c r="P615" i="3"/>
  <c r="P551" i="3"/>
  <c r="P487" i="3"/>
  <c r="P423" i="3"/>
  <c r="P359" i="3"/>
  <c r="P295" i="3"/>
  <c r="P231" i="3"/>
  <c r="P167" i="3"/>
  <c r="P103" i="3"/>
  <c r="P39" i="3"/>
  <c r="P1455" i="3"/>
  <c r="P1391" i="3"/>
  <c r="P1327" i="3"/>
  <c r="P1263" i="3"/>
  <c r="P1199" i="3"/>
  <c r="P1135" i="3"/>
  <c r="P1071" i="3"/>
  <c r="P1007" i="3"/>
  <c r="P943" i="3"/>
  <c r="P879" i="3"/>
  <c r="P815" i="3"/>
  <c r="P751" i="3"/>
  <c r="P687" i="3"/>
  <c r="P623" i="3"/>
  <c r="P559" i="3"/>
  <c r="P495" i="3"/>
  <c r="P431" i="3"/>
  <c r="P367" i="3"/>
  <c r="P303" i="3"/>
  <c r="P239" i="3"/>
  <c r="P175" i="3"/>
  <c r="P111" i="3"/>
  <c r="P47" i="3"/>
  <c r="P1463" i="3"/>
  <c r="P1399" i="3"/>
  <c r="P1335" i="3"/>
  <c r="P1271" i="3"/>
  <c r="P1207" i="3"/>
  <c r="P1143" i="3"/>
  <c r="P1079" i="3"/>
  <c r="P1015" i="3"/>
  <c r="P951" i="3"/>
  <c r="P887" i="3"/>
  <c r="P823" i="3"/>
  <c r="P759" i="3"/>
  <c r="P695" i="3"/>
  <c r="P631" i="3"/>
  <c r="P567" i="3"/>
  <c r="P503" i="3"/>
  <c r="P439" i="3"/>
  <c r="P375" i="3"/>
  <c r="P311" i="3"/>
  <c r="P247" i="3"/>
  <c r="P183" i="3"/>
  <c r="P119" i="3"/>
  <c r="P55" i="3"/>
  <c r="P1471" i="3"/>
  <c r="P1407" i="3"/>
  <c r="P1343" i="3"/>
  <c r="P1279" i="3"/>
  <c r="P1215" i="3"/>
  <c r="P1151" i="3"/>
  <c r="P1087" i="3"/>
  <c r="P1023" i="3"/>
  <c r="P959" i="3"/>
  <c r="P895" i="3"/>
  <c r="P831" i="3"/>
  <c r="P767" i="3"/>
  <c r="P703" i="3"/>
  <c r="P639" i="3"/>
  <c r="P575" i="3"/>
  <c r="P511" i="3"/>
  <c r="P447" i="3"/>
  <c r="P383" i="3"/>
  <c r="P319" i="3"/>
  <c r="P255" i="3"/>
  <c r="P191" i="3"/>
  <c r="P127" i="3"/>
  <c r="P63" i="3"/>
  <c r="P1479" i="3"/>
  <c r="P1415" i="3"/>
  <c r="P1351" i="3"/>
  <c r="P1287" i="3"/>
  <c r="P1223" i="3"/>
  <c r="P1159" i="3"/>
  <c r="P1095" i="3"/>
  <c r="P1031" i="3"/>
  <c r="P967" i="3"/>
  <c r="P903" i="3"/>
  <c r="P839" i="3"/>
  <c r="P775" i="3"/>
  <c r="P711" i="3"/>
  <c r="P647" i="3"/>
  <c r="P583" i="3"/>
  <c r="P519" i="3"/>
  <c r="P455" i="3"/>
  <c r="P391" i="3"/>
  <c r="P327" i="3"/>
  <c r="P263" i="3"/>
  <c r="P199" i="3"/>
  <c r="P135" i="3"/>
  <c r="P71" i="3"/>
  <c r="P1495" i="3"/>
  <c r="P1487" i="3"/>
  <c r="P1423" i="3"/>
  <c r="P1359" i="3"/>
  <c r="P1295" i="3"/>
  <c r="P1231" i="3"/>
  <c r="P1167" i="3"/>
  <c r="P1103" i="3"/>
  <c r="P1039" i="3"/>
  <c r="P975" i="3"/>
  <c r="P911" i="3"/>
  <c r="P847" i="3"/>
  <c r="P783" i="3"/>
  <c r="P719" i="3"/>
  <c r="P655" i="3"/>
  <c r="P591" i="3"/>
  <c r="P527" i="3"/>
  <c r="P463" i="3"/>
  <c r="P399" i="3"/>
  <c r="P335" i="3"/>
  <c r="P271" i="3"/>
  <c r="P207" i="3"/>
  <c r="P143" i="3"/>
  <c r="P79" i="3"/>
  <c r="O743" i="3"/>
  <c r="O751" i="3"/>
  <c r="O759" i="3"/>
  <c r="O767" i="3"/>
  <c r="O775" i="3"/>
  <c r="O783" i="3"/>
  <c r="O799" i="3"/>
  <c r="O807" i="3"/>
  <c r="O815" i="3"/>
  <c r="O823" i="3"/>
  <c r="O831" i="3"/>
  <c r="O839" i="3"/>
  <c r="O847" i="3"/>
  <c r="O863" i="3"/>
  <c r="O871" i="3"/>
  <c r="O879" i="3"/>
  <c r="O887" i="3"/>
  <c r="O895" i="3"/>
  <c r="O903" i="3"/>
  <c r="O911" i="3"/>
  <c r="O927" i="3"/>
  <c r="O935" i="3"/>
  <c r="O943" i="3"/>
  <c r="O951" i="3"/>
  <c r="O959" i="3"/>
  <c r="O967" i="3"/>
  <c r="O975" i="3"/>
  <c r="O991" i="3"/>
  <c r="O999" i="3"/>
  <c r="O1007" i="3"/>
  <c r="O1015" i="3"/>
  <c r="O1023" i="3"/>
  <c r="O1031" i="3"/>
  <c r="O1039" i="3"/>
  <c r="O1055" i="3"/>
  <c r="O1063" i="3"/>
  <c r="O1071" i="3"/>
  <c r="O1079" i="3"/>
  <c r="O1087" i="3"/>
  <c r="O1095" i="3"/>
  <c r="O1103" i="3"/>
  <c r="O1119" i="3"/>
  <c r="O1127" i="3"/>
  <c r="O1135" i="3"/>
  <c r="O1143" i="3"/>
  <c r="O1151" i="3"/>
  <c r="O1159" i="3"/>
  <c r="O1167" i="3"/>
  <c r="O1183" i="3"/>
  <c r="O1191" i="3"/>
  <c r="O1199" i="3"/>
  <c r="O1207" i="3"/>
  <c r="O1215" i="3"/>
  <c r="O1223" i="3"/>
  <c r="O1231" i="3"/>
  <c r="O1247" i="3"/>
  <c r="O1255" i="3"/>
  <c r="O1263" i="3"/>
  <c r="O1271" i="3"/>
  <c r="O1279" i="3"/>
  <c r="O1287" i="3"/>
  <c r="O1295" i="3"/>
  <c r="O1311" i="3"/>
  <c r="O1319" i="3"/>
  <c r="O1327" i="3"/>
  <c r="O1335" i="3"/>
  <c r="O1343" i="3"/>
  <c r="O1351" i="3"/>
  <c r="O1359" i="3"/>
  <c r="O1375" i="3"/>
  <c r="O1383" i="3"/>
  <c r="O1391" i="3"/>
  <c r="O1399" i="3"/>
  <c r="O1407" i="3"/>
  <c r="O1415" i="3"/>
  <c r="O1423" i="3"/>
  <c r="O1431" i="3"/>
  <c r="O1439" i="3"/>
  <c r="O1447" i="3"/>
  <c r="O1455" i="3"/>
  <c r="O1463" i="3"/>
  <c r="O1471" i="3"/>
  <c r="O1479" i="3"/>
  <c r="O1487" i="3"/>
  <c r="O1495" i="3"/>
  <c r="P1489" i="3"/>
  <c r="P1465" i="3"/>
  <c r="P1441" i="3"/>
  <c r="P1417" i="3"/>
  <c r="P1401" i="3"/>
  <c r="P1377" i="3"/>
  <c r="P1353" i="3"/>
  <c r="P1321" i="3"/>
  <c r="P1273" i="3"/>
  <c r="P1249" i="3"/>
  <c r="P1201" i="3"/>
  <c r="P1177" i="3"/>
  <c r="P1161" i="3"/>
  <c r="P1145" i="3"/>
  <c r="P1121" i="3"/>
  <c r="P1097" i="3"/>
  <c r="P1081" i="3"/>
  <c r="P1065" i="3"/>
  <c r="P1041" i="3"/>
  <c r="P1025" i="3"/>
  <c r="P1001" i="3"/>
  <c r="P977" i="3"/>
  <c r="P953" i="3"/>
  <c r="P937" i="3"/>
  <c r="P921" i="3"/>
  <c r="P905" i="3"/>
  <c r="P889" i="3"/>
  <c r="P865" i="3"/>
  <c r="P841" i="3"/>
  <c r="P825" i="3"/>
  <c r="P809" i="3"/>
  <c r="P793" i="3"/>
  <c r="P769" i="3"/>
  <c r="P753" i="3"/>
  <c r="P737" i="3"/>
  <c r="P697" i="3"/>
  <c r="P681" i="3"/>
  <c r="P657" i="3"/>
  <c r="P641" i="3"/>
  <c r="P625" i="3"/>
  <c r="P601" i="3"/>
  <c r="P585" i="3"/>
  <c r="P569" i="3"/>
  <c r="P553" i="3"/>
  <c r="P537" i="3"/>
  <c r="P513" i="3"/>
  <c r="O65" i="3"/>
  <c r="P65" i="3"/>
  <c r="O177" i="3"/>
  <c r="P177" i="3"/>
  <c r="O217" i="3"/>
  <c r="P217" i="3"/>
  <c r="O297" i="3"/>
  <c r="P297" i="3"/>
  <c r="O321" i="3"/>
  <c r="P321" i="3"/>
  <c r="O329" i="3"/>
  <c r="P329" i="3"/>
  <c r="O353" i="3"/>
  <c r="P353" i="3"/>
  <c r="O393" i="3"/>
  <c r="P393" i="3"/>
  <c r="O417" i="3"/>
  <c r="P417" i="3"/>
  <c r="O433" i="3"/>
  <c r="P433" i="3"/>
  <c r="O449" i="3"/>
  <c r="P449" i="3"/>
  <c r="O473" i="3"/>
  <c r="P473" i="3"/>
  <c r="O505" i="3"/>
  <c r="P505" i="3"/>
  <c r="P1497" i="3"/>
  <c r="P1481" i="3"/>
  <c r="P1473" i="3"/>
  <c r="P1457" i="3"/>
  <c r="P1449" i="3"/>
  <c r="P1433" i="3"/>
  <c r="P1425" i="3"/>
  <c r="P1409" i="3"/>
  <c r="P1393" i="3"/>
  <c r="P1385" i="3"/>
  <c r="P1369" i="3"/>
  <c r="P1361" i="3"/>
  <c r="P1345" i="3"/>
  <c r="P1337" i="3"/>
  <c r="P1329" i="3"/>
  <c r="P1313" i="3"/>
  <c r="P1305" i="3"/>
  <c r="P1289" i="3"/>
  <c r="P1281" i="3"/>
  <c r="P1265" i="3"/>
  <c r="P1257" i="3"/>
  <c r="P1241" i="3"/>
  <c r="P1233" i="3"/>
  <c r="P1217" i="3"/>
  <c r="P1209" i="3"/>
  <c r="P1193" i="3"/>
  <c r="P1185" i="3"/>
  <c r="P1169" i="3"/>
  <c r="P1153" i="3"/>
  <c r="P1137" i="3"/>
  <c r="P1113" i="3"/>
  <c r="P1105" i="3"/>
  <c r="P1089" i="3"/>
  <c r="P1073" i="3"/>
  <c r="P1049" i="3"/>
  <c r="P1033" i="3"/>
  <c r="P1017" i="3"/>
  <c r="P1009" i="3"/>
  <c r="P993" i="3"/>
  <c r="P985" i="3"/>
  <c r="P969" i="3"/>
  <c r="P961" i="3"/>
  <c r="P945" i="3"/>
  <c r="P929" i="3"/>
  <c r="P913" i="3"/>
  <c r="P897" i="3"/>
  <c r="P881" i="3"/>
  <c r="P873" i="3"/>
  <c r="P857" i="3"/>
  <c r="P849" i="3"/>
  <c r="P833" i="3"/>
  <c r="P817" i="3"/>
  <c r="P801" i="3"/>
  <c r="P777" i="3"/>
  <c r="P761" i="3"/>
  <c r="P745" i="3"/>
  <c r="P729" i="3"/>
  <c r="P721" i="3"/>
  <c r="P705" i="3"/>
  <c r="P689" i="3"/>
  <c r="P673" i="3"/>
  <c r="P665" i="3"/>
  <c r="P649" i="3"/>
  <c r="P633" i="3"/>
  <c r="P609" i="3"/>
  <c r="P593" i="3"/>
  <c r="P577" i="3"/>
  <c r="P561" i="3"/>
  <c r="P529" i="3"/>
  <c r="P521" i="3"/>
  <c r="O241" i="3"/>
  <c r="O25" i="3"/>
  <c r="P25" i="3"/>
  <c r="O49" i="3"/>
  <c r="P49" i="3"/>
  <c r="O73" i="3"/>
  <c r="P73" i="3"/>
  <c r="O89" i="3"/>
  <c r="P89" i="3"/>
  <c r="O113" i="3"/>
  <c r="P113" i="3"/>
  <c r="O121" i="3"/>
  <c r="P121" i="3"/>
  <c r="O145" i="3"/>
  <c r="P145" i="3"/>
  <c r="O161" i="3"/>
  <c r="P161" i="3"/>
  <c r="O193" i="3"/>
  <c r="P193" i="3"/>
  <c r="O209" i="3"/>
  <c r="P209" i="3"/>
  <c r="O225" i="3"/>
  <c r="P225" i="3"/>
  <c r="O249" i="3"/>
  <c r="P249" i="3"/>
  <c r="O281" i="3"/>
  <c r="P281" i="3"/>
  <c r="O313" i="3"/>
  <c r="P313" i="3"/>
  <c r="O337" i="3"/>
  <c r="P337" i="3"/>
  <c r="O369" i="3"/>
  <c r="P369" i="3"/>
  <c r="O409" i="3"/>
  <c r="P409" i="3"/>
  <c r="P9" i="3"/>
  <c r="O33" i="3"/>
  <c r="P33" i="3"/>
  <c r="O57" i="3"/>
  <c r="P57" i="3"/>
  <c r="O81" i="3"/>
  <c r="P81" i="3"/>
  <c r="O97" i="3"/>
  <c r="P97" i="3"/>
  <c r="O129" i="3"/>
  <c r="P129" i="3"/>
  <c r="O169" i="3"/>
  <c r="P169" i="3"/>
  <c r="O265" i="3"/>
  <c r="P265" i="3"/>
  <c r="O305" i="3"/>
  <c r="P305" i="3"/>
  <c r="O465" i="3"/>
  <c r="P465" i="3"/>
  <c r="O497" i="3"/>
  <c r="P497" i="3"/>
  <c r="O481" i="3"/>
  <c r="P17" i="3"/>
  <c r="O345" i="3"/>
  <c r="O273" i="3"/>
  <c r="O441" i="3"/>
  <c r="O137" i="3"/>
  <c r="O41" i="3"/>
  <c r="P41" i="3"/>
  <c r="O153" i="3"/>
  <c r="P153" i="3"/>
  <c r="O185" i="3"/>
  <c r="P185" i="3"/>
  <c r="O201" i="3"/>
  <c r="P201" i="3"/>
  <c r="O233" i="3"/>
  <c r="P233" i="3"/>
  <c r="O257" i="3"/>
  <c r="P257" i="3"/>
  <c r="O289" i="3"/>
  <c r="P289" i="3"/>
  <c r="O361" i="3"/>
  <c r="P361" i="3"/>
  <c r="O385" i="3"/>
  <c r="P385" i="3"/>
  <c r="O401" i="3"/>
  <c r="P401" i="3"/>
  <c r="O425" i="3"/>
  <c r="P425" i="3"/>
  <c r="O457" i="3"/>
  <c r="P457" i="3"/>
  <c r="O489" i="3"/>
  <c r="P489" i="3"/>
  <c r="O105" i="3"/>
  <c r="P15" i="3"/>
  <c r="P7" i="3"/>
  <c r="E16" i="3"/>
  <c r="E863" i="3"/>
  <c r="E952" i="3"/>
  <c r="E29" i="3"/>
  <c r="E922" i="3"/>
  <c r="E1252" i="3"/>
  <c r="E919" i="3"/>
  <c r="E666" i="3"/>
  <c r="E34" i="3"/>
  <c r="E1097" i="3"/>
  <c r="E33" i="3"/>
  <c r="E875" i="3"/>
  <c r="E1068" i="3"/>
  <c r="E71" i="3"/>
  <c r="E360" i="3"/>
  <c r="E718" i="3"/>
  <c r="E223" i="3"/>
  <c r="F327" i="3"/>
  <c r="E471" i="3"/>
  <c r="E196" i="3"/>
  <c r="F365" i="3"/>
  <c r="E149" i="3"/>
  <c r="E212" i="3"/>
  <c r="E465" i="3"/>
  <c r="E1342" i="3"/>
  <c r="E1447" i="3"/>
  <c r="E269" i="3"/>
  <c r="E487" i="3"/>
  <c r="E1120" i="3"/>
  <c r="E1450" i="3"/>
  <c r="E73" i="3"/>
  <c r="E965" i="3"/>
  <c r="E137" i="3"/>
  <c r="E111" i="3"/>
  <c r="E794" i="3"/>
  <c r="E851" i="3"/>
  <c r="E894" i="3"/>
  <c r="E176" i="3"/>
  <c r="E635" i="3"/>
  <c r="E509" i="3"/>
  <c r="E85" i="3"/>
  <c r="E662" i="3"/>
  <c r="E79" i="3"/>
  <c r="E150" i="3"/>
  <c r="E517" i="3"/>
  <c r="E596" i="3"/>
  <c r="E3" i="3"/>
  <c r="E1375" i="3"/>
  <c r="E51" i="3"/>
  <c r="E99" i="3"/>
  <c r="E12" i="3"/>
  <c r="E58" i="3"/>
  <c r="E246" i="3"/>
  <c r="E278" i="3"/>
  <c r="F19" i="3"/>
  <c r="E57" i="3"/>
  <c r="E260" i="3"/>
  <c r="E303" i="3"/>
  <c r="F391" i="3"/>
  <c r="E366" i="3"/>
  <c r="E311" i="3"/>
  <c r="E1254" i="3"/>
  <c r="E31" i="3"/>
  <c r="E1013" i="3"/>
  <c r="E574" i="3"/>
  <c r="E188" i="3"/>
  <c r="E1189" i="3"/>
  <c r="E602" i="3"/>
  <c r="E224" i="3"/>
  <c r="E88" i="3"/>
  <c r="E819" i="3"/>
  <c r="E277" i="3"/>
  <c r="E283" i="3"/>
  <c r="E115" i="3"/>
  <c r="E216" i="3"/>
  <c r="E244" i="3"/>
  <c r="E203" i="3"/>
  <c r="E297" i="3"/>
  <c r="E331" i="3"/>
  <c r="E826" i="3"/>
  <c r="E256" i="3"/>
  <c r="E496" i="3"/>
  <c r="E310" i="3"/>
  <c r="E581" i="3"/>
  <c r="E777" i="3"/>
  <c r="E701" i="3"/>
  <c r="E340" i="3"/>
  <c r="E631" i="3"/>
  <c r="E588" i="3"/>
  <c r="E98" i="3"/>
  <c r="E346" i="3"/>
  <c r="E166" i="3"/>
  <c r="E416" i="3"/>
  <c r="E1366" i="3"/>
  <c r="E862" i="3"/>
  <c r="E158" i="3"/>
  <c r="F73" i="3"/>
  <c r="E470" i="3"/>
  <c r="E147" i="3"/>
  <c r="E362" i="3"/>
  <c r="E441" i="3"/>
  <c r="E798" i="3"/>
  <c r="E856" i="3"/>
  <c r="E827" i="3"/>
  <c r="E647" i="3"/>
  <c r="E290" i="3"/>
  <c r="E495" i="3"/>
  <c r="E255" i="3"/>
  <c r="E127" i="3"/>
  <c r="E315" i="3"/>
  <c r="E523" i="3"/>
  <c r="E682" i="3"/>
  <c r="E200" i="3"/>
  <c r="E407" i="3"/>
  <c r="E545" i="3"/>
  <c r="E369" i="3"/>
  <c r="E13" i="3"/>
  <c r="E239" i="3"/>
  <c r="E285" i="3"/>
  <c r="E157" i="3"/>
  <c r="E309" i="3"/>
  <c r="E48" i="3"/>
  <c r="E380" i="3"/>
  <c r="E626" i="3"/>
  <c r="E390" i="3"/>
  <c r="E67" i="3"/>
  <c r="E396" i="3"/>
  <c r="E753" i="3"/>
  <c r="E475" i="3"/>
  <c r="E434" i="3"/>
  <c r="E1005" i="3"/>
  <c r="E518" i="3"/>
  <c r="E418" i="3"/>
  <c r="E7" i="3"/>
  <c r="E439" i="3"/>
  <c r="E591" i="3"/>
  <c r="E112" i="3"/>
  <c r="E486" i="3"/>
  <c r="E577" i="3"/>
  <c r="E365" i="3"/>
  <c r="E590" i="3"/>
  <c r="E966" i="3"/>
  <c r="E280" i="3"/>
  <c r="E432" i="3"/>
  <c r="E2" i="3"/>
  <c r="E402" i="3"/>
  <c r="E53" i="3"/>
  <c r="E512" i="3"/>
  <c r="E562" i="3"/>
  <c r="E287" i="3"/>
  <c r="E525" i="3"/>
  <c r="E296" i="3"/>
  <c r="E344" i="3"/>
  <c r="E987" i="3"/>
  <c r="E463" i="3"/>
  <c r="E580" i="3"/>
  <c r="E253" i="3"/>
  <c r="E1036" i="3"/>
  <c r="E629" i="3"/>
  <c r="F435" i="3"/>
  <c r="E458" i="3"/>
  <c r="E165" i="3"/>
  <c r="E480" i="3"/>
  <c r="E617" i="3"/>
  <c r="E427" i="3"/>
  <c r="E1313" i="3"/>
  <c r="E815" i="3"/>
  <c r="E1145" i="3"/>
  <c r="E314" i="3"/>
  <c r="E32" i="3"/>
  <c r="E215" i="3"/>
  <c r="E556" i="3"/>
  <c r="E201" i="3"/>
  <c r="E623" i="3"/>
  <c r="F555" i="3"/>
  <c r="E610" i="3"/>
  <c r="E6" i="3"/>
  <c r="E388" i="3"/>
  <c r="E64" i="3"/>
  <c r="E757" i="3"/>
  <c r="E836" i="3"/>
  <c r="E412" i="3"/>
  <c r="E1042" i="3"/>
  <c r="E78" i="3"/>
  <c r="E28" i="3"/>
  <c r="E417" i="3"/>
  <c r="E436" i="3"/>
  <c r="E730" i="3"/>
  <c r="E1442" i="3"/>
  <c r="E8" i="3"/>
  <c r="E583" i="3"/>
  <c r="E832" i="3"/>
  <c r="E557" i="3"/>
  <c r="E182" i="3"/>
  <c r="E1193" i="3"/>
  <c r="E25" i="3"/>
  <c r="E30" i="3"/>
  <c r="E42" i="3"/>
  <c r="E56" i="3"/>
  <c r="E361" i="3"/>
  <c r="E96" i="3"/>
  <c r="E838" i="3"/>
  <c r="E220" i="3"/>
  <c r="E355" i="3"/>
  <c r="E675" i="3"/>
  <c r="E630" i="3"/>
  <c r="E637" i="3"/>
  <c r="E218" i="3"/>
  <c r="E1140" i="3"/>
  <c r="E842" i="3"/>
  <c r="E1301" i="3"/>
  <c r="E1356" i="3"/>
  <c r="F216" i="3"/>
  <c r="E134" i="3"/>
  <c r="E652" i="3"/>
  <c r="E720" i="3"/>
  <c r="E885" i="3"/>
  <c r="E835" i="3"/>
  <c r="E1048" i="3"/>
  <c r="F129" i="3"/>
  <c r="E87" i="3"/>
  <c r="E648" i="3"/>
  <c r="E984" i="3"/>
  <c r="E1190" i="3"/>
  <c r="E1304" i="3"/>
  <c r="F237" i="3"/>
  <c r="E747" i="3"/>
  <c r="E312" i="3"/>
  <c r="E130" i="3"/>
  <c r="E743" i="3"/>
  <c r="E1092" i="3"/>
  <c r="E1060" i="3"/>
  <c r="E1407" i="3"/>
  <c r="F204" i="3"/>
  <c r="E38" i="3"/>
  <c r="E435" i="3"/>
  <c r="E686" i="3"/>
  <c r="E553" i="3"/>
  <c r="E811" i="3"/>
  <c r="E1032" i="3"/>
  <c r="E780" i="3"/>
  <c r="E1317" i="3"/>
  <c r="E1461" i="3"/>
  <c r="E419" i="3"/>
  <c r="E138" i="3"/>
  <c r="E376" i="3"/>
  <c r="E941" i="3"/>
  <c r="E865" i="3"/>
  <c r="E1057" i="3"/>
  <c r="E1278" i="3"/>
  <c r="F270" i="3"/>
  <c r="E559" i="3"/>
  <c r="E994" i="3"/>
  <c r="E915" i="3"/>
  <c r="E1148" i="3"/>
  <c r="E1409" i="3"/>
  <c r="F387" i="3"/>
  <c r="E1347" i="3"/>
  <c r="E1434" i="3"/>
  <c r="F215" i="3"/>
  <c r="F104" i="3"/>
  <c r="F483" i="3"/>
  <c r="F536" i="3"/>
  <c r="F731" i="3"/>
  <c r="E554" i="3"/>
  <c r="E665" i="3"/>
  <c r="E534" i="3"/>
  <c r="E171" i="3"/>
  <c r="E615" i="3"/>
  <c r="E282" i="3"/>
  <c r="E693" i="3"/>
  <c r="F646" i="3"/>
  <c r="E587" i="3"/>
  <c r="E467" i="3"/>
  <c r="E116" i="3"/>
  <c r="E300" i="3"/>
  <c r="E145" i="3"/>
  <c r="E508" i="3"/>
  <c r="E692" i="3"/>
  <c r="E154" i="3"/>
  <c r="E199" i="3"/>
  <c r="E526" i="3"/>
  <c r="E109" i="3"/>
  <c r="E899" i="3"/>
  <c r="E1496" i="3"/>
  <c r="E705" i="3"/>
  <c r="E184" i="3"/>
  <c r="E26" i="3"/>
  <c r="E207" i="3"/>
  <c r="E550" i="3"/>
  <c r="E189" i="3"/>
  <c r="E840" i="3"/>
  <c r="F187" i="3"/>
  <c r="E326" i="3"/>
  <c r="E4" i="3"/>
  <c r="E128" i="3"/>
  <c r="E247" i="3"/>
  <c r="E264" i="3"/>
  <c r="E670" i="3"/>
  <c r="E338" i="3"/>
  <c r="E1001" i="3"/>
  <c r="F526" i="3"/>
  <c r="E625" i="3"/>
  <c r="E429" i="3"/>
  <c r="E19" i="3"/>
  <c r="E132" i="3"/>
  <c r="E336" i="3"/>
  <c r="E363" i="3"/>
  <c r="E564" i="3"/>
  <c r="E1266" i="3"/>
  <c r="E320" i="3"/>
  <c r="E289" i="3"/>
  <c r="E608" i="3"/>
  <c r="E644" i="3"/>
  <c r="E197" i="3"/>
  <c r="E1014" i="3"/>
  <c r="E113" i="3"/>
  <c r="E204" i="3"/>
  <c r="E442" i="3"/>
  <c r="E803" i="3"/>
  <c r="E649" i="3"/>
  <c r="E1426" i="3"/>
  <c r="E20" i="3"/>
  <c r="E187" i="3"/>
  <c r="E243" i="3"/>
  <c r="E406" i="3"/>
  <c r="E450" i="3"/>
  <c r="E529" i="3"/>
  <c r="E760" i="3"/>
  <c r="E501" i="3"/>
  <c r="E95" i="3"/>
  <c r="E905" i="3"/>
  <c r="E716" i="3"/>
  <c r="E741" i="3"/>
  <c r="E259" i="3"/>
  <c r="E868" i="3"/>
  <c r="E971" i="3"/>
  <c r="E1383" i="3"/>
  <c r="E1050" i="3"/>
  <c r="F157" i="3"/>
  <c r="E213" i="3"/>
  <c r="E773" i="3"/>
  <c r="E929" i="3"/>
  <c r="E932" i="3"/>
  <c r="E934" i="3"/>
  <c r="E1143" i="3"/>
  <c r="F214" i="3"/>
  <c r="E126" i="3"/>
  <c r="E736" i="3"/>
  <c r="E1063" i="3"/>
  <c r="E1056" i="3"/>
  <c r="E1400" i="3"/>
  <c r="F199" i="3"/>
  <c r="E391" i="3"/>
  <c r="E455" i="3"/>
  <c r="E164" i="3"/>
  <c r="E979" i="3"/>
  <c r="E788" i="3"/>
  <c r="E1146" i="3"/>
  <c r="E1115" i="3"/>
  <c r="F71" i="3"/>
  <c r="E146" i="3"/>
  <c r="E491" i="3"/>
  <c r="E70" i="3"/>
  <c r="E600" i="3"/>
  <c r="E1010" i="3"/>
  <c r="E859" i="3"/>
  <c r="E814" i="3"/>
  <c r="E1414" i="3"/>
  <c r="F20" i="3"/>
  <c r="E392" i="3"/>
  <c r="E193" i="3"/>
  <c r="E542" i="3"/>
  <c r="E988" i="3"/>
  <c r="E910" i="3"/>
  <c r="E1125" i="3"/>
  <c r="E1401" i="3"/>
  <c r="F875" i="3"/>
  <c r="E673" i="3"/>
  <c r="E1085" i="3"/>
  <c r="E960" i="3"/>
  <c r="E1260" i="3"/>
  <c r="E1135" i="3"/>
  <c r="F617" i="3"/>
  <c r="E1422" i="3"/>
  <c r="E1490" i="3"/>
  <c r="F306" i="3"/>
  <c r="F167" i="3"/>
  <c r="F575" i="3"/>
  <c r="F631" i="3"/>
  <c r="F856" i="3"/>
  <c r="E521" i="3"/>
  <c r="E80" i="3"/>
  <c r="E1253" i="3"/>
  <c r="E54" i="3"/>
  <c r="E228" i="3"/>
  <c r="E401" i="3"/>
  <c r="E411" i="3"/>
  <c r="E288" i="3"/>
  <c r="E595" i="3"/>
  <c r="E1006" i="3"/>
  <c r="E927" i="3"/>
  <c r="E1163" i="3"/>
  <c r="E1439" i="3"/>
  <c r="F629" i="3"/>
  <c r="E403" i="3"/>
  <c r="E156" i="3"/>
  <c r="E888" i="3"/>
  <c r="E779" i="3"/>
  <c r="E1117" i="3"/>
  <c r="E1078" i="3"/>
  <c r="F476" i="3"/>
  <c r="E226" i="3"/>
  <c r="E1294" i="3"/>
  <c r="E870" i="3"/>
  <c r="E1325" i="3"/>
  <c r="E1387" i="3"/>
  <c r="F108" i="3"/>
  <c r="E770" i="3"/>
  <c r="E872" i="3"/>
  <c r="E274" i="3"/>
  <c r="E884" i="3"/>
  <c r="E1028" i="3"/>
  <c r="E1410" i="3"/>
  <c r="E1079" i="3"/>
  <c r="F394" i="3"/>
  <c r="E162" i="3"/>
  <c r="E663" i="3"/>
  <c r="E266" i="3"/>
  <c r="E97" i="3"/>
  <c r="E668" i="3"/>
  <c r="E996" i="3"/>
  <c r="E1405" i="3"/>
  <c r="E1318" i="3"/>
  <c r="F523" i="3"/>
  <c r="E552" i="3"/>
  <c r="E466" i="3"/>
  <c r="E633" i="3"/>
  <c r="E824" i="3"/>
  <c r="E1334" i="3"/>
  <c r="E1436" i="3"/>
  <c r="E1403" i="3"/>
  <c r="F700" i="3"/>
  <c r="E710" i="3"/>
  <c r="E925" i="3"/>
  <c r="E756" i="3"/>
  <c r="E1239" i="3"/>
  <c r="E1499" i="3"/>
  <c r="F1452" i="3"/>
  <c r="E1291" i="3"/>
  <c r="E1462" i="3"/>
  <c r="F28" i="3"/>
  <c r="F106" i="3"/>
  <c r="F318" i="3"/>
  <c r="F598" i="3"/>
  <c r="F1289" i="3"/>
  <c r="E572" i="3"/>
  <c r="E921" i="3"/>
  <c r="E490" i="3"/>
  <c r="E497" i="3"/>
  <c r="E1153" i="3"/>
  <c r="E347" i="3"/>
  <c r="E1362" i="3"/>
  <c r="E724" i="3"/>
  <c r="F1057" i="3"/>
  <c r="E37" i="3"/>
  <c r="E737" i="3"/>
  <c r="E308" i="3"/>
  <c r="E1348" i="3"/>
  <c r="E507" i="3"/>
  <c r="E571" i="3"/>
  <c r="E469" i="3"/>
  <c r="E476" i="3"/>
  <c r="E359" i="3"/>
  <c r="E1233" i="3"/>
  <c r="E1274" i="3"/>
  <c r="E1159" i="3"/>
  <c r="F716" i="3"/>
  <c r="E563" i="3"/>
  <c r="E190" i="3"/>
  <c r="E930" i="3"/>
  <c r="E813" i="3"/>
  <c r="E1214" i="3"/>
  <c r="E1262" i="3"/>
  <c r="F205" i="3"/>
  <c r="E267" i="3"/>
  <c r="E879" i="3"/>
  <c r="E1008" i="3"/>
  <c r="E1404" i="3"/>
  <c r="E1059" i="3"/>
  <c r="F269" i="3"/>
  <c r="E307" i="3"/>
  <c r="E119" i="3"/>
  <c r="E339" i="3"/>
  <c r="E931" i="3"/>
  <c r="E855" i="3"/>
  <c r="E1047" i="3"/>
  <c r="E1241" i="3"/>
  <c r="F583" i="3"/>
  <c r="E330" i="3"/>
  <c r="E767" i="3"/>
  <c r="E322" i="3"/>
  <c r="E135" i="3"/>
  <c r="E750" i="3"/>
  <c r="E1162" i="3"/>
  <c r="E1067" i="3"/>
  <c r="E1431" i="3"/>
  <c r="F220" i="3"/>
  <c r="E598" i="3"/>
  <c r="E511" i="3"/>
  <c r="E704" i="3"/>
  <c r="E908" i="3"/>
  <c r="E752" i="3"/>
  <c r="E1192" i="3"/>
  <c r="E1494" i="3"/>
  <c r="F973" i="3"/>
  <c r="E867" i="3"/>
  <c r="E1091" i="3"/>
  <c r="E789" i="3"/>
  <c r="E1336" i="3"/>
  <c r="E1492" i="3"/>
  <c r="F1108" i="3"/>
  <c r="E1373" i="3"/>
  <c r="E1497" i="3"/>
  <c r="F67" i="3"/>
  <c r="F6" i="3"/>
  <c r="F366" i="3"/>
  <c r="F639" i="3"/>
  <c r="F893" i="3"/>
  <c r="E603" i="3"/>
  <c r="E394" i="3"/>
  <c r="E601" i="3"/>
  <c r="E707" i="3"/>
  <c r="E537" i="3"/>
  <c r="E397" i="3"/>
  <c r="E520" i="3"/>
  <c r="E510" i="3"/>
  <c r="E35" i="3"/>
  <c r="E621" i="3"/>
  <c r="E972" i="3"/>
  <c r="E65" i="3"/>
  <c r="E379" i="3"/>
  <c r="E440" i="3"/>
  <c r="E83" i="3"/>
  <c r="E62" i="3"/>
  <c r="E502" i="3"/>
  <c r="E514" i="3"/>
  <c r="E91" i="3"/>
  <c r="E954" i="3"/>
  <c r="E46" i="3"/>
  <c r="E350" i="3"/>
  <c r="E122" i="3"/>
  <c r="E108" i="3"/>
  <c r="E538" i="3"/>
  <c r="E585" i="3"/>
  <c r="E142" i="3"/>
  <c r="E876" i="3"/>
  <c r="E192" i="3"/>
  <c r="E672" i="3"/>
  <c r="E15" i="3"/>
  <c r="E321" i="3"/>
  <c r="E893" i="3"/>
  <c r="E713" i="3"/>
  <c r="E759" i="3"/>
  <c r="E405" i="3"/>
  <c r="E1035" i="3"/>
  <c r="E251" i="3"/>
  <c r="E1326" i="3"/>
  <c r="E484" i="3"/>
  <c r="E55" i="3"/>
  <c r="E219" i="3"/>
  <c r="E566" i="3"/>
  <c r="E217" i="3"/>
  <c r="E696" i="3"/>
  <c r="F154" i="3"/>
  <c r="E449" i="3"/>
  <c r="E479" i="3"/>
  <c r="E430" i="3"/>
  <c r="E535" i="3"/>
  <c r="E148" i="3"/>
  <c r="E1064" i="3"/>
  <c r="E238" i="3"/>
  <c r="E180" i="3"/>
  <c r="E464" i="3"/>
  <c r="E823" i="3"/>
  <c r="E805" i="3"/>
  <c r="E337" i="3"/>
  <c r="E104" i="3"/>
  <c r="F2" i="3"/>
  <c r="E324" i="3"/>
  <c r="E191" i="3"/>
  <c r="E481" i="3"/>
  <c r="E619" i="3"/>
  <c r="E1465" i="3"/>
  <c r="E335" i="3"/>
  <c r="E211" i="3"/>
  <c r="E513" i="3"/>
  <c r="E636" i="3"/>
  <c r="E530" i="3"/>
  <c r="E745" i="3"/>
  <c r="E958" i="3"/>
  <c r="E764" i="3"/>
  <c r="E1261" i="3"/>
  <c r="E1470" i="3"/>
  <c r="F1101" i="3"/>
  <c r="E105" i="3"/>
  <c r="E319" i="3"/>
  <c r="E918" i="3"/>
  <c r="E1448" i="3"/>
  <c r="E1039" i="3"/>
  <c r="E1179" i="3"/>
  <c r="F412" i="3"/>
  <c r="E640" i="3"/>
  <c r="E1018" i="3"/>
  <c r="E939" i="3"/>
  <c r="E1191" i="3"/>
  <c r="E1066" i="3"/>
  <c r="F545" i="3"/>
  <c r="E492" i="3"/>
  <c r="E387" i="3"/>
  <c r="E754" i="3"/>
  <c r="E783" i="3"/>
  <c r="E991" i="3"/>
  <c r="E1309" i="3"/>
  <c r="E1242" i="3"/>
  <c r="F814" i="3"/>
  <c r="E227" i="3"/>
  <c r="E664" i="3"/>
  <c r="E687" i="3"/>
  <c r="E240" i="3"/>
  <c r="E845" i="3"/>
  <c r="E903" i="3"/>
  <c r="E1340" i="3"/>
  <c r="E1424" i="3"/>
  <c r="F302" i="3"/>
  <c r="E181" i="3"/>
  <c r="E732" i="3"/>
  <c r="E762" i="3"/>
  <c r="E909" i="3"/>
  <c r="E866" i="3"/>
  <c r="E1086" i="3"/>
  <c r="F164" i="3"/>
  <c r="E66" i="3"/>
  <c r="E612" i="3"/>
  <c r="E959" i="3"/>
  <c r="E1022" i="3"/>
  <c r="E1240" i="3"/>
  <c r="F522" i="3"/>
  <c r="E1449" i="3"/>
  <c r="E1152" i="3"/>
  <c r="F136" i="3"/>
  <c r="F293" i="3"/>
  <c r="F249" i="3"/>
  <c r="F385" i="3"/>
  <c r="F684" i="3"/>
  <c r="F1486" i="3"/>
  <c r="E117" i="3"/>
  <c r="E151" i="3"/>
  <c r="E702" i="3"/>
  <c r="E175" i="3"/>
  <c r="E681" i="3"/>
  <c r="E140" i="3"/>
  <c r="E570" i="3"/>
  <c r="E50" i="3"/>
  <c r="E833" i="3"/>
  <c r="E356" i="3"/>
  <c r="E712" i="3"/>
  <c r="E531" i="3"/>
  <c r="E549" i="3"/>
  <c r="E17" i="3"/>
  <c r="E261" i="3"/>
  <c r="E474" i="3"/>
  <c r="E641" i="3"/>
  <c r="E695" i="3"/>
  <c r="E343" i="3"/>
  <c r="E793" i="3"/>
  <c r="E519" i="3"/>
  <c r="E304" i="3"/>
  <c r="E302" i="3"/>
  <c r="E746" i="3"/>
  <c r="E703" i="3"/>
  <c r="E738" i="3"/>
  <c r="E372" i="3"/>
  <c r="E898" i="3"/>
  <c r="E45" i="3"/>
  <c r="E907" i="3"/>
  <c r="E118" i="3"/>
  <c r="E766" i="3"/>
  <c r="E103" i="3"/>
  <c r="E325" i="3"/>
  <c r="E342" i="3"/>
  <c r="E541" i="3"/>
  <c r="E1155" i="3"/>
  <c r="E301" i="3"/>
  <c r="F96" i="3"/>
  <c r="E136" i="3"/>
  <c r="E265" i="3"/>
  <c r="E276" i="3"/>
  <c r="E684" i="3"/>
  <c r="E358" i="3"/>
  <c r="E1147" i="3"/>
  <c r="F644" i="3"/>
  <c r="E655" i="3"/>
  <c r="E183" i="3"/>
  <c r="E503" i="3"/>
  <c r="E717" i="3"/>
  <c r="E877" i="3"/>
  <c r="E1300" i="3"/>
  <c r="E41" i="3"/>
  <c r="E237" i="3"/>
  <c r="E650" i="3"/>
  <c r="E205" i="3"/>
  <c r="E725" i="3"/>
  <c r="E60" i="3"/>
  <c r="E27" i="3"/>
  <c r="E141" i="3"/>
  <c r="E40" i="3"/>
  <c r="E305" i="3"/>
  <c r="E676" i="3"/>
  <c r="E214" i="3"/>
  <c r="F1192" i="3"/>
  <c r="E123" i="3"/>
  <c r="E250" i="3"/>
  <c r="E609" i="3"/>
  <c r="E727" i="3"/>
  <c r="E576" i="3"/>
  <c r="E945" i="3"/>
  <c r="E1308" i="3"/>
  <c r="E797" i="3"/>
  <c r="E1371" i="3"/>
  <c r="E1467" i="3"/>
  <c r="E357" i="3"/>
  <c r="E163" i="3"/>
  <c r="E472" i="3"/>
  <c r="E964" i="3"/>
  <c r="E887" i="3"/>
  <c r="E1083" i="3"/>
  <c r="E1331" i="3"/>
  <c r="F625" i="3"/>
  <c r="E733" i="3"/>
  <c r="E1429" i="3"/>
  <c r="E985" i="3"/>
  <c r="E1302" i="3"/>
  <c r="E1195" i="3"/>
  <c r="F712" i="3"/>
  <c r="E540" i="3"/>
  <c r="E445" i="3"/>
  <c r="E613" i="3"/>
  <c r="E816" i="3"/>
  <c r="E1182" i="3"/>
  <c r="E1420" i="3"/>
  <c r="E1368" i="3"/>
  <c r="F861" i="3"/>
  <c r="E268" i="3"/>
  <c r="E782" i="3"/>
  <c r="E951" i="3"/>
  <c r="E279" i="3"/>
  <c r="E889" i="3"/>
  <c r="E1034" i="3"/>
  <c r="E1419" i="3"/>
  <c r="E1087" i="3"/>
  <c r="F859" i="3"/>
  <c r="E229" i="3"/>
  <c r="E61" i="3"/>
  <c r="E607" i="3"/>
  <c r="E953" i="3"/>
  <c r="E1004" i="3"/>
  <c r="E1217" i="3"/>
  <c r="F380" i="3"/>
  <c r="E106" i="3"/>
  <c r="E689" i="3"/>
  <c r="E1007" i="3"/>
  <c r="E1038" i="3"/>
  <c r="E1355" i="3"/>
  <c r="F131" i="3"/>
  <c r="E1170" i="3"/>
  <c r="E1263" i="3"/>
  <c r="F182" i="3"/>
  <c r="F608" i="3"/>
  <c r="F371" i="3"/>
  <c r="F479" i="3"/>
  <c r="F795" i="3"/>
  <c r="F945" i="3"/>
  <c r="E94" i="3"/>
  <c r="E634" i="3"/>
  <c r="E131" i="3"/>
  <c r="E468" i="3"/>
  <c r="E431" i="3"/>
  <c r="E722" i="3"/>
  <c r="E89" i="3"/>
  <c r="E627" i="3"/>
  <c r="E295" i="3"/>
  <c r="E714" i="3"/>
  <c r="E248" i="3"/>
  <c r="E77" i="3"/>
  <c r="E632" i="3"/>
  <c r="E970" i="3"/>
  <c r="E1075" i="3"/>
  <c r="E1275" i="3"/>
  <c r="F41" i="3"/>
  <c r="E527" i="3"/>
  <c r="E433" i="3"/>
  <c r="E1288" i="3"/>
  <c r="E808" i="3"/>
  <c r="E1029" i="3"/>
  <c r="E1392" i="3"/>
  <c r="E1339" i="3"/>
  <c r="F844" i="3"/>
  <c r="E758" i="3"/>
  <c r="E995" i="3"/>
  <c r="E772" i="3"/>
  <c r="E1289" i="3"/>
  <c r="E1482" i="3"/>
  <c r="F1309" i="3"/>
  <c r="E940" i="3"/>
  <c r="E594" i="3"/>
  <c r="E962" i="3"/>
  <c r="E853" i="3"/>
  <c r="E810" i="3"/>
  <c r="E1406" i="3"/>
  <c r="E1502" i="3"/>
  <c r="E721" i="3"/>
  <c r="E614" i="3"/>
  <c r="E443" i="3"/>
  <c r="E323" i="3"/>
  <c r="E661" i="3"/>
  <c r="E1031" i="3"/>
  <c r="E949" i="3"/>
  <c r="E1216" i="3"/>
  <c r="E1088" i="3"/>
  <c r="F342" i="3"/>
  <c r="E493" i="3"/>
  <c r="E173" i="3"/>
  <c r="E1411" i="3"/>
  <c r="E796" i="3"/>
  <c r="E1160" i="3"/>
  <c r="E1158" i="3"/>
  <c r="F225" i="3"/>
  <c r="E210" i="3"/>
  <c r="E1016" i="3"/>
  <c r="E834" i="3"/>
  <c r="E1286" i="3"/>
  <c r="E1337" i="3"/>
  <c r="F538" i="3"/>
  <c r="E1437" i="3"/>
  <c r="E1080" i="3"/>
  <c r="F3" i="3"/>
  <c r="F482" i="3"/>
  <c r="F181" i="3"/>
  <c r="F376" i="3"/>
  <c r="F913" i="3"/>
  <c r="E1472" i="3"/>
  <c r="E169" i="3"/>
  <c r="E1433" i="3"/>
  <c r="E153" i="3"/>
  <c r="E172" i="3"/>
  <c r="E400" i="3"/>
  <c r="E799" i="3"/>
  <c r="E622" i="3"/>
  <c r="E1100" i="3"/>
  <c r="E47" i="3"/>
  <c r="E628" i="3"/>
  <c r="E942" i="3"/>
  <c r="E544" i="3"/>
  <c r="E68" i="3"/>
  <c r="E555" i="3"/>
  <c r="E911" i="3"/>
  <c r="E709" i="3"/>
  <c r="E1019" i="3"/>
  <c r="E1046" i="3"/>
  <c r="E1386" i="3"/>
  <c r="F160" i="3"/>
  <c r="E575" i="3"/>
  <c r="E488" i="3"/>
  <c r="E669" i="3"/>
  <c r="E841" i="3"/>
  <c r="E735" i="3"/>
  <c r="E1141" i="3"/>
  <c r="E1453" i="3"/>
  <c r="F939" i="3"/>
  <c r="E917" i="3"/>
  <c r="E1435" i="3"/>
  <c r="E806" i="3"/>
  <c r="E1399" i="3"/>
  <c r="E1489" i="3"/>
  <c r="E533" i="3"/>
  <c r="E159" i="3"/>
  <c r="E680" i="3"/>
  <c r="E749" i="3"/>
  <c r="E896" i="3"/>
  <c r="E843" i="3"/>
  <c r="E1058" i="3"/>
  <c r="F303" i="3"/>
  <c r="E43" i="3"/>
  <c r="E734" i="3"/>
  <c r="E499" i="3"/>
  <c r="E393" i="3"/>
  <c r="E765" i="3"/>
  <c r="E787" i="3"/>
  <c r="E997" i="3"/>
  <c r="E1335" i="3"/>
  <c r="E1264" i="3"/>
  <c r="F1318" i="3"/>
  <c r="E618" i="3"/>
  <c r="E206" i="3"/>
  <c r="E1000" i="3"/>
  <c r="E829" i="3"/>
  <c r="E1271" i="3"/>
  <c r="E1305" i="3"/>
  <c r="F307" i="3"/>
  <c r="E249" i="3"/>
  <c r="E857" i="3"/>
  <c r="E938" i="3"/>
  <c r="E1369" i="3"/>
  <c r="E1451" i="3"/>
  <c r="F142" i="3"/>
  <c r="E1071" i="3"/>
  <c r="E1167" i="3"/>
  <c r="F304" i="3"/>
  <c r="F116" i="3"/>
  <c r="F411" i="3"/>
  <c r="F520" i="3"/>
  <c r="F632" i="3"/>
  <c r="F77" i="3"/>
  <c r="E522" i="3"/>
  <c r="E385" i="3"/>
  <c r="E426" i="3"/>
  <c r="E152" i="3"/>
  <c r="E968" i="3"/>
  <c r="E861" i="3"/>
  <c r="E804" i="3"/>
  <c r="E775" i="3"/>
  <c r="E1020" i="3"/>
  <c r="E1104" i="3"/>
  <c r="E1384" i="3"/>
  <c r="E1072" i="3"/>
  <c r="E1324" i="3"/>
  <c r="F443" i="3"/>
  <c r="F724" i="3"/>
  <c r="E645" i="3"/>
  <c r="E651" i="3"/>
  <c r="E536" i="3"/>
  <c r="E222" i="3"/>
  <c r="E751" i="3"/>
  <c r="E1215" i="3"/>
  <c r="E975" i="3"/>
  <c r="E854" i="3"/>
  <c r="E768" i="3"/>
  <c r="E1307" i="3"/>
  <c r="E1267" i="3"/>
  <c r="E1379" i="3"/>
  <c r="E1474" i="3"/>
  <c r="F68" i="3"/>
  <c r="F1403" i="3"/>
  <c r="E328" i="3"/>
  <c r="E728" i="3"/>
  <c r="E923" i="3"/>
  <c r="E891" i="3"/>
  <c r="E847" i="3"/>
  <c r="E839" i="3"/>
  <c r="E1043" i="3"/>
  <c r="E1053" i="3"/>
  <c r="E1226" i="3"/>
  <c r="F256" i="3"/>
  <c r="F489" i="3"/>
  <c r="E579" i="3"/>
  <c r="E371" i="3"/>
  <c r="E221" i="3"/>
  <c r="E177" i="3"/>
  <c r="E956" i="3"/>
  <c r="E506" i="3"/>
  <c r="E1025" i="3"/>
  <c r="E974" i="3"/>
  <c r="E943" i="3"/>
  <c r="E897" i="3"/>
  <c r="E967" i="3"/>
  <c r="E1105" i="3"/>
  <c r="E1174" i="3"/>
  <c r="E1367" i="3"/>
  <c r="F289" i="3"/>
  <c r="F484" i="3"/>
  <c r="E208" i="3"/>
  <c r="E161" i="3"/>
  <c r="E306" i="3"/>
  <c r="E408" i="3"/>
  <c r="E546" i="3"/>
  <c r="E477" i="3"/>
  <c r="E457" i="3"/>
  <c r="E168" i="3"/>
  <c r="E624" i="3"/>
  <c r="E1030" i="3"/>
  <c r="E820" i="3"/>
  <c r="E792" i="3"/>
  <c r="E1272" i="3"/>
  <c r="E1154" i="3"/>
  <c r="E1430" i="3"/>
  <c r="E1151" i="3"/>
  <c r="E1382" i="3"/>
  <c r="F97" i="3"/>
  <c r="F808" i="3"/>
  <c r="E698" i="3"/>
  <c r="E699" i="3"/>
  <c r="E558" i="3"/>
  <c r="E245" i="3"/>
  <c r="E844" i="3"/>
  <c r="E852" i="3"/>
  <c r="E1061" i="3"/>
  <c r="E920" i="3"/>
  <c r="E785" i="3"/>
  <c r="E1352" i="3"/>
  <c r="E1327" i="3"/>
  <c r="E1432" i="3"/>
  <c r="E1475" i="3"/>
  <c r="F508" i="3"/>
  <c r="E374" i="3"/>
  <c r="E294" i="3"/>
  <c r="E688" i="3"/>
  <c r="E900" i="3"/>
  <c r="E869" i="3"/>
  <c r="E1168" i="3"/>
  <c r="E822" i="3"/>
  <c r="E1441" i="3"/>
  <c r="E1443" i="3"/>
  <c r="E1134" i="3"/>
  <c r="F55" i="3"/>
  <c r="F233" i="3"/>
  <c r="E1296" i="3"/>
  <c r="E1157" i="3"/>
  <c r="E1445" i="3"/>
  <c r="E1279" i="3"/>
  <c r="F50" i="3"/>
  <c r="F715" i="3"/>
  <c r="F107" i="3"/>
  <c r="F206" i="3"/>
  <c r="F152" i="3"/>
  <c r="F618" i="3"/>
  <c r="F518" i="3"/>
  <c r="F604" i="3"/>
  <c r="F705" i="3"/>
  <c r="F708" i="3"/>
  <c r="F923" i="3"/>
  <c r="E23" i="3"/>
  <c r="E999" i="3"/>
  <c r="E292" i="3"/>
  <c r="E478" i="3"/>
  <c r="E1293" i="3"/>
  <c r="E74" i="3"/>
  <c r="E286" i="3"/>
  <c r="E179" i="3"/>
  <c r="E341" i="3"/>
  <c r="E498" i="3"/>
  <c r="E568" i="3"/>
  <c r="E547" i="3"/>
  <c r="E483" i="3"/>
  <c r="E186" i="3"/>
  <c r="E660" i="3"/>
  <c r="E912" i="3"/>
  <c r="E837" i="3"/>
  <c r="E809" i="3"/>
  <c r="E731" i="3"/>
  <c r="E1199" i="3"/>
  <c r="E1126" i="3"/>
  <c r="E1212" i="3"/>
  <c r="E1440" i="3"/>
  <c r="F112" i="3"/>
  <c r="F918" i="3"/>
  <c r="E771" i="3"/>
  <c r="E761" i="3"/>
  <c r="E582" i="3"/>
  <c r="E263" i="3"/>
  <c r="E993" i="3"/>
  <c r="E873" i="3"/>
  <c r="E1376" i="3"/>
  <c r="E990" i="3"/>
  <c r="E802" i="3"/>
  <c r="E1390" i="3"/>
  <c r="E1378" i="3"/>
  <c r="E1054" i="3"/>
  <c r="E1484" i="3"/>
  <c r="F202" i="3"/>
  <c r="E790" i="3"/>
  <c r="E489" i="3"/>
  <c r="E973" i="3"/>
  <c r="E969" i="3"/>
  <c r="E937" i="3"/>
  <c r="E892" i="3"/>
  <c r="E950" i="3"/>
  <c r="E1099" i="3"/>
  <c r="E1164" i="3"/>
  <c r="E1358" i="3"/>
  <c r="F243" i="3"/>
  <c r="F401" i="3"/>
  <c r="E656" i="3"/>
  <c r="E437" i="3"/>
  <c r="E262" i="3"/>
  <c r="E318" i="3"/>
  <c r="E92" i="3"/>
  <c r="E654" i="3"/>
  <c r="E659" i="3"/>
  <c r="E1026" i="3"/>
  <c r="E989" i="3"/>
  <c r="E944" i="3"/>
  <c r="E1280" i="3"/>
  <c r="E1204" i="3"/>
  <c r="E1311" i="3"/>
  <c r="E1073" i="3"/>
  <c r="F319" i="3"/>
  <c r="F667" i="3"/>
  <c r="E560" i="3"/>
  <c r="E195" i="3"/>
  <c r="E370" i="3"/>
  <c r="E567" i="3"/>
  <c r="E592" i="3"/>
  <c r="E605" i="3"/>
  <c r="E505" i="3"/>
  <c r="E202" i="3"/>
  <c r="E690" i="3"/>
  <c r="E982" i="3"/>
  <c r="E890" i="3"/>
  <c r="E825" i="3"/>
  <c r="E748" i="3"/>
  <c r="E1265" i="3"/>
  <c r="E1184" i="3"/>
  <c r="E1298" i="3"/>
  <c r="E1486" i="3"/>
  <c r="F190" i="3"/>
  <c r="F979" i="3"/>
  <c r="E86" i="3"/>
  <c r="E75" i="3"/>
  <c r="E611" i="3"/>
  <c r="E284" i="3"/>
  <c r="E683" i="3"/>
  <c r="E895" i="3"/>
  <c r="E864" i="3"/>
  <c r="E1098" i="3"/>
  <c r="E818" i="3"/>
  <c r="E1428" i="3"/>
  <c r="E1421" i="3"/>
  <c r="E1122" i="3"/>
  <c r="F30" i="3"/>
  <c r="F70" i="3"/>
  <c r="E742" i="3"/>
  <c r="E399" i="3"/>
  <c r="E807" i="3"/>
  <c r="E947" i="3"/>
  <c r="E914" i="3"/>
  <c r="E871" i="3"/>
  <c r="E882" i="3"/>
  <c r="E1062" i="3"/>
  <c r="E1110" i="3"/>
  <c r="E1284" i="3"/>
  <c r="F169" i="3"/>
  <c r="F322" i="3"/>
  <c r="E1377" i="3"/>
  <c r="E1268" i="3"/>
  <c r="E1065" i="3"/>
  <c r="E1359" i="3"/>
  <c r="F119" i="3"/>
  <c r="F171" i="3"/>
  <c r="F189" i="3"/>
  <c r="F64" i="3"/>
  <c r="F196" i="3"/>
  <c r="F395" i="3"/>
  <c r="F611" i="3"/>
  <c r="F450" i="3"/>
  <c r="F818" i="3"/>
  <c r="F835" i="3"/>
  <c r="F1445" i="3"/>
  <c r="E1015" i="3"/>
  <c r="E125" i="3"/>
  <c r="E100" i="3"/>
  <c r="E646" i="3"/>
  <c r="E313" i="3"/>
  <c r="E708" i="3"/>
  <c r="E913" i="3"/>
  <c r="E880" i="3"/>
  <c r="E1391" i="3"/>
  <c r="E831" i="3"/>
  <c r="E1454" i="3"/>
  <c r="E1044" i="3"/>
  <c r="E1166" i="3"/>
  <c r="F100" i="3"/>
  <c r="F635" i="3"/>
  <c r="E424" i="3"/>
  <c r="E252" i="3"/>
  <c r="E298" i="3"/>
  <c r="E82" i="3"/>
  <c r="E606" i="3"/>
  <c r="E643" i="3"/>
  <c r="E1011" i="3"/>
  <c r="E977" i="3"/>
  <c r="E933" i="3"/>
  <c r="E1118" i="3"/>
  <c r="E1169" i="3"/>
  <c r="E1283" i="3"/>
  <c r="E1464" i="3"/>
  <c r="F209" i="3"/>
  <c r="F463" i="3"/>
  <c r="E160" i="3"/>
  <c r="E604" i="3"/>
  <c r="E935" i="3"/>
  <c r="E812" i="3"/>
  <c r="E784" i="3"/>
  <c r="E1069" i="3"/>
  <c r="E1139" i="3"/>
  <c r="E1413" i="3"/>
  <c r="E1101" i="3"/>
  <c r="E1351" i="3"/>
  <c r="F563" i="3"/>
  <c r="F741" i="3"/>
  <c r="E551" i="3"/>
  <c r="E586" i="3"/>
  <c r="E599" i="3"/>
  <c r="E500" i="3"/>
  <c r="E198" i="3"/>
  <c r="E685" i="3"/>
  <c r="E963" i="3"/>
  <c r="E874" i="3"/>
  <c r="E821" i="3"/>
  <c r="E744" i="3"/>
  <c r="E1257" i="3"/>
  <c r="E1156" i="3"/>
  <c r="E1276" i="3"/>
  <c r="E1481" i="3"/>
  <c r="F8" i="3"/>
  <c r="F966" i="3"/>
  <c r="E565" i="3"/>
  <c r="E329" i="3"/>
  <c r="E539" i="3"/>
  <c r="E316" i="3"/>
  <c r="E167" i="3"/>
  <c r="E129" i="3"/>
  <c r="E700" i="3"/>
  <c r="E352" i="3"/>
  <c r="E755" i="3"/>
  <c r="E936" i="3"/>
  <c r="E901" i="3"/>
  <c r="E860" i="3"/>
  <c r="E848" i="3"/>
  <c r="E1052" i="3"/>
  <c r="E1077" i="3"/>
  <c r="E1256" i="3"/>
  <c r="F141" i="3"/>
  <c r="F786" i="3"/>
  <c r="E454" i="3"/>
  <c r="E270" i="3"/>
  <c r="E334" i="3"/>
  <c r="E101" i="3"/>
  <c r="E667" i="3"/>
  <c r="E677" i="3"/>
  <c r="E1040" i="3"/>
  <c r="E1002" i="3"/>
  <c r="E955" i="3"/>
  <c r="E1033" i="3"/>
  <c r="E1235" i="3"/>
  <c r="E1329" i="3"/>
  <c r="E1103" i="3"/>
  <c r="F556" i="3"/>
  <c r="F507" i="3"/>
  <c r="E144" i="3"/>
  <c r="E846" i="3"/>
  <c r="E786" i="3"/>
  <c r="E795" i="3"/>
  <c r="E1315" i="3"/>
  <c r="E1009" i="3"/>
  <c r="E1090" i="3"/>
  <c r="E1354" i="3"/>
  <c r="E1459" i="3"/>
  <c r="E1285" i="3"/>
  <c r="F290" i="3"/>
  <c r="F922" i="3"/>
  <c r="E1282" i="3"/>
  <c r="E1094" i="3"/>
  <c r="E1338" i="3"/>
  <c r="E1478" i="3"/>
  <c r="F224" i="3"/>
  <c r="F530" i="3"/>
  <c r="F173" i="3"/>
  <c r="F294" i="3"/>
  <c r="F656" i="3"/>
  <c r="F717" i="3"/>
  <c r="F577" i="3"/>
  <c r="F338" i="3"/>
  <c r="F1022" i="3"/>
  <c r="F784" i="3"/>
  <c r="F1379" i="3"/>
  <c r="E242" i="3"/>
  <c r="E597" i="3"/>
  <c r="E258" i="3"/>
  <c r="E1081" i="3"/>
  <c r="F193" i="3"/>
  <c r="E107" i="3"/>
  <c r="E578" i="3"/>
  <c r="E395" i="3"/>
  <c r="E561" i="3"/>
  <c r="E349" i="3"/>
  <c r="E209" i="3"/>
  <c r="E155" i="3"/>
  <c r="E763" i="3"/>
  <c r="E448" i="3"/>
  <c r="E883" i="3"/>
  <c r="E957" i="3"/>
  <c r="E926" i="3"/>
  <c r="E881" i="3"/>
  <c r="E916" i="3"/>
  <c r="E1076" i="3"/>
  <c r="E1130" i="3"/>
  <c r="E1319" i="3"/>
  <c r="F208" i="3"/>
  <c r="F525" i="3"/>
  <c r="E482" i="3"/>
  <c r="E293" i="3"/>
  <c r="E364" i="3"/>
  <c r="E121" i="3"/>
  <c r="E719" i="3"/>
  <c r="E715" i="3"/>
  <c r="E1370" i="3"/>
  <c r="E1027" i="3"/>
  <c r="E978" i="3"/>
  <c r="E1051" i="3"/>
  <c r="E1281" i="3"/>
  <c r="E1393" i="3"/>
  <c r="E1180" i="3"/>
  <c r="F178" i="3"/>
  <c r="F827" i="3"/>
  <c r="E194" i="3"/>
  <c r="E674" i="3"/>
  <c r="E946" i="3"/>
  <c r="E858" i="3"/>
  <c r="E817" i="3"/>
  <c r="E739" i="3"/>
  <c r="E1246" i="3"/>
  <c r="E1149" i="3"/>
  <c r="E1269" i="3"/>
  <c r="E1477" i="3"/>
  <c r="F312" i="3"/>
  <c r="F910" i="3"/>
  <c r="E657" i="3"/>
  <c r="E671" i="3"/>
  <c r="E678" i="3"/>
  <c r="E548" i="3"/>
  <c r="E233" i="3"/>
  <c r="E778" i="3"/>
  <c r="E1360" i="3"/>
  <c r="E1012" i="3"/>
  <c r="E886" i="3"/>
  <c r="E776" i="3"/>
  <c r="E1333" i="3"/>
  <c r="E1297" i="3"/>
  <c r="E1415" i="3"/>
  <c r="E1500" i="3"/>
  <c r="F185" i="3"/>
  <c r="F1252" i="3"/>
  <c r="E24" i="3"/>
  <c r="E485" i="3"/>
  <c r="E584" i="3"/>
  <c r="E384" i="3"/>
  <c r="E225" i="3"/>
  <c r="E185" i="3"/>
  <c r="E1124" i="3"/>
  <c r="E524" i="3"/>
  <c r="E1353" i="3"/>
  <c r="E983" i="3"/>
  <c r="E948" i="3"/>
  <c r="E904" i="3"/>
  <c r="E986" i="3"/>
  <c r="E1119" i="3"/>
  <c r="E1211" i="3"/>
  <c r="E1395" i="3"/>
  <c r="F297" i="3"/>
  <c r="F585" i="3"/>
  <c r="E504" i="3"/>
  <c r="E327" i="3"/>
  <c r="E398" i="3"/>
  <c r="E139" i="3"/>
  <c r="E774" i="3"/>
  <c r="E769" i="3"/>
  <c r="E791" i="3"/>
  <c r="E1259" i="3"/>
  <c r="E1003" i="3"/>
  <c r="E1074" i="3"/>
  <c r="E1341" i="3"/>
  <c r="E1438" i="3"/>
  <c r="E1270" i="3"/>
  <c r="F267" i="3"/>
  <c r="F782" i="3"/>
  <c r="E178" i="3"/>
  <c r="E639" i="3"/>
  <c r="E878" i="3"/>
  <c r="E828" i="3"/>
  <c r="E800" i="3"/>
  <c r="E1397" i="3"/>
  <c r="E1181" i="3"/>
  <c r="E1457" i="3"/>
  <c r="E1165" i="3"/>
  <c r="E1417" i="3"/>
  <c r="F32" i="3"/>
  <c r="F832" i="3"/>
  <c r="E1365" i="3"/>
  <c r="E1187" i="3"/>
  <c r="E1416" i="3"/>
  <c r="E1471" i="3"/>
  <c r="F360" i="3"/>
  <c r="F159" i="3"/>
  <c r="F300" i="3"/>
  <c r="F455" i="3"/>
  <c r="F60" i="3"/>
  <c r="F266" i="3"/>
  <c r="F744" i="3"/>
  <c r="F481" i="3"/>
  <c r="F772" i="3"/>
  <c r="F813" i="3"/>
  <c r="F1498" i="3"/>
  <c r="F1181" i="3"/>
  <c r="F23" i="3"/>
  <c r="F325" i="3"/>
  <c r="F78" i="3"/>
  <c r="F276" i="3"/>
  <c r="F29" i="3"/>
  <c r="F488" i="3"/>
  <c r="F396" i="3"/>
  <c r="F535" i="3"/>
  <c r="F648" i="3"/>
  <c r="F650" i="3"/>
  <c r="F1087" i="3"/>
  <c r="F1255" i="3"/>
  <c r="E1316" i="3"/>
  <c r="E1185" i="3"/>
  <c r="E1041" i="3"/>
  <c r="E1306" i="3"/>
  <c r="F75" i="3"/>
  <c r="F144" i="3"/>
  <c r="F122" i="3"/>
  <c r="F25" i="3"/>
  <c r="F168" i="3"/>
  <c r="F734" i="3"/>
  <c r="F550" i="3"/>
  <c r="F665" i="3"/>
  <c r="F752" i="3"/>
  <c r="F759" i="3"/>
  <c r="F999" i="3"/>
  <c r="F1168" i="3"/>
  <c r="E1255" i="3"/>
  <c r="E1452" i="3"/>
  <c r="E1488" i="3"/>
  <c r="F495" i="3"/>
  <c r="F4" i="3"/>
  <c r="F390" i="3"/>
  <c r="F637" i="3"/>
  <c r="F105" i="3"/>
  <c r="F292" i="3"/>
  <c r="F346" i="3"/>
  <c r="F546" i="3"/>
  <c r="F820" i="3"/>
  <c r="F747" i="3"/>
  <c r="F1253" i="3"/>
  <c r="E257" i="3"/>
  <c r="F177" i="3"/>
  <c r="F255" i="3"/>
  <c r="F514" i="3"/>
  <c r="F640" i="3"/>
  <c r="F542" i="3"/>
  <c r="F892" i="3"/>
  <c r="F869" i="3"/>
  <c r="F990" i="3"/>
  <c r="F1377" i="3"/>
  <c r="E1349" i="3"/>
  <c r="F277" i="3"/>
  <c r="F95" i="3"/>
  <c r="F228" i="3"/>
  <c r="F466" i="3"/>
  <c r="F791" i="3"/>
  <c r="F512" i="3"/>
  <c r="F1012" i="3"/>
  <c r="F703" i="3"/>
  <c r="F1290" i="3"/>
  <c r="F1071" i="3"/>
  <c r="E1493" i="3"/>
  <c r="F284" i="3"/>
  <c r="F62" i="3"/>
  <c r="F92" i="3"/>
  <c r="F191" i="3"/>
  <c r="F309" i="3"/>
  <c r="F615" i="3"/>
  <c r="F628" i="3"/>
  <c r="F916" i="3"/>
  <c r="F854" i="3"/>
  <c r="F434" i="3"/>
  <c r="F347" i="3"/>
  <c r="F874" i="3"/>
  <c r="F836" i="3"/>
  <c r="F1419" i="3"/>
  <c r="F1094" i="3"/>
  <c r="F1281" i="3"/>
  <c r="F1114" i="3"/>
  <c r="F1128" i="3"/>
  <c r="F1448" i="3"/>
  <c r="F1201" i="3"/>
  <c r="E415" i="3"/>
  <c r="F963" i="3"/>
  <c r="F1067" i="3"/>
  <c r="F1032" i="3"/>
  <c r="F1133" i="3"/>
  <c r="F1244" i="3"/>
  <c r="F727" i="3"/>
  <c r="F746" i="3"/>
  <c r="F885" i="3"/>
  <c r="F1081" i="3"/>
  <c r="F1443" i="3"/>
  <c r="E460" i="3"/>
  <c r="F601" i="3"/>
  <c r="F328" i="3"/>
  <c r="F750" i="3"/>
  <c r="F1008" i="3"/>
  <c r="F1217" i="3"/>
  <c r="E573" i="3"/>
  <c r="F1355" i="3"/>
  <c r="E679" i="3"/>
  <c r="F1026" i="3"/>
  <c r="F1054" i="3"/>
  <c r="E174" i="3"/>
  <c r="F991" i="3"/>
  <c r="E333" i="3"/>
  <c r="F569" i="3"/>
  <c r="F1248" i="3"/>
  <c r="F1479" i="3"/>
  <c r="F1475" i="3"/>
  <c r="F1332" i="3"/>
  <c r="E93" i="3"/>
  <c r="F924" i="3"/>
  <c r="F756" i="3"/>
  <c r="F1432" i="3"/>
  <c r="F1409" i="3"/>
  <c r="E1321" i="3"/>
  <c r="E421" i="3"/>
  <c r="F389" i="3"/>
  <c r="F1223" i="3"/>
  <c r="E383" i="3"/>
  <c r="F1091" i="3"/>
  <c r="F65" i="3"/>
  <c r="F137" i="3"/>
  <c r="F117" i="3"/>
  <c r="F13" i="3"/>
  <c r="F162" i="3"/>
  <c r="F654" i="3"/>
  <c r="F541" i="3"/>
  <c r="F647" i="3"/>
  <c r="F743" i="3"/>
  <c r="F735" i="3"/>
  <c r="F958" i="3"/>
  <c r="F1135" i="3"/>
  <c r="E1398" i="3"/>
  <c r="E1290" i="3"/>
  <c r="E1095" i="3"/>
  <c r="E1389" i="3"/>
  <c r="F197" i="3"/>
  <c r="F188" i="3"/>
  <c r="F238" i="3"/>
  <c r="F79" i="3"/>
  <c r="F212" i="3"/>
  <c r="F433" i="3"/>
  <c r="F677" i="3"/>
  <c r="F480" i="3"/>
  <c r="F853" i="3"/>
  <c r="F914" i="3"/>
  <c r="F1000" i="3"/>
  <c r="F1481" i="3"/>
  <c r="E1330" i="3"/>
  <c r="E1123" i="3"/>
  <c r="E1480" i="3"/>
  <c r="F126" i="3"/>
  <c r="F47" i="3"/>
  <c r="F16" i="3"/>
  <c r="F166" i="3"/>
  <c r="F295" i="3"/>
  <c r="F340" i="3"/>
  <c r="F441" i="3"/>
  <c r="F751" i="3"/>
  <c r="F610" i="3"/>
  <c r="F862" i="3"/>
  <c r="F1031" i="3"/>
  <c r="F133" i="3"/>
  <c r="F261" i="3"/>
  <c r="F393" i="3"/>
  <c r="F26" i="3"/>
  <c r="F248" i="3"/>
  <c r="F645" i="3"/>
  <c r="F398" i="3"/>
  <c r="F739" i="3"/>
  <c r="F867" i="3"/>
  <c r="F1356" i="3"/>
  <c r="E272" i="3"/>
  <c r="F502" i="3"/>
  <c r="F134" i="3"/>
  <c r="F323" i="3"/>
  <c r="F549" i="3"/>
  <c r="F458" i="3"/>
  <c r="F605" i="3"/>
  <c r="F780" i="3"/>
  <c r="F812" i="3"/>
  <c r="F1199" i="3"/>
  <c r="F1466" i="3"/>
  <c r="F40" i="3"/>
  <c r="F591" i="3"/>
  <c r="F103" i="3"/>
  <c r="F195" i="3"/>
  <c r="F331" i="3"/>
  <c r="F361" i="3"/>
  <c r="F464" i="3"/>
  <c r="F811" i="3"/>
  <c r="F1384" i="3"/>
  <c r="F496" i="3"/>
  <c r="F498" i="3"/>
  <c r="F537" i="3"/>
  <c r="F763" i="3"/>
  <c r="F693" i="3"/>
  <c r="F1159" i="3"/>
  <c r="F1215" i="3"/>
  <c r="F1483" i="3"/>
  <c r="E1049" i="3"/>
  <c r="F413" i="3"/>
  <c r="F1299" i="3"/>
  <c r="F1131" i="3"/>
  <c r="F1183" i="3"/>
  <c r="F868" i="3"/>
  <c r="F1406" i="3"/>
  <c r="F1246" i="3"/>
  <c r="F1345" i="3"/>
  <c r="F232" i="3"/>
  <c r="F863" i="3"/>
  <c r="F927" i="3"/>
  <c r="F1294" i="3"/>
  <c r="F1324" i="3"/>
  <c r="E1202" i="3"/>
  <c r="E830" i="3"/>
  <c r="F258" i="3"/>
  <c r="F500" i="3"/>
  <c r="F840" i="3"/>
  <c r="F936" i="3"/>
  <c r="F1436" i="3"/>
  <c r="E1402" i="3"/>
  <c r="F1001" i="3"/>
  <c r="E1172" i="3"/>
  <c r="F1426" i="3"/>
  <c r="F1304" i="3"/>
  <c r="E72" i="3"/>
  <c r="F1269" i="3"/>
  <c r="E413" i="3"/>
  <c r="F1218" i="3"/>
  <c r="F948" i="3"/>
  <c r="F1080" i="3"/>
  <c r="F1033" i="3"/>
  <c r="E373" i="3"/>
  <c r="F5" i="3"/>
  <c r="F419" i="3"/>
  <c r="F1214" i="3"/>
  <c r="F1003" i="3"/>
  <c r="F1189" i="3"/>
  <c r="F1222" i="3"/>
  <c r="E281" i="3"/>
  <c r="F409" i="3"/>
  <c r="E593" i="3"/>
  <c r="E1220" i="3"/>
  <c r="F163" i="3"/>
  <c r="F183" i="3"/>
  <c r="F221" i="3"/>
  <c r="F74" i="3"/>
  <c r="F207" i="3"/>
  <c r="F426" i="3"/>
  <c r="F643" i="3"/>
  <c r="F475" i="3"/>
  <c r="F842" i="3"/>
  <c r="F871" i="3"/>
  <c r="F959" i="3"/>
  <c r="F1454" i="3"/>
  <c r="E1106" i="3"/>
  <c r="E1372" i="3"/>
  <c r="E1188" i="3"/>
  <c r="E1468" i="3"/>
  <c r="F153" i="3"/>
  <c r="F251" i="3"/>
  <c r="F364" i="3"/>
  <c r="F118" i="3"/>
  <c r="F288" i="3"/>
  <c r="F509" i="3"/>
  <c r="F429" i="3"/>
  <c r="F570" i="3"/>
  <c r="F728" i="3"/>
  <c r="F778" i="3"/>
  <c r="F954" i="3"/>
  <c r="F1125" i="3"/>
  <c r="E1408" i="3"/>
  <c r="E1230" i="3"/>
  <c r="F7" i="3"/>
  <c r="F418" i="3"/>
  <c r="F88" i="3"/>
  <c r="F145" i="3"/>
  <c r="F54" i="3"/>
  <c r="F548" i="3"/>
  <c r="F448" i="3"/>
  <c r="F560" i="3"/>
  <c r="F662" i="3"/>
  <c r="F664" i="3"/>
  <c r="F1301" i="3"/>
  <c r="F1330" i="3"/>
  <c r="F12" i="3"/>
  <c r="F403" i="3"/>
  <c r="F819" i="3"/>
  <c r="F115" i="3"/>
  <c r="F301" i="3"/>
  <c r="F352" i="3"/>
  <c r="F554" i="3"/>
  <c r="F839" i="3"/>
  <c r="F765" i="3"/>
  <c r="F1283" i="3"/>
  <c r="F84" i="3"/>
  <c r="F245" i="3"/>
  <c r="F263" i="3"/>
  <c r="F547" i="3"/>
  <c r="F675" i="3"/>
  <c r="F551" i="3"/>
  <c r="F324" i="3"/>
  <c r="F890" i="3"/>
  <c r="F1254" i="3"/>
  <c r="F882" i="3"/>
  <c r="E1176" i="3"/>
  <c r="F109" i="3"/>
  <c r="F165" i="3"/>
  <c r="F172" i="3"/>
  <c r="F58" i="3"/>
  <c r="F45" i="3"/>
  <c r="F594" i="3"/>
  <c r="F588" i="3"/>
  <c r="F845" i="3"/>
  <c r="F1100" i="3"/>
  <c r="F659" i="3"/>
  <c r="F663" i="3"/>
  <c r="F606" i="3"/>
  <c r="F937" i="3"/>
  <c r="F770" i="3"/>
  <c r="F1184" i="3"/>
  <c r="F1440" i="3"/>
  <c r="F1018" i="3"/>
  <c r="E133" i="3"/>
  <c r="F1423" i="3"/>
  <c r="F1492" i="3"/>
  <c r="E1243" i="3"/>
  <c r="F90" i="3"/>
  <c r="F1074" i="3"/>
  <c r="F951" i="3"/>
  <c r="F1354" i="3"/>
  <c r="E1137" i="3"/>
  <c r="F1388" i="3"/>
  <c r="F689" i="3"/>
  <c r="F793" i="3"/>
  <c r="F1002" i="3"/>
  <c r="F1435" i="3"/>
  <c r="E1112" i="3"/>
  <c r="F694" i="3"/>
  <c r="F497" i="3"/>
  <c r="F669" i="3"/>
  <c r="F803" i="3"/>
  <c r="F1165" i="3"/>
  <c r="F1046" i="3"/>
  <c r="F723" i="3"/>
  <c r="F1455" i="3"/>
  <c r="F1381" i="3"/>
  <c r="F878" i="3"/>
  <c r="F1362" i="3"/>
  <c r="E317" i="3"/>
  <c r="F1424" i="3"/>
  <c r="E569" i="3"/>
  <c r="F381" i="3"/>
  <c r="F1260" i="3"/>
  <c r="F1434" i="3"/>
  <c r="F1170" i="3"/>
  <c r="E11" i="3"/>
  <c r="F11" i="3"/>
  <c r="F706" i="3"/>
  <c r="F909" i="3"/>
  <c r="F1015" i="3"/>
  <c r="F1375" i="3"/>
  <c r="E345" i="3"/>
  <c r="E375" i="3"/>
  <c r="F236" i="3"/>
  <c r="E1364" i="3"/>
  <c r="F516" i="3"/>
  <c r="F1438" i="3"/>
  <c r="F941" i="3"/>
  <c r="E1196" i="3"/>
  <c r="F148" i="3"/>
  <c r="F226" i="3"/>
  <c r="F320" i="3"/>
  <c r="F113" i="3"/>
  <c r="F280" i="3"/>
  <c r="F503" i="3"/>
  <c r="F416" i="3"/>
  <c r="F553" i="3"/>
  <c r="F721" i="3"/>
  <c r="F773" i="3"/>
  <c r="F930" i="3"/>
  <c r="F1422" i="3"/>
  <c r="E1208" i="3"/>
  <c r="E1444" i="3"/>
  <c r="E1292" i="3"/>
  <c r="E1455" i="3"/>
  <c r="F198" i="3"/>
  <c r="F399" i="3"/>
  <c r="F87" i="3"/>
  <c r="F217" i="3"/>
  <c r="F465" i="3"/>
  <c r="F609" i="3"/>
  <c r="F511" i="3"/>
  <c r="F707" i="3"/>
  <c r="F847" i="3"/>
  <c r="F905" i="3"/>
  <c r="F1121" i="3"/>
  <c r="F1478" i="3"/>
  <c r="E1045" i="3"/>
  <c r="E1314" i="3"/>
  <c r="F86" i="3"/>
  <c r="F149" i="3"/>
  <c r="F127" i="3"/>
  <c r="F33" i="3"/>
  <c r="F175" i="3"/>
  <c r="F753" i="3"/>
  <c r="F558" i="3"/>
  <c r="F725" i="3"/>
  <c r="F761" i="3"/>
  <c r="F768" i="3"/>
  <c r="F1061" i="3"/>
  <c r="F1242" i="3"/>
  <c r="F53" i="3"/>
  <c r="F31" i="3"/>
  <c r="F184" i="3"/>
  <c r="F310" i="3"/>
  <c r="F344" i="3"/>
  <c r="F485" i="3"/>
  <c r="F810" i="3"/>
  <c r="F614" i="3"/>
  <c r="F908" i="3"/>
  <c r="F1058" i="3"/>
  <c r="F332" i="3"/>
  <c r="F268" i="3"/>
  <c r="F405" i="3"/>
  <c r="F34" i="3"/>
  <c r="F252" i="3"/>
  <c r="F680" i="3"/>
  <c r="F408" i="3"/>
  <c r="F749" i="3"/>
  <c r="F955" i="3"/>
  <c r="F887" i="3"/>
  <c r="E1107" i="3"/>
  <c r="F130" i="3"/>
  <c r="F210" i="3"/>
  <c r="F285" i="3"/>
  <c r="F99" i="3"/>
  <c r="F147" i="3"/>
  <c r="F474" i="3"/>
  <c r="F626" i="3"/>
  <c r="F1092" i="3"/>
  <c r="F1360" i="3"/>
  <c r="F239" i="3"/>
  <c r="F397" i="3"/>
  <c r="F901" i="3"/>
  <c r="F660" i="3"/>
  <c r="F1105" i="3"/>
  <c r="F886" i="3"/>
  <c r="F1285" i="3"/>
  <c r="F1103" i="3"/>
  <c r="E1128" i="3"/>
  <c r="F528" i="3"/>
  <c r="F1025" i="3"/>
  <c r="E299" i="3"/>
  <c r="F231" i="3"/>
  <c r="F965" i="3"/>
  <c r="F1433" i="3"/>
  <c r="F1065" i="3"/>
  <c r="E273" i="3"/>
  <c r="F281" i="3"/>
  <c r="F762" i="3"/>
  <c r="F879" i="3"/>
  <c r="F1312" i="3"/>
  <c r="F1036" i="3"/>
  <c r="F1178" i="3"/>
  <c r="F1250" i="3"/>
  <c r="F661" i="3"/>
  <c r="F799" i="3"/>
  <c r="F732" i="3"/>
  <c r="F1488" i="3"/>
  <c r="F1467" i="3"/>
  <c r="F697" i="3"/>
  <c r="E1224" i="3"/>
  <c r="F451" i="3"/>
  <c r="F1241" i="3"/>
  <c r="F1005" i="3"/>
  <c r="F21" i="3"/>
  <c r="F1500" i="3"/>
  <c r="E1218" i="3"/>
  <c r="F1251" i="3"/>
  <c r="F935" i="3"/>
  <c r="F1208" i="3"/>
  <c r="F1470" i="3"/>
  <c r="E102" i="3"/>
  <c r="F1196" i="3"/>
  <c r="F63" i="3"/>
  <c r="F1259" i="3"/>
  <c r="F1123" i="3"/>
  <c r="F1051" i="3"/>
  <c r="E1173" i="3"/>
  <c r="F420" i="3"/>
  <c r="F711" i="3"/>
  <c r="E377" i="3"/>
  <c r="F1206" i="3"/>
  <c r="F1407" i="3"/>
  <c r="F1295" i="3"/>
  <c r="F192" i="3"/>
  <c r="F349" i="3"/>
  <c r="F51" i="3"/>
  <c r="F201" i="3"/>
  <c r="F432" i="3"/>
  <c r="F592" i="3"/>
  <c r="F504" i="3"/>
  <c r="F685" i="3"/>
  <c r="F823" i="3"/>
  <c r="F895" i="3"/>
  <c r="F1052" i="3"/>
  <c r="F1382" i="3"/>
  <c r="E1303" i="3"/>
  <c r="E1121" i="3"/>
  <c r="E1374" i="3"/>
  <c r="E1491" i="3"/>
  <c r="F259" i="3"/>
  <c r="F736" i="3"/>
  <c r="F222" i="3"/>
  <c r="F329" i="3"/>
  <c r="F66" i="3"/>
  <c r="F229" i="3"/>
  <c r="F612" i="3"/>
  <c r="F359" i="3"/>
  <c r="F702" i="3"/>
  <c r="F826" i="3"/>
  <c r="F1213" i="3"/>
  <c r="E22" i="3"/>
  <c r="E1102" i="3"/>
  <c r="E1396" i="3"/>
  <c r="F213" i="3"/>
  <c r="F194" i="3"/>
  <c r="F246" i="3"/>
  <c r="F85" i="3"/>
  <c r="F218" i="3"/>
  <c r="F445" i="3"/>
  <c r="F699" i="3"/>
  <c r="F486" i="3"/>
  <c r="F898" i="3"/>
  <c r="F925" i="3"/>
  <c r="F1062" i="3"/>
  <c r="F1028" i="3"/>
  <c r="F94" i="3"/>
  <c r="F161" i="3"/>
  <c r="F135" i="3"/>
  <c r="F582" i="3"/>
  <c r="F472" i="3"/>
  <c r="F568" i="3"/>
  <c r="F674" i="3"/>
  <c r="F668" i="3"/>
  <c r="F1411" i="3"/>
  <c r="F1353" i="3"/>
  <c r="F17" i="3"/>
  <c r="F430" i="3"/>
  <c r="F46" i="3"/>
  <c r="F125" i="3"/>
  <c r="F305" i="3"/>
  <c r="F358" i="3"/>
  <c r="F580" i="3"/>
  <c r="F848" i="3"/>
  <c r="F779" i="3"/>
  <c r="F1383" i="3"/>
  <c r="F1107" i="3"/>
  <c r="F176" i="3"/>
  <c r="F298" i="3"/>
  <c r="F564" i="3"/>
  <c r="F151" i="3"/>
  <c r="F379" i="3"/>
  <c r="F722" i="3"/>
  <c r="F809" i="3"/>
  <c r="F789" i="3"/>
  <c r="F1009" i="3"/>
  <c r="F278" i="3"/>
  <c r="F578" i="3"/>
  <c r="F695" i="3"/>
  <c r="F714" i="3"/>
  <c r="F1468" i="3"/>
  <c r="F988" i="3"/>
  <c r="F1490" i="3"/>
  <c r="F1387" i="3"/>
  <c r="E232" i="3"/>
  <c r="F273" i="3"/>
  <c r="F1115" i="3"/>
  <c r="E1183" i="3"/>
  <c r="F39" i="3"/>
  <c r="F1155" i="3"/>
  <c r="F1040" i="3"/>
  <c r="F1501" i="3"/>
  <c r="E1244" i="3"/>
  <c r="F642" i="3"/>
  <c r="F787" i="3"/>
  <c r="F989" i="3"/>
  <c r="F956" i="3"/>
  <c r="F1077" i="3"/>
  <c r="E423" i="3"/>
  <c r="F353" i="3"/>
  <c r="F467" i="3"/>
  <c r="F701" i="3"/>
  <c r="F1284" i="3"/>
  <c r="F1149" i="3"/>
  <c r="E1238" i="3"/>
  <c r="F1258" i="3"/>
  <c r="F1249" i="3"/>
  <c r="F18" i="3"/>
  <c r="F1401" i="3"/>
  <c r="F1212" i="3"/>
  <c r="F110" i="3"/>
  <c r="E1222" i="3"/>
  <c r="E414" i="3"/>
  <c r="F120" i="3"/>
  <c r="F1143" i="3"/>
  <c r="F1385" i="3"/>
  <c r="F1489" i="3"/>
  <c r="E36" i="3"/>
  <c r="F961" i="3"/>
  <c r="F1228" i="3"/>
  <c r="F1341" i="3"/>
  <c r="F1314" i="3"/>
  <c r="F1239" i="3"/>
  <c r="E241" i="3"/>
  <c r="F1138" i="3"/>
  <c r="F1417" i="3"/>
  <c r="E516" i="3"/>
  <c r="F275" i="3"/>
  <c r="F1162" i="3"/>
  <c r="E1487" i="3"/>
  <c r="F250" i="3"/>
  <c r="F600" i="3"/>
  <c r="F211" i="3"/>
  <c r="F321" i="3"/>
  <c r="F27" i="3"/>
  <c r="F824" i="3"/>
  <c r="F595" i="3"/>
  <c r="F355" i="3"/>
  <c r="F681" i="3"/>
  <c r="F817" i="3"/>
  <c r="F995" i="3"/>
  <c r="E849" i="3"/>
  <c r="E1385" i="3"/>
  <c r="E1221" i="3"/>
  <c r="E1446" i="3"/>
  <c r="E1483" i="3"/>
  <c r="F470" i="3"/>
  <c r="F311" i="3"/>
  <c r="F339" i="3"/>
  <c r="F574" i="3"/>
  <c r="F91" i="3"/>
  <c r="F287" i="3"/>
  <c r="F337" i="3"/>
  <c r="F529" i="3"/>
  <c r="F815" i="3"/>
  <c r="F737" i="3"/>
  <c r="F1043" i="3"/>
  <c r="E1109" i="3"/>
  <c r="E1194" i="3"/>
  <c r="E1473" i="3"/>
  <c r="F158" i="3"/>
  <c r="F260" i="3"/>
  <c r="F402" i="3"/>
  <c r="F123" i="3"/>
  <c r="F308" i="3"/>
  <c r="F524" i="3"/>
  <c r="F440" i="3"/>
  <c r="F579" i="3"/>
  <c r="F748" i="3"/>
  <c r="F788" i="3"/>
  <c r="F1039" i="3"/>
  <c r="F1275" i="3"/>
  <c r="F138" i="3"/>
  <c r="F43" i="3"/>
  <c r="F180" i="3"/>
  <c r="F776" i="3"/>
  <c r="F576" i="3"/>
  <c r="F800" i="3"/>
  <c r="F775" i="3"/>
  <c r="F777" i="3"/>
  <c r="F1154" i="3"/>
  <c r="F1280" i="3"/>
  <c r="F57" i="3"/>
  <c r="F56" i="3"/>
  <c r="F200" i="3"/>
  <c r="F343" i="3"/>
  <c r="F357" i="3"/>
  <c r="F491" i="3"/>
  <c r="F622" i="3"/>
  <c r="F619" i="3"/>
  <c r="F931" i="3"/>
  <c r="F1075" i="3"/>
  <c r="F291" i="3"/>
  <c r="F219" i="3"/>
  <c r="F501" i="3"/>
  <c r="F150" i="3"/>
  <c r="F431" i="3"/>
  <c r="F384" i="3"/>
  <c r="F369" i="3"/>
  <c r="F790" i="3"/>
  <c r="F942" i="3"/>
  <c r="E114" i="3"/>
  <c r="F350" i="3"/>
  <c r="F704" i="3"/>
  <c r="F833" i="3"/>
  <c r="F792" i="3"/>
  <c r="F1047" i="3"/>
  <c r="F921" i="3"/>
  <c r="F1076" i="3"/>
  <c r="F1502" i="3"/>
  <c r="E1207" i="3"/>
  <c r="F423" i="3"/>
  <c r="F1405" i="3"/>
  <c r="E348" i="3"/>
  <c r="F425" i="3"/>
  <c r="F881" i="3"/>
  <c r="F1261" i="3"/>
  <c r="F1140" i="3"/>
  <c r="E1388" i="3"/>
  <c r="F363" i="3"/>
  <c r="F1191" i="3"/>
  <c r="F872" i="3"/>
  <c r="F1367" i="3"/>
  <c r="F1316" i="3"/>
  <c r="E1427" i="3"/>
  <c r="F414" i="3"/>
  <c r="F362" i="3"/>
  <c r="F838" i="3"/>
  <c r="F943" i="3"/>
  <c r="F1233" i="3"/>
  <c r="F1111" i="3"/>
  <c r="F998" i="3"/>
  <c r="E124" i="3"/>
  <c r="F1210" i="3"/>
  <c r="F1063" i="3"/>
  <c r="E1320" i="3"/>
  <c r="F1024" i="3"/>
  <c r="F368" i="3"/>
  <c r="E620" i="3"/>
  <c r="F1209" i="3"/>
  <c r="F926" i="3"/>
  <c r="F1188" i="3"/>
  <c r="E1200" i="3"/>
  <c r="E1082" i="3"/>
  <c r="F679" i="3"/>
  <c r="F851" i="3"/>
  <c r="F978" i="3"/>
  <c r="F1267" i="3"/>
  <c r="F1399" i="3"/>
  <c r="E452" i="3"/>
  <c r="F49" i="3"/>
  <c r="F1495" i="3"/>
  <c r="E1206" i="3"/>
  <c r="F1245" i="3"/>
  <c r="F1446" i="3"/>
  <c r="E1479" i="3"/>
  <c r="F437" i="3"/>
  <c r="F265" i="3"/>
  <c r="F314" i="3"/>
  <c r="F539" i="3"/>
  <c r="F80" i="3"/>
  <c r="F283" i="3"/>
  <c r="F969" i="3"/>
  <c r="F513" i="3"/>
  <c r="F806" i="3"/>
  <c r="F710" i="3"/>
  <c r="F1010" i="3"/>
  <c r="E120" i="3"/>
  <c r="E1458" i="3"/>
  <c r="E1312" i="3"/>
  <c r="E1116" i="3"/>
  <c r="E1476" i="3"/>
  <c r="F101" i="3"/>
  <c r="F42" i="3"/>
  <c r="F621" i="3"/>
  <c r="F156" i="3"/>
  <c r="F274" i="3"/>
  <c r="F336" i="3"/>
  <c r="F417" i="3"/>
  <c r="F687" i="3"/>
  <c r="F974" i="3"/>
  <c r="F857" i="3"/>
  <c r="F1020" i="3"/>
  <c r="F976" i="3"/>
  <c r="E1299" i="3"/>
  <c r="E1460" i="3"/>
  <c r="F203" i="3"/>
  <c r="F424" i="3"/>
  <c r="F111" i="3"/>
  <c r="F247" i="3"/>
  <c r="F487" i="3"/>
  <c r="F623" i="3"/>
  <c r="F519" i="3"/>
  <c r="F843" i="3"/>
  <c r="F858" i="3"/>
  <c r="F952" i="3"/>
  <c r="F1204" i="3"/>
  <c r="F1497" i="3"/>
  <c r="F253" i="3"/>
  <c r="F89" i="3"/>
  <c r="F223" i="3"/>
  <c r="F457" i="3"/>
  <c r="F742" i="3"/>
  <c r="F506" i="3"/>
  <c r="F957" i="3"/>
  <c r="F682" i="3"/>
  <c r="F1141" i="3"/>
  <c r="F1050" i="3"/>
  <c r="F98" i="3"/>
  <c r="F179" i="3"/>
  <c r="F140" i="3"/>
  <c r="F673" i="3"/>
  <c r="F490" i="3"/>
  <c r="F586" i="3"/>
  <c r="F678" i="3"/>
  <c r="F686" i="3"/>
  <c r="F860" i="3"/>
  <c r="F1408" i="3"/>
  <c r="E1466" i="3"/>
  <c r="F316" i="3"/>
  <c r="F121" i="3"/>
  <c r="F279" i="3"/>
  <c r="F82" i="3"/>
  <c r="F557" i="3"/>
  <c r="F499" i="3"/>
  <c r="F754" i="3"/>
  <c r="F1319" i="3"/>
  <c r="F345" i="3"/>
  <c r="F533" i="3"/>
  <c r="F469" i="3"/>
  <c r="F738" i="3"/>
  <c r="F719" i="3"/>
  <c r="F1306" i="3"/>
  <c r="F1358" i="3"/>
  <c r="F1211" i="3"/>
  <c r="E1223" i="3"/>
  <c r="E235" i="3"/>
  <c r="F272" i="3"/>
  <c r="E1177" i="3"/>
  <c r="E1231" i="3"/>
  <c r="F461" i="3"/>
  <c r="F1278" i="3"/>
  <c r="F1373" i="3"/>
  <c r="F1300" i="3"/>
  <c r="E801" i="3"/>
  <c r="F493" i="3"/>
  <c r="F636" i="3"/>
  <c r="F938" i="3"/>
  <c r="F1471" i="3"/>
  <c r="F1431" i="3"/>
  <c r="E694" i="3"/>
  <c r="F1017" i="3"/>
  <c r="F544" i="3"/>
  <c r="F865" i="3"/>
  <c r="F1444" i="3"/>
  <c r="F1441" i="3"/>
  <c r="E924" i="3"/>
  <c r="F1198" i="3"/>
  <c r="E1210" i="3"/>
  <c r="F884" i="3"/>
  <c r="F1308" i="3"/>
  <c r="F1343" i="3"/>
  <c r="F257" i="3"/>
  <c r="F1237" i="3"/>
  <c r="E409" i="3"/>
  <c r="F460" i="3"/>
  <c r="F1313" i="3"/>
  <c r="F1374" i="3"/>
  <c r="F1236" i="3"/>
  <c r="E254" i="3"/>
  <c r="F10" i="3"/>
  <c r="F915" i="3"/>
  <c r="F1450" i="3"/>
  <c r="F1421" i="3"/>
  <c r="E368" i="3"/>
  <c r="E1138" i="3"/>
  <c r="F1207" i="3"/>
  <c r="E1175" i="3"/>
  <c r="E381" i="3"/>
  <c r="F76" i="3"/>
  <c r="F37" i="3"/>
  <c r="F572" i="3"/>
  <c r="F139" i="3"/>
  <c r="F264" i="3"/>
  <c r="F326" i="3"/>
  <c r="F407" i="3"/>
  <c r="F633" i="3"/>
  <c r="F949" i="3"/>
  <c r="F837" i="3"/>
  <c r="F1496" i="3"/>
  <c r="F404" i="3"/>
  <c r="E1093" i="3"/>
  <c r="E1394" i="3"/>
  <c r="E1213" i="3"/>
  <c r="F61" i="3"/>
  <c r="F335" i="3"/>
  <c r="F83" i="3"/>
  <c r="F132" i="3"/>
  <c r="F38" i="3"/>
  <c r="F517" i="3"/>
  <c r="F406" i="3"/>
  <c r="F552" i="3"/>
  <c r="F657" i="3"/>
  <c r="F655" i="3"/>
  <c r="F1166" i="3"/>
  <c r="F1297" i="3"/>
  <c r="E1144" i="3"/>
  <c r="E1380" i="3"/>
  <c r="E1495" i="3"/>
  <c r="F282" i="3"/>
  <c r="F35" i="3"/>
  <c r="F240" i="3"/>
  <c r="F356" i="3"/>
  <c r="F15" i="3"/>
  <c r="F244" i="3"/>
  <c r="F627" i="3"/>
  <c r="F388" i="3"/>
  <c r="F713" i="3"/>
  <c r="F852" i="3"/>
  <c r="F1265" i="3"/>
  <c r="E84" i="3"/>
  <c r="F477" i="3"/>
  <c r="F128" i="3"/>
  <c r="F315" i="3"/>
  <c r="F540" i="3"/>
  <c r="F449" i="3"/>
  <c r="F587" i="3"/>
  <c r="F757" i="3"/>
  <c r="F807" i="3"/>
  <c r="F1117" i="3"/>
  <c r="F1380" i="3"/>
  <c r="F155" i="3"/>
  <c r="F48" i="3"/>
  <c r="F186" i="3"/>
  <c r="F912" i="3"/>
  <c r="F584" i="3"/>
  <c r="F883" i="3"/>
  <c r="F785" i="3"/>
  <c r="F802" i="3"/>
  <c r="F1271" i="3"/>
  <c r="F1298" i="3"/>
  <c r="E1501" i="3"/>
  <c r="F590" i="3"/>
  <c r="F24" i="3"/>
  <c r="F454" i="3"/>
  <c r="F227" i="3"/>
  <c r="F262" i="3"/>
  <c r="F442" i="3"/>
  <c r="F870" i="3"/>
  <c r="F1376" i="3"/>
  <c r="F102" i="3"/>
  <c r="F760" i="3"/>
  <c r="F597" i="3"/>
  <c r="F805" i="3"/>
  <c r="F866" i="3"/>
  <c r="F953" i="3"/>
  <c r="F1027" i="3"/>
  <c r="F1430" i="3"/>
  <c r="F1175" i="3"/>
  <c r="E332" i="3"/>
  <c r="F1216" i="3"/>
  <c r="E1350" i="3"/>
  <c r="E353" i="3"/>
  <c r="F444" i="3"/>
  <c r="F1240" i="3"/>
  <c r="F1064" i="3"/>
  <c r="F1439" i="3"/>
  <c r="E451" i="3"/>
  <c r="F562" i="3"/>
  <c r="F672" i="3"/>
  <c r="F1116" i="3"/>
  <c r="F1044" i="3"/>
  <c r="F983" i="3"/>
  <c r="E1250" i="3"/>
  <c r="F471" i="3"/>
  <c r="F1034" i="3"/>
  <c r="F641" i="3"/>
  <c r="F1007" i="3"/>
  <c r="F1139" i="3"/>
  <c r="E723" i="3"/>
  <c r="F1102" i="3"/>
  <c r="E1381" i="3"/>
  <c r="F1226" i="3"/>
  <c r="F1368" i="3"/>
  <c r="E5" i="3"/>
  <c r="F1427" i="3"/>
  <c r="E740" i="3"/>
  <c r="E1232" i="3"/>
  <c r="F386" i="3"/>
  <c r="F1335" i="3"/>
  <c r="F1146" i="3"/>
  <c r="F1202" i="3"/>
  <c r="E998" i="3"/>
  <c r="F170" i="3"/>
  <c r="F841" i="3"/>
  <c r="F967" i="3"/>
  <c r="F1059" i="3"/>
  <c r="E1322" i="3"/>
  <c r="E1219" i="3"/>
  <c r="F9" i="3"/>
  <c r="E1498" i="3"/>
  <c r="E473" i="3"/>
  <c r="F1197" i="3"/>
  <c r="F146" i="3"/>
  <c r="F599" i="3"/>
  <c r="F510" i="3"/>
  <c r="F596" i="3"/>
  <c r="F688" i="3"/>
  <c r="F698" i="3"/>
  <c r="F880" i="3"/>
  <c r="F1429" i="3"/>
  <c r="F607" i="3"/>
  <c r="F313" i="3"/>
  <c r="F567" i="3"/>
  <c r="F527" i="3"/>
  <c r="F652" i="3"/>
  <c r="F690" i="3"/>
  <c r="F904" i="3"/>
  <c r="F846" i="3"/>
  <c r="F1078" i="3"/>
  <c r="F1334" i="3"/>
  <c r="F1336" i="3"/>
  <c r="F1325" i="3"/>
  <c r="F1264" i="3"/>
  <c r="E711" i="3"/>
  <c r="E404" i="3"/>
  <c r="F1142" i="3"/>
  <c r="F1347" i="3"/>
  <c r="F1288" i="3"/>
  <c r="E420" i="3"/>
  <c r="E447" i="3"/>
  <c r="F1231" i="3"/>
  <c r="F1190" i="3"/>
  <c r="F971" i="3"/>
  <c r="F1086" i="3"/>
  <c r="F1180" i="3"/>
  <c r="F1169" i="3"/>
  <c r="F1458" i="3"/>
  <c r="E515" i="3"/>
  <c r="E1310" i="3"/>
  <c r="F1232" i="3"/>
  <c r="F651" i="3"/>
  <c r="F828" i="3"/>
  <c r="F745" i="3"/>
  <c r="F720" i="3"/>
  <c r="F1394" i="3"/>
  <c r="F920" i="3"/>
  <c r="F1144" i="3"/>
  <c r="F1119" i="3"/>
  <c r="F1042" i="3"/>
  <c r="F1350" i="3"/>
  <c r="E528" i="3"/>
  <c r="F573" i="3"/>
  <c r="F849" i="3"/>
  <c r="F296" i="3"/>
  <c r="F534" i="3"/>
  <c r="F492" i="3"/>
  <c r="F634" i="3"/>
  <c r="F964" i="3"/>
  <c r="F825" i="3"/>
  <c r="F804" i="3"/>
  <c r="F993" i="3"/>
  <c r="F1147" i="3"/>
  <c r="F1291" i="3"/>
  <c r="F1274" i="3"/>
  <c r="F1182" i="3"/>
  <c r="F1161" i="3"/>
  <c r="E1463" i="3"/>
  <c r="F428" i="3"/>
  <c r="F1157" i="3"/>
  <c r="F1056" i="3"/>
  <c r="F1176" i="3"/>
  <c r="E726" i="3"/>
  <c r="F992" i="3"/>
  <c r="F1273" i="3"/>
  <c r="F1327" i="3"/>
  <c r="F907" i="3"/>
  <c r="F1414" i="3"/>
  <c r="F1404" i="3"/>
  <c r="F1370" i="3"/>
  <c r="E642" i="3"/>
  <c r="E76" i="3"/>
  <c r="F317" i="3"/>
  <c r="F1029" i="3"/>
  <c r="F1484" i="3"/>
  <c r="F1177" i="3"/>
  <c r="E1412" i="3"/>
  <c r="E992" i="3"/>
  <c r="E39" i="3"/>
  <c r="F1129" i="3"/>
  <c r="F1469" i="3"/>
  <c r="F377" i="3"/>
  <c r="F1079" i="3"/>
  <c r="F896" i="3"/>
  <c r="F1167" i="3"/>
  <c r="F1464" i="3"/>
  <c r="F1257" i="3"/>
  <c r="F1282" i="3"/>
  <c r="E1236" i="3"/>
  <c r="E1017" i="3"/>
  <c r="E616" i="3"/>
  <c r="E658" i="3"/>
  <c r="F616" i="3"/>
  <c r="F1361" i="3"/>
  <c r="F532" i="3"/>
  <c r="F81" i="3"/>
  <c r="F692" i="3"/>
  <c r="F822" i="3"/>
  <c r="F1477" i="3"/>
  <c r="F1016" i="3"/>
  <c r="F1185" i="3"/>
  <c r="F1396" i="3"/>
  <c r="F1145" i="3"/>
  <c r="F1442" i="3"/>
  <c r="F1451" i="3"/>
  <c r="F1225" i="3"/>
  <c r="E81" i="3"/>
  <c r="E1357" i="3"/>
  <c r="E638" i="3"/>
  <c r="F1357" i="3"/>
  <c r="F415" i="3"/>
  <c r="F543" i="3"/>
  <c r="F1480" i="3"/>
  <c r="F1112" i="3"/>
  <c r="E1248" i="3"/>
  <c r="E902" i="3"/>
  <c r="E9" i="3"/>
  <c r="F1082" i="3"/>
  <c r="F1425" i="3"/>
  <c r="F333" i="3"/>
  <c r="F1315" i="3"/>
  <c r="F1311" i="3"/>
  <c r="E1346" i="3"/>
  <c r="E1273" i="3"/>
  <c r="E706" i="3"/>
  <c r="F348" i="3"/>
  <c r="F630" i="3"/>
  <c r="F946" i="3"/>
  <c r="F816" i="3"/>
  <c r="F798" i="3"/>
  <c r="F985" i="3"/>
  <c r="F1122" i="3"/>
  <c r="F1272" i="3"/>
  <c r="F1268" i="3"/>
  <c r="F1153" i="3"/>
  <c r="F1055" i="3"/>
  <c r="E1423" i="3"/>
  <c r="F374" i="3"/>
  <c r="F671" i="3"/>
  <c r="F330" i="3"/>
  <c r="F603" i="3"/>
  <c r="F561" i="3"/>
  <c r="F670" i="3"/>
  <c r="F730" i="3"/>
  <c r="F1221" i="3"/>
  <c r="F888" i="3"/>
  <c r="F1276" i="3"/>
  <c r="F1494" i="3"/>
  <c r="F1391" i="3"/>
  <c r="F1386" i="3"/>
  <c r="F1326" i="3"/>
  <c r="E1328" i="3"/>
  <c r="E1024" i="3"/>
  <c r="F69" i="3"/>
  <c r="F1286" i="3"/>
  <c r="F1195" i="3"/>
  <c r="F1277" i="3"/>
  <c r="E52" i="3"/>
  <c r="F620" i="3"/>
  <c r="F1073" i="3"/>
  <c r="F919" i="3"/>
  <c r="F982" i="3"/>
  <c r="F1124" i="3"/>
  <c r="F1120" i="3"/>
  <c r="F1474" i="3"/>
  <c r="E425" i="3"/>
  <c r="E1037" i="3"/>
  <c r="F830" i="3"/>
  <c r="F1072" i="3"/>
  <c r="E1225" i="3"/>
  <c r="F1224" i="3"/>
  <c r="E543" i="3"/>
  <c r="E1295" i="3"/>
  <c r="E494" i="3"/>
  <c r="F453" i="3"/>
  <c r="F114" i="3"/>
  <c r="F1049" i="3"/>
  <c r="F1307" i="3"/>
  <c r="F962" i="3"/>
  <c r="F1279" i="3"/>
  <c r="F1041" i="3"/>
  <c r="F1333" i="3"/>
  <c r="F1365" i="3"/>
  <c r="E1344" i="3"/>
  <c r="E461" i="3"/>
  <c r="E1023" i="3"/>
  <c r="E59" i="3"/>
  <c r="F1023" i="3"/>
  <c r="F143" i="3"/>
  <c r="F1310" i="3"/>
  <c r="F452" i="3"/>
  <c r="F764" i="3"/>
  <c r="F897" i="3"/>
  <c r="F970" i="3"/>
  <c r="F1296" i="3"/>
  <c r="F1352" i="3"/>
  <c r="F1069" i="3"/>
  <c r="F1256" i="3"/>
  <c r="F977" i="3"/>
  <c r="F1487" i="3"/>
  <c r="F1320" i="3"/>
  <c r="E354" i="3"/>
  <c r="E275" i="3"/>
  <c r="E1197" i="3"/>
  <c r="F14" i="3"/>
  <c r="F1109" i="3"/>
  <c r="F1173" i="3"/>
  <c r="E1113" i="3"/>
  <c r="F1132" i="3"/>
  <c r="E378" i="3"/>
  <c r="E1245" i="3"/>
  <c r="E438" i="3"/>
  <c r="F373" i="3"/>
  <c r="F36" i="3"/>
  <c r="F980" i="3"/>
  <c r="F242" i="3"/>
  <c r="F478" i="3"/>
  <c r="F947" i="3"/>
  <c r="F521" i="3"/>
  <c r="F1302" i="3"/>
  <c r="F709" i="3"/>
  <c r="F1395" i="3"/>
  <c r="F1090" i="3"/>
  <c r="F439" i="3"/>
  <c r="F427" i="3"/>
  <c r="F341" i="3"/>
  <c r="F767" i="3"/>
  <c r="F766" i="3"/>
  <c r="F829" i="3"/>
  <c r="F797" i="3"/>
  <c r="F1104" i="3"/>
  <c r="F944" i="3"/>
  <c r="F1019" i="3"/>
  <c r="F1151" i="3"/>
  <c r="F1152" i="3"/>
  <c r="F1482" i="3"/>
  <c r="E231" i="3"/>
  <c r="E1136" i="3"/>
  <c r="F1037" i="3"/>
  <c r="F1164" i="3"/>
  <c r="F1491" i="3"/>
  <c r="E10" i="3"/>
  <c r="E1209" i="3"/>
  <c r="F1136" i="3"/>
  <c r="F929" i="3"/>
  <c r="F994" i="3"/>
  <c r="F1461" i="3"/>
  <c r="F1415" i="3"/>
  <c r="F1416" i="3"/>
  <c r="E1343" i="3"/>
  <c r="E653" i="3"/>
  <c r="F653" i="3"/>
  <c r="F638" i="3"/>
  <c r="F666" i="3"/>
  <c r="F718" i="3"/>
  <c r="F984" i="3"/>
  <c r="F873" i="3"/>
  <c r="F1174" i="3"/>
  <c r="F1459" i="3"/>
  <c r="F1378" i="3"/>
  <c r="F1369" i="3"/>
  <c r="F1305" i="3"/>
  <c r="E1228" i="3"/>
  <c r="E961" i="3"/>
  <c r="F1463" i="3"/>
  <c r="F400" i="3"/>
  <c r="F372" i="3"/>
  <c r="F834" i="3"/>
  <c r="F649" i="3"/>
  <c r="F733" i="3"/>
  <c r="F796" i="3"/>
  <c r="F755" i="3"/>
  <c r="F1004" i="3"/>
  <c r="F894" i="3"/>
  <c r="F968" i="3"/>
  <c r="F1088" i="3"/>
  <c r="F1083" i="3"/>
  <c r="F1447" i="3"/>
  <c r="E44" i="3"/>
  <c r="E532" i="3"/>
  <c r="F383" i="3"/>
  <c r="F1392" i="3"/>
  <c r="F1339" i="3"/>
  <c r="E389" i="3"/>
  <c r="E1142" i="3"/>
  <c r="F378" i="3"/>
  <c r="F1389" i="3"/>
  <c r="F1098" i="3"/>
  <c r="F1266" i="3"/>
  <c r="F1262" i="3"/>
  <c r="F1263" i="3"/>
  <c r="F1493" i="3"/>
  <c r="E49" i="3"/>
  <c r="E170" i="3"/>
  <c r="F22" i="3"/>
  <c r="F1158" i="3"/>
  <c r="E1114" i="3"/>
  <c r="F1096" i="3"/>
  <c r="E63" i="3"/>
  <c r="E143" i="3"/>
  <c r="E1485" i="3"/>
  <c r="F902" i="3"/>
  <c r="F93" i="3"/>
  <c r="F1340" i="3"/>
  <c r="F972" i="3"/>
  <c r="F1068" i="3"/>
  <c r="F1359" i="3"/>
  <c r="F1095" i="3"/>
  <c r="F1410" i="3"/>
  <c r="F1437" i="3"/>
  <c r="F1113" i="3"/>
  <c r="E69" i="3"/>
  <c r="E1229" i="3"/>
  <c r="E422" i="3"/>
  <c r="F1229" i="3"/>
  <c r="F235" i="3"/>
  <c r="F410" i="3"/>
  <c r="F1089" i="3"/>
  <c r="F831" i="3"/>
  <c r="F997" i="3"/>
  <c r="F1093" i="3"/>
  <c r="F891" i="3"/>
  <c r="F1428" i="3"/>
  <c r="F1156" i="3"/>
  <c r="F1331" i="3"/>
  <c r="F1013" i="3"/>
  <c r="F1472" i="3"/>
  <c r="F1200" i="3"/>
  <c r="E1089" i="3"/>
  <c r="E697" i="3"/>
  <c r="E1425" i="3"/>
  <c r="F801" i="3"/>
  <c r="F1363" i="3"/>
  <c r="F174" i="3"/>
  <c r="E1133" i="3"/>
  <c r="F1150" i="3"/>
  <c r="E21" i="3"/>
  <c r="E90" i="3"/>
  <c r="E1258" i="3"/>
  <c r="F726" i="3"/>
  <c r="F59" i="3"/>
  <c r="F1485" i="3"/>
  <c r="F438" i="3"/>
  <c r="F286" i="3"/>
  <c r="F581" i="3"/>
  <c r="F696" i="3"/>
  <c r="F559" i="3"/>
  <c r="F334" i="3"/>
  <c r="F933" i="3"/>
  <c r="F769" i="3"/>
  <c r="F900" i="3"/>
  <c r="F1349" i="3"/>
  <c r="F565" i="3"/>
  <c r="F602" i="3"/>
  <c r="F505" i="3"/>
  <c r="F436" i="3"/>
  <c r="F1130" i="3"/>
  <c r="F624" i="3"/>
  <c r="F1413" i="3"/>
  <c r="F903" i="3"/>
  <c r="F960" i="3"/>
  <c r="F1420" i="3"/>
  <c r="F1397" i="3"/>
  <c r="F1393" i="3"/>
  <c r="E1132" i="3"/>
  <c r="E386" i="3"/>
  <c r="F299" i="3"/>
  <c r="F375" i="3"/>
  <c r="F1398" i="3"/>
  <c r="E1178" i="3"/>
  <c r="E462" i="3"/>
  <c r="F462" i="3"/>
  <c r="F422" i="3"/>
  <c r="F1371" i="3"/>
  <c r="F911" i="3"/>
  <c r="F1118" i="3"/>
  <c r="F1110" i="3"/>
  <c r="F1038" i="3"/>
  <c r="F1344" i="3"/>
  <c r="E456" i="3"/>
  <c r="F456" i="3"/>
  <c r="F593" i="3"/>
  <c r="F794" i="3"/>
  <c r="F855" i="3"/>
  <c r="F821" i="3"/>
  <c r="F1270" i="3"/>
  <c r="F986" i="3"/>
  <c r="F1148" i="3"/>
  <c r="F1193" i="3"/>
  <c r="F1194" i="3"/>
  <c r="F1462" i="3"/>
  <c r="E691" i="3"/>
  <c r="E1363" i="3"/>
  <c r="F1247" i="3"/>
  <c r="F531" i="3"/>
  <c r="F566" i="3"/>
  <c r="F468" i="3"/>
  <c r="F370" i="3"/>
  <c r="F889" i="3"/>
  <c r="F1366" i="3"/>
  <c r="F940" i="3"/>
  <c r="F876" i="3"/>
  <c r="F1351" i="3"/>
  <c r="F1372" i="3"/>
  <c r="F1337" i="3"/>
  <c r="F1338" i="3"/>
  <c r="E1203" i="3"/>
  <c r="E446" i="3"/>
  <c r="E976" i="3"/>
  <c r="F447" i="3"/>
  <c r="F1235" i="3"/>
  <c r="F1476" i="3"/>
  <c r="E1198" i="3"/>
  <c r="E1469" i="3"/>
  <c r="F1402" i="3"/>
  <c r="F975" i="3"/>
  <c r="F1099" i="3"/>
  <c r="F1011" i="3"/>
  <c r="F1473" i="3"/>
  <c r="F1457" i="3"/>
  <c r="E1345" i="3"/>
  <c r="E1070" i="3"/>
  <c r="F1070" i="3"/>
  <c r="F124" i="3"/>
  <c r="F1348" i="3"/>
  <c r="E1237" i="3"/>
  <c r="E410" i="3"/>
  <c r="E981" i="3"/>
  <c r="E18" i="3"/>
  <c r="F981" i="3"/>
  <c r="F52" i="3"/>
  <c r="F1172" i="3"/>
  <c r="F1014" i="3"/>
  <c r="F1400" i="3"/>
  <c r="F1390" i="3"/>
  <c r="F1106" i="3"/>
  <c r="F1292" i="3"/>
  <c r="F996" i="3"/>
  <c r="F1453" i="3"/>
  <c r="F1321" i="3"/>
  <c r="E444" i="3"/>
  <c r="E428" i="3"/>
  <c r="E1247" i="3"/>
  <c r="F421" i="3"/>
  <c r="F1220" i="3"/>
  <c r="F1328" i="3"/>
  <c r="F515" i="3"/>
  <c r="F774" i="3"/>
  <c r="F864" i="3"/>
  <c r="F899" i="3"/>
  <c r="F1160" i="3"/>
  <c r="F1053" i="3"/>
  <c r="F1342" i="3"/>
  <c r="F1097" i="3"/>
  <c r="F1126" i="3"/>
  <c r="E1323" i="3"/>
  <c r="F1186" i="3"/>
  <c r="E980" i="3"/>
  <c r="E14" i="3"/>
  <c r="E1084" i="3"/>
  <c r="F473" i="3"/>
  <c r="F658" i="3"/>
  <c r="F1364" i="3"/>
  <c r="E1201" i="3"/>
  <c r="E453" i="3"/>
  <c r="E928" i="3"/>
  <c r="E1251" i="3"/>
  <c r="F928" i="3"/>
  <c r="F446" i="3"/>
  <c r="F1084" i="3"/>
  <c r="F354" i="3"/>
  <c r="F729" i="3"/>
  <c r="F758" i="3"/>
  <c r="F392" i="3"/>
  <c r="F613" i="3"/>
  <c r="F571" i="3"/>
  <c r="F771" i="3"/>
  <c r="F676" i="3"/>
  <c r="F917" i="3"/>
  <c r="F1134" i="3"/>
  <c r="F1329" i="3"/>
  <c r="F1048" i="3"/>
  <c r="F1045" i="3"/>
  <c r="F987" i="3"/>
  <c r="F1203" i="3"/>
  <c r="E1287" i="3"/>
  <c r="F1287" i="3"/>
  <c r="F1127" i="3"/>
  <c r="F1449" i="3"/>
  <c r="E1131" i="3"/>
  <c r="E850" i="3"/>
  <c r="F850" i="3"/>
  <c r="F44" i="3"/>
  <c r="F934" i="3"/>
  <c r="F950" i="3"/>
  <c r="F1187" i="3"/>
  <c r="F1163" i="3"/>
  <c r="F1066" i="3"/>
  <c r="F1238" i="3"/>
  <c r="E1129" i="3"/>
  <c r="F1219" i="3"/>
  <c r="F1412" i="3"/>
  <c r="F1465" i="3"/>
  <c r="F1346" i="3"/>
  <c r="E291" i="3"/>
  <c r="E1456" i="3"/>
  <c r="E906" i="3"/>
  <c r="F1456" i="3"/>
  <c r="F589" i="3"/>
  <c r="F740" i="3"/>
  <c r="F877" i="3"/>
  <c r="F1030" i="3"/>
  <c r="F1035" i="3"/>
  <c r="F1303" i="3"/>
  <c r="F1060" i="3"/>
  <c r="F1085" i="3"/>
  <c r="E1249" i="3"/>
  <c r="F1322" i="3"/>
  <c r="E1127" i="3"/>
  <c r="E1361" i="3"/>
  <c r="E589" i="3"/>
  <c r="F72" i="3"/>
  <c r="F254" i="3"/>
  <c r="F1137" i="3"/>
  <c r="F783" i="3"/>
  <c r="F683" i="3"/>
  <c r="F1006" i="3"/>
  <c r="F1179" i="3"/>
  <c r="F932" i="3"/>
  <c r="F1230" i="3"/>
  <c r="F1499" i="3"/>
  <c r="F1293" i="3"/>
  <c r="F1317" i="3"/>
  <c r="E1111" i="3"/>
  <c r="E110" i="3"/>
  <c r="E781" i="3"/>
  <c r="E1108" i="3"/>
  <c r="F781" i="3"/>
  <c r="F241" i="3"/>
  <c r="F906" i="3"/>
  <c r="F1460" i="3"/>
  <c r="F1323" i="3"/>
  <c r="E236" i="3"/>
  <c r="E1418" i="3"/>
  <c r="E729" i="3"/>
  <c r="F1418" i="3"/>
  <c r="F494" i="3"/>
  <c r="F691" i="3"/>
  <c r="F1243" i="3"/>
  <c r="P2" i="3"/>
  <c r="O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<sst xmlns="http://schemas.openxmlformats.org/spreadsheetml/2006/main" count="7409" uniqueCount="435">
  <si>
    <t>15x8-E</t>
  </si>
  <si>
    <t>15x10-E</t>
  </si>
  <si>
    <t>16x7-E</t>
  </si>
  <si>
    <t>16x8-E</t>
  </si>
  <si>
    <t>16x10-E</t>
  </si>
  <si>
    <t>16x12-E</t>
  </si>
  <si>
    <t>17x7-E</t>
  </si>
  <si>
    <t>17x8-E</t>
  </si>
  <si>
    <t>17x10-E</t>
  </si>
  <si>
    <t>17x12-E</t>
  </si>
  <si>
    <t>18x8-E</t>
  </si>
  <si>
    <t>18x10-E</t>
  </si>
  <si>
    <t>18x12-E</t>
  </si>
  <si>
    <t>19x8-E</t>
  </si>
  <si>
    <t>19x10-E</t>
  </si>
  <si>
    <t>20x8-E</t>
  </si>
  <si>
    <t>15x8-EW</t>
  </si>
  <si>
    <t>15x10-EW</t>
  </si>
  <si>
    <t>16x7-EW</t>
  </si>
  <si>
    <t>16x8-EW</t>
  </si>
  <si>
    <t>16x10-EW</t>
  </si>
  <si>
    <t>17x6-EW</t>
  </si>
  <si>
    <t>17x8-EW</t>
  </si>
  <si>
    <t>17x10-EW</t>
  </si>
  <si>
    <t>18x8-EW</t>
  </si>
  <si>
    <t>13x8x3</t>
  </si>
  <si>
    <t>14x7x3</t>
  </si>
  <si>
    <t>14x9x3</t>
  </si>
  <si>
    <t>15x7x3</t>
  </si>
  <si>
    <t>16x8x3</t>
  </si>
  <si>
    <t>16x10x3</t>
  </si>
  <si>
    <t>Motor</t>
  </si>
  <si>
    <t>12x8-E</t>
  </si>
  <si>
    <t>12x10-E</t>
  </si>
  <si>
    <t>12x12-E</t>
  </si>
  <si>
    <t>13x6.5-E</t>
  </si>
  <si>
    <t>13x8-E</t>
  </si>
  <si>
    <t>13x10-E</t>
  </si>
  <si>
    <t>14x6-E</t>
  </si>
  <si>
    <t>14x7-E</t>
  </si>
  <si>
    <t>14x8.5-E</t>
  </si>
  <si>
    <t>14x10-E</t>
  </si>
  <si>
    <t>14x12-E</t>
  </si>
  <si>
    <t>15x6-E</t>
  </si>
  <si>
    <t>15x7-E</t>
  </si>
  <si>
    <t>13x8-EW</t>
  </si>
  <si>
    <t>13x10-EW</t>
  </si>
  <si>
    <t>14x6-EW</t>
  </si>
  <si>
    <t>14x8-EW</t>
  </si>
  <si>
    <t>14x10-EW</t>
  </si>
  <si>
    <t>15x6-EW</t>
  </si>
  <si>
    <t>15x7-EW</t>
  </si>
  <si>
    <t>16x6-EW</t>
  </si>
  <si>
    <t>12x6x3</t>
  </si>
  <si>
    <t>12x8x3</t>
  </si>
  <si>
    <t>10x10-E</t>
  </si>
  <si>
    <t>11x8.5-E</t>
  </si>
  <si>
    <t>11x10-E</t>
  </si>
  <si>
    <t>12x6-E</t>
  </si>
  <si>
    <t>13x5.5-E</t>
  </si>
  <si>
    <t>15x4-E</t>
  </si>
  <si>
    <t>11x8-EW</t>
  </si>
  <si>
    <t>12x6-EW</t>
  </si>
  <si>
    <t>12x7-EW</t>
  </si>
  <si>
    <t>12x8-EW</t>
  </si>
  <si>
    <t>13x6-EW</t>
  </si>
  <si>
    <t>11x8x3</t>
  </si>
  <si>
    <t>10x6-E</t>
  </si>
  <si>
    <t>10x7-E</t>
  </si>
  <si>
    <t>10x8-E</t>
  </si>
  <si>
    <t>11x5.5-E</t>
  </si>
  <si>
    <t>11x7-E</t>
  </si>
  <si>
    <t>11x8-E</t>
  </si>
  <si>
    <t>10x6-EW</t>
  </si>
  <si>
    <t>10x7-EW</t>
  </si>
  <si>
    <t>10x8-EW</t>
  </si>
  <si>
    <t>11x5-EW</t>
  </si>
  <si>
    <t>11x6-EW</t>
  </si>
  <si>
    <t>11x7-EW</t>
  </si>
  <si>
    <t>10x5x3</t>
  </si>
  <si>
    <t>10x7x3</t>
  </si>
  <si>
    <t>11x7x3</t>
  </si>
  <si>
    <t>kv</t>
  </si>
  <si>
    <t>Name</t>
  </si>
  <si>
    <t>prop size</t>
  </si>
  <si>
    <t>Motor Amps</t>
  </si>
  <si>
    <t>Input Watts</t>
  </si>
  <si>
    <t>Prop RPM</t>
  </si>
  <si>
    <t>Pitch Speed in MPH</t>
  </si>
  <si>
    <t>Thrust Grams</t>
  </si>
  <si>
    <t>Thrust Ounces</t>
  </si>
  <si>
    <t>Thrust Eff. Grams/W</t>
  </si>
  <si>
    <t>Tempest 4120-420</t>
  </si>
  <si>
    <t>weight (oz)</t>
  </si>
  <si>
    <t>link</t>
  </si>
  <si>
    <t>Lipo Cells</t>
  </si>
  <si>
    <t>Input Voltage</t>
  </si>
  <si>
    <t>Tempest 4120-520</t>
  </si>
  <si>
    <t>13x4-E</t>
  </si>
  <si>
    <t>10x5-E</t>
  </si>
  <si>
    <t>10x5-EW</t>
  </si>
  <si>
    <t>9x7x3</t>
  </si>
  <si>
    <t>Tempest 4120-600</t>
  </si>
  <si>
    <t>9x9-E</t>
  </si>
  <si>
    <t>9x7.5-E</t>
  </si>
  <si>
    <t>Tempest 4120-700</t>
  </si>
  <si>
    <t>Tempest 4120-830</t>
  </si>
  <si>
    <t>9x6-E</t>
  </si>
  <si>
    <t>Tempest 4130-310</t>
  </si>
  <si>
    <t>19x12-E</t>
  </si>
  <si>
    <t>Tempest 4130-400</t>
  </si>
  <si>
    <t>Tempest 4130-460</t>
  </si>
  <si>
    <t>14x10-F</t>
  </si>
  <si>
    <t>15x12-F</t>
  </si>
  <si>
    <t>20x10-E</t>
  </si>
  <si>
    <t>13x10-F</t>
  </si>
  <si>
    <t>Tempest 4130-540</t>
  </si>
  <si>
    <t>Tempest 4130-690</t>
  </si>
  <si>
    <t>12x8.5-F</t>
  </si>
  <si>
    <t>13x7-F</t>
  </si>
  <si>
    <t>12x6-F2B</t>
  </si>
  <si>
    <t>12x6.5W-F2B</t>
  </si>
  <si>
    <t>13x4.5-F2B</t>
  </si>
  <si>
    <t>13x6.5-F2B</t>
  </si>
  <si>
    <t>Tempest 2808-1000</t>
  </si>
  <si>
    <t>7x7-E</t>
  </si>
  <si>
    <t>8x4-E</t>
  </si>
  <si>
    <t>8x6-E</t>
  </si>
  <si>
    <t>8x8-E</t>
  </si>
  <si>
    <t>9x4.5-E</t>
  </si>
  <si>
    <t>9x5-F</t>
  </si>
  <si>
    <t>10x6-F</t>
  </si>
  <si>
    <t>11x8-F</t>
  </si>
  <si>
    <t>10x5-W</t>
  </si>
  <si>
    <t>10x6-W</t>
  </si>
  <si>
    <t>10x7-W</t>
  </si>
  <si>
    <t>10x8-W</t>
  </si>
  <si>
    <t>11x5-W</t>
  </si>
  <si>
    <t>11x6-W</t>
  </si>
  <si>
    <t>11x7-W</t>
  </si>
  <si>
    <t>11x8-W</t>
  </si>
  <si>
    <t>7x6-F</t>
  </si>
  <si>
    <t>7.5x4-F</t>
  </si>
  <si>
    <t>8x5-F</t>
  </si>
  <si>
    <t>7x4x3</t>
  </si>
  <si>
    <t>8x6x3</t>
  </si>
  <si>
    <t>7x4-E</t>
  </si>
  <si>
    <t>7x4-F</t>
  </si>
  <si>
    <t>7x5-E</t>
  </si>
  <si>
    <t>7x6-E</t>
  </si>
  <si>
    <t>8x4-F</t>
  </si>
  <si>
    <t>6x4.5-E</t>
  </si>
  <si>
    <t>6x6-E</t>
  </si>
  <si>
    <t>Tempest 28080-1150</t>
  </si>
  <si>
    <t>Tempest 2808-1360</t>
  </si>
  <si>
    <t>12x6-W</t>
  </si>
  <si>
    <t>12x7-W</t>
  </si>
  <si>
    <t>12x8-W</t>
  </si>
  <si>
    <t>12x8-F</t>
  </si>
  <si>
    <t>6x4-E</t>
  </si>
  <si>
    <t>6x4.3-E</t>
  </si>
  <si>
    <t>6x5.5-E</t>
  </si>
  <si>
    <t>6.5x5.0-P</t>
  </si>
  <si>
    <t>6.5x5.5-P</t>
  </si>
  <si>
    <t>6.5x6.0-P</t>
  </si>
  <si>
    <t>6.5x6.5-P</t>
  </si>
  <si>
    <t>6x4x3</t>
  </si>
  <si>
    <t>Tempest 2808-1860</t>
  </si>
  <si>
    <t>Tempest 2205-1030</t>
  </si>
  <si>
    <t>1. Go to website: https://innov8tivedesigns.com/products/brushlessmotors/tempest-airplane-motors/tempest-22mm-series.html</t>
  </si>
  <si>
    <t>3. copy and paste the name into the name column (i.e. Tempest 2205-1030)</t>
  </si>
  <si>
    <t>4. Scroll down and click on the "CLICK HERE" text to access the motor spread sheet</t>
  </si>
  <si>
    <t>5. copy the data starting from the first colored row to the last colored row. Click on the "weight" cell (second column) in the first row for that motor and press ctrl + V</t>
  </si>
  <si>
    <t>6. shift first row to the right to match the rest of the entries. Be sure to keep the name in the name column (right click cell you want to shift, click insert, and shift to the right).</t>
  </si>
  <si>
    <t xml:space="preserve">7. Find the motor weight in the top right corner of the data sheet. Should be in second row under "I MAX" and "P MAX", type the motor weight in oz. </t>
  </si>
  <si>
    <t>8. Find and type the "kV" for the motor. For example, if the motor's name is "Tempest 2205-1030", the number after the hypen is the kV number. In this case, 1030.</t>
  </si>
  <si>
    <r>
      <t xml:space="preserve">9. Delete rows that separate the colored rows (i.e. it might say something like "3-cell Li-Po Test Data" or 4-cell or 5-cell etc. -- delete these rows and the rows that are </t>
    </r>
    <r>
      <rPr>
        <b/>
        <sz val="11"/>
        <color theme="1"/>
        <rFont val="Calibri"/>
        <family val="2"/>
        <scheme val="minor"/>
      </rPr>
      <t>not</t>
    </r>
    <r>
      <rPr>
        <sz val="11"/>
        <color theme="1"/>
        <rFont val="Calibri"/>
        <family val="2"/>
        <scheme val="minor"/>
      </rPr>
      <t xml:space="preserve"> colored RED, GREEN, BLUE, or YELLOW.)</t>
    </r>
  </si>
  <si>
    <t xml:space="preserve">10. now copy the data in the first row in the first three columns that you previously typed, the name, the weight, and the kV number. Past it in all the rows for that motor. </t>
  </si>
  <si>
    <t>11. add the link to the corresponding motor to only the first row in the link column.</t>
  </si>
  <si>
    <t xml:space="preserve">12. Move to next available row and move on to next motor from the link and repeat steps 3 through 12. </t>
  </si>
  <si>
    <t>2. Click on a motor (the first motor was done for you so start with the motor named "Tempest 2205-1500")</t>
  </si>
  <si>
    <t>Good to know: If you want to make a cell "normal" )i.e. default), click the cell you want to turn to "normal", click the home tab, look for "styles" section and then click the "Normal" box.</t>
  </si>
  <si>
    <t>8x3.8-SF</t>
  </si>
  <si>
    <t>8x4.7-SF</t>
  </si>
  <si>
    <t>8x6-SF</t>
  </si>
  <si>
    <t>9x3.8-SF</t>
  </si>
  <si>
    <t>9x4.7-SF</t>
  </si>
  <si>
    <t>9x6-SF</t>
  </si>
  <si>
    <t>9x7.5-SF</t>
  </si>
  <si>
    <t>10x3.8-SF</t>
  </si>
  <si>
    <t>10x4.7-SF</t>
  </si>
  <si>
    <t>10x7-SF</t>
  </si>
  <si>
    <t>11x3.8-SF</t>
  </si>
  <si>
    <t>11x4.7-SF</t>
  </si>
  <si>
    <t>7x4-SF</t>
  </si>
  <si>
    <t>7x5-SF</t>
  </si>
  <si>
    <t>7x6-SF</t>
  </si>
  <si>
    <t>5x3x3</t>
  </si>
  <si>
    <t>5x4.3-E</t>
  </si>
  <si>
    <t>5x4.5-E</t>
  </si>
  <si>
    <t>5x4.6-E</t>
  </si>
  <si>
    <t>Tempest 2814-1050</t>
  </si>
  <si>
    <t>6x4.3E</t>
  </si>
  <si>
    <t>Tempest 2814-1400</t>
  </si>
  <si>
    <t>5x4.3E</t>
  </si>
  <si>
    <t>Tempest 2814-1700</t>
  </si>
  <si>
    <t>Tempest 2814-2100</t>
  </si>
  <si>
    <t>Tempest 2814-850</t>
  </si>
  <si>
    <t>13x6-W</t>
  </si>
  <si>
    <t>Tempest 2820-1170</t>
  </si>
  <si>
    <t>9x8x3-E</t>
  </si>
  <si>
    <t>11x7x3-E</t>
  </si>
  <si>
    <t>Tempest 2820-1460</t>
  </si>
  <si>
    <t>Tempest 2820-840</t>
  </si>
  <si>
    <t>14x6-W</t>
  </si>
  <si>
    <t>13x8-F</t>
  </si>
  <si>
    <t>Tempest 2820-970</t>
  </si>
  <si>
    <t>Tempest 2826-1140</t>
  </si>
  <si>
    <t>Notes: All 41mm motors are done, no data on 35mm, only motors missing for 28mm are Tempest 2826-1470, 2826-760, 2826-920, and 2820-1940</t>
  </si>
  <si>
    <t>Note: Let me know if anything is unclear, this is a rough rough explanation of the instructions. All else fails look at the table I did for you and see how they compare.</t>
  </si>
  <si>
    <t>Weight (oz)</t>
  </si>
  <si>
    <t>Kv</t>
  </si>
  <si>
    <t>Propeller</t>
  </si>
  <si>
    <t>Voltage (V)</t>
  </si>
  <si>
    <t>RPMs</t>
  </si>
  <si>
    <t>Current Draw (A)</t>
  </si>
  <si>
    <t>Power Consumption (W)</t>
  </si>
  <si>
    <t>Wh Flight time (Minutes)</t>
  </si>
  <si>
    <t>Ah Flight time (Minutes)</t>
  </si>
  <si>
    <t>Thrust (lbf)</t>
  </si>
  <si>
    <t>Pitch Speed (ft/s)</t>
  </si>
  <si>
    <t>Cobra C2814/10</t>
  </si>
  <si>
    <t>Cobra CP2814</t>
  </si>
  <si>
    <t>6x4.3-MR</t>
  </si>
  <si>
    <t>6x4.5-MR</t>
  </si>
  <si>
    <t>Cobra C2213/26</t>
  </si>
  <si>
    <t>9x5-DD</t>
  </si>
  <si>
    <t>9x5x3-DD</t>
  </si>
  <si>
    <t>10x6-DD</t>
  </si>
  <si>
    <t>8x4-DD</t>
  </si>
  <si>
    <t>8x4x3-DD</t>
  </si>
  <si>
    <t>Cobra C2820/14</t>
  </si>
  <si>
    <t>Cobra C2826/12</t>
  </si>
  <si>
    <t>Cobra C3525/12</t>
  </si>
  <si>
    <t>Cobra C4120/16</t>
  </si>
  <si>
    <t>Cobra C4130/20</t>
  </si>
  <si>
    <t>Cobra C5320/22</t>
  </si>
  <si>
    <t>Cobra C5330/22</t>
  </si>
  <si>
    <t>Cobra C5340/20</t>
  </si>
  <si>
    <t>20x11-E</t>
  </si>
  <si>
    <t>20x13-E</t>
  </si>
  <si>
    <t>21x14-E</t>
  </si>
  <si>
    <t>22x10-E</t>
  </si>
  <si>
    <t>BadAss BA2814</t>
  </si>
  <si>
    <t>BadAss BA2820</t>
  </si>
  <si>
    <t>8 x 6 -E</t>
  </si>
  <si>
    <t>8x8 -E</t>
  </si>
  <si>
    <t>9x6 -E</t>
  </si>
  <si>
    <t>10x5 -E</t>
  </si>
  <si>
    <t>10x5.8-F2B</t>
  </si>
  <si>
    <t>BadAss BA3530</t>
  </si>
  <si>
    <t>Scorpion SII-2212</t>
  </si>
  <si>
    <t>4.75x5.5-E</t>
  </si>
  <si>
    <t>5x5-E</t>
  </si>
  <si>
    <t>5.25x4.75-E</t>
  </si>
  <si>
    <t>5.5x4.5-E</t>
  </si>
  <si>
    <t>Scorpion SII-2208</t>
  </si>
  <si>
    <t>8x4.5-C</t>
  </si>
  <si>
    <t>9x4.7</t>
  </si>
  <si>
    <t>9x4.7-C</t>
  </si>
  <si>
    <t>8x6-HD</t>
  </si>
  <si>
    <t>9x7.5-HD</t>
  </si>
  <si>
    <t>10x6x3-DD</t>
  </si>
  <si>
    <t>8x4.3-SF</t>
  </si>
  <si>
    <t>Scorpion SII-2280</t>
  </si>
  <si>
    <t>10x4.5-C</t>
  </si>
  <si>
    <t>9x7-SF</t>
  </si>
  <si>
    <t>Scorpion SII-3020</t>
  </si>
  <si>
    <t>10x4.5</t>
  </si>
  <si>
    <t>11x4.7-C</t>
  </si>
  <si>
    <t>12x4.5-C</t>
  </si>
  <si>
    <t>11x7-DD</t>
  </si>
  <si>
    <t>Current (A)</t>
  </si>
  <si>
    <t>Input Voltage (V)</t>
  </si>
  <si>
    <t xml:space="preserve">Propulsion Battery (Wh) = </t>
  </si>
  <si>
    <t>Propulsion Battery (Wh) of 100Wh was used to determine flight time</t>
  </si>
  <si>
    <t>Flight time (minutes) = (Propulsion Battery/Power Consumption)*(60 minutes)</t>
  </si>
  <si>
    <t>Wh Flight Time (minutes)</t>
  </si>
  <si>
    <t>Ah Flight Time (minutes)</t>
  </si>
  <si>
    <t>Thrust (lbs.)</t>
  </si>
  <si>
    <t>Propulsion Battery (Wh) =</t>
  </si>
  <si>
    <t>https://hobbyking.com/en_us/power-systems/electric-motors.html</t>
  </si>
  <si>
    <t>https://innov8tivedesigns.com/</t>
  </si>
  <si>
    <t>https://rcdude.com/</t>
  </si>
  <si>
    <t>To convert ounces to pounds, divide ounces by 16.</t>
  </si>
  <si>
    <t>To convert MPH to ft/s, multiple by 5280/3600</t>
  </si>
  <si>
    <t>Ah Flight Time (minutes) = (Propulsion Battery/Voltage)/Current)*(60 minutes)</t>
  </si>
  <si>
    <t>*Should be nearly identical to Wh flight time. Only difference is in numbers used with rounding.</t>
  </si>
  <si>
    <t>Efficiency =  ((thrust/watt)*100)</t>
  </si>
  <si>
    <t>Score = (Thrust*Time)</t>
  </si>
  <si>
    <t>Full motor List: Contains all of the motors/prop/battery configuration</t>
  </si>
  <si>
    <t>Sorted Motor List: Contains the motor list listed from largest to smallest using Efficiency column and also color codes where each configuration stands according to color code found on document.</t>
  </si>
  <si>
    <t>Tempest Motor Data: Sheet containing data on the new Tempest motors (can be found oninnov8tivedesigns).</t>
  </si>
  <si>
    <t>Important to consider:</t>
  </si>
  <si>
    <t>5 minute time limit for mission 1</t>
  </si>
  <si>
    <t>5 minute time limit for mission 2</t>
  </si>
  <si>
    <t>10 minute time limit for mission 3</t>
  </si>
  <si>
    <t>If the propellor column does not contain "." use this function to find the propellor pitch value "=(GetNumber(D2,2))"</t>
  </si>
  <si>
    <t>typically propellor data is given in this form: NUMxNUMxNUM where the first NUM represents the propellor diameter; the second NUM the propellor pitch; and the third NUM or other letters are irrelevant for these tables</t>
  </si>
  <si>
    <t>This is why we want to read the first number to find the diameter and the second number to find the pitch</t>
  </si>
  <si>
    <t>To obtain propellor diameter and pitch use functions written in VBA. More specifically, the propellor column needs to be sorted for strings/data that contain a decimal point "."</t>
  </si>
  <si>
    <t>To find the propellor diameter, this function can be used "=(GetNumber(D2,1))", typically, unless the propellor diameter has a decimal.</t>
  </si>
  <si>
    <t>Finding propellor diameter and propellor pitch from PROP string</t>
  </si>
  <si>
    <t>And/OR</t>
  </si>
  <si>
    <t>Does not contain</t>
  </si>
  <si>
    <t>N/A</t>
  </si>
  <si>
    <t>Text</t>
  </si>
  <si>
    <t>.</t>
  </si>
  <si>
    <t>PD</t>
  </si>
  <si>
    <t>PP</t>
  </si>
  <si>
    <t>"=GetNumber(CELL, 1)"</t>
  </si>
  <si>
    <t>"=GetNumber(CELL, 2)"</t>
  </si>
  <si>
    <t>Anything else just fill out by hand, easier just to type up pd and pp using propeller that is 4.75x5.5-E for example</t>
  </si>
  <si>
    <t>Contains</t>
  </si>
  <si>
    <t>*.?x*.?-</t>
  </si>
  <si>
    <t xml:space="preserve">"=GetNumber(CELL, 1) + (GetNumber(CELL, 2)/10)" </t>
  </si>
  <si>
    <t xml:space="preserve">"=GetNumber(CELL, 3) + (GetNumber(CELL, 4)/10)" </t>
  </si>
  <si>
    <t>"=GetNumber(CELL,3)"</t>
  </si>
  <si>
    <t>"=GetNumber(CELL,1) + (GetNumber(CELL,2)/10)"</t>
  </si>
  <si>
    <t>*.?x?-</t>
  </si>
  <si>
    <t>steps</t>
  </si>
  <si>
    <t>AND</t>
  </si>
  <si>
    <t>?x?.?-</t>
  </si>
  <si>
    <t>Command (filter)</t>
  </si>
  <si>
    <t>.*x</t>
  </si>
  <si>
    <t>"=GetNumber(CELL,1)"</t>
  </si>
  <si>
    <t>A.A x B.B</t>
  </si>
  <si>
    <t>A x B</t>
  </si>
  <si>
    <t>A.A x B</t>
  </si>
  <si>
    <t>A x B.B</t>
  </si>
  <si>
    <t>Other</t>
  </si>
  <si>
    <t>Propeller Diameter (inches)</t>
  </si>
  <si>
    <t>Propeller Pitch (inches)</t>
  </si>
  <si>
    <t>Prop format</t>
  </si>
  <si>
    <t>"=GetNumber(CELL,2) + (GetNumber(CELL,3)/10)"</t>
  </si>
  <si>
    <t>Tempest 1704-1480</t>
  </si>
  <si>
    <t>6x4.5-BN</t>
  </si>
  <si>
    <t>6x4.5-C</t>
  </si>
  <si>
    <t>7x4.5-C</t>
  </si>
  <si>
    <t>5x3-C</t>
  </si>
  <si>
    <t>5x4-C</t>
  </si>
  <si>
    <t>5x4.5-BN</t>
  </si>
  <si>
    <t>5x4.5-C</t>
  </si>
  <si>
    <t>6x3-C</t>
  </si>
  <si>
    <t>Battery link</t>
  </si>
  <si>
    <t>https://hobbyking.com/en_us/turnigy-battery-4500mah-6s-30c-lipo-pack-xt-90.html?queryID=44b9f47dbe0fa75b3f6c8f6c668bc6a8&amp;objectID=69438&amp;indexName=hbk_live_products_analytics</t>
  </si>
  <si>
    <t>https://hobbyking.com/en_us/turnigy-5000mah-5s-30c-lipo-pack-xt-90.html?queryID=84cbd3da015303b67d8c4b762fb5a8b7&amp;objectID=69471&amp;indexName=hbk_live_products_analytics</t>
  </si>
  <si>
    <t>Note: All batteries were found using this website and its filter https://hobbyking.com/en_us/batteries-chargers/batteries/lipo.html#q=&amp;idx=hbk_live_magento_en_us_products&amp;dFR%5Bconfig%5D%5B0%5D=4&amp;dFR%5Bwarehouses%5D%5B0%5D=USA&amp;dFR%5Bwarehouses%5D%5B1%5D=Global&amp;dFR%5Bwarehouses_stock_data%5D%5B0%5D=USA%7C1&amp;dFR%5Bwarehouses_stock_data%5D%5B1%5D=USA%7C2&amp;dFR%5Bwarehouses_stock_data%5D%5B2%5D=USA%7C3&amp;dFR%5Bwarehouses_stock_data%5D%5B3%5D=Global%7C1&amp;dFR%5Bwarehouses_stock_data%5D%5B4%5D=Global%7C2&amp;dFR%5Bwarehouses_stock_data%5D%5B5%5D=Global%7C3&amp;hFR%5Bcategories.level0%5D%5B0%5D=Batteries%20%2F%20Chargers%20%2F%2F%2F%20Batteries&amp;nR%5Bwatt_hour%5D%5B%3C%3D%5D%5B0%5D=57&amp;nR%5Bwatt_hour%5D%5B%3E%3D%5D%5B0%5D=46&amp;is_v=1</t>
  </si>
  <si>
    <t>Note: Most of the batteries that are use XT90 have XT60 equivalent if desired.</t>
  </si>
  <si>
    <t>XT connector</t>
  </si>
  <si>
    <t>https://hobbyking.com/en_us/turnigy-high-capacity-battery-6600mah-64s-12c-drone-lipo-pack-xt60.html?queryID=15ba3201bdd75776f8072b2224f56878&amp;objectID=78436&amp;indexName=hbk_live_products_analytics</t>
  </si>
  <si>
    <t>https://hobbyking.com/en_us/turnigy-nano-tech-4500mah-3s-35-70c-lipo-pack-xt-60.html?queryID=8d3321262d7c754f54ab79c1ecaf23fe&amp;objectID=69237&amp;indexName=hbk_live_products_analytics</t>
  </si>
  <si>
    <t>Cobra C-5320/18</t>
  </si>
  <si>
    <t>Battery Capacity (Wh)</t>
  </si>
  <si>
    <t>XT90 weights approx. 0.25oz</t>
  </si>
  <si>
    <t>ESC: https://innov8tivedesigns.com/cobra-80a-esc-with-6a-switching-bec.html</t>
  </si>
  <si>
    <t>Assumed to be same as last year's ESC</t>
  </si>
  <si>
    <t>Battery Weight (oz)</t>
  </si>
  <si>
    <t>Wires Plugs (oz)</t>
  </si>
  <si>
    <t>Propeller Weight was arbitrarily chosen by looking a wide range of props and how they vary in weight</t>
  </si>
  <si>
    <t>1 gram = 0.035274 ounce</t>
  </si>
  <si>
    <t>Total Estimated PWR. SYS. Weight (oz)</t>
  </si>
  <si>
    <t>Buffer (oz)</t>
  </si>
  <si>
    <t>Propeller Weight (oz)</t>
  </si>
  <si>
    <t>ESC Weight (oz)</t>
  </si>
  <si>
    <t>Battery Quantity (#)</t>
  </si>
  <si>
    <t>Estimated System Weight (oz)</t>
  </si>
  <si>
    <t xml:space="preserve">Number of Motors (#) = </t>
  </si>
  <si>
    <t>Links for buying</t>
  </si>
  <si>
    <t>How to use propellor data to find propellor diameter (PD) and pitch (PP) using large batches of data</t>
  </si>
  <si>
    <t>line above</t>
  </si>
  <si>
    <t>If the propellor column contains ".",  use this function for the corresponding column (either pitch or propeller depending on which one has decimal, see the table below to follow all cases, this is just an example "=(GetNumber(D2,2))+(GetNumber(D2,3)/10)", and then pull it down for the rest of the rows. Change 2 to 1 and 3 to 2 if the decimal number is for the propellor diameter. "=(GetNumber(D2,1))" would read the first number in the string, and "+(GetNumber(D2,3)/10)" will read the second number of the string, divide by ten and add it. This method effectively finds the decimal contained in the string</t>
  </si>
  <si>
    <t>A zero in the Estimated weight column means there was no weight to be determined for sensitivity analysis as configuration was not deemed practical. More specifically, can't by a 100Wh battery for 8s without going over and we can't by 2s battery without doing multiple in parallel (&gt;2) which just increases the weight at a higher rate compared to a lower battery count.</t>
  </si>
  <si>
    <t>motorName</t>
  </si>
  <si>
    <t>1. Battery Capacity</t>
  </si>
  <si>
    <t>2. Estimated Motor Weight</t>
  </si>
  <si>
    <t>NOTE: THIS SHEET CONTROLS SOME VALUES IN FULL MOTOR SPREADSHEET</t>
  </si>
  <si>
    <t>Power Class Properties</t>
  </si>
  <si>
    <t>propDiameter</t>
  </si>
  <si>
    <t>propPitch</t>
  </si>
  <si>
    <t>voltage</t>
  </si>
  <si>
    <t>rpm</t>
  </si>
  <si>
    <t>watts</t>
  </si>
  <si>
    <t>time</t>
  </si>
  <si>
    <t>thrust</t>
  </si>
  <si>
    <t>propSpeed</t>
  </si>
  <si>
    <t>efficiency</t>
  </si>
  <si>
    <t>batteryCapacity</t>
  </si>
  <si>
    <t>2. Cells</t>
  </si>
  <si>
    <t>3. kv</t>
  </si>
  <si>
    <t>4. propDiameter</t>
  </si>
  <si>
    <t>5. propPitch</t>
  </si>
  <si>
    <t>6. voltage</t>
  </si>
  <si>
    <t>7. rpm</t>
  </si>
  <si>
    <t>8. amps</t>
  </si>
  <si>
    <t>9. watts</t>
  </si>
  <si>
    <t>10. time</t>
  </si>
  <si>
    <t>11. thrust</t>
  </si>
  <si>
    <t>12. propSpeed</t>
  </si>
  <si>
    <t>13 .efficiency</t>
  </si>
  <si>
    <t>14. batteryCapacity</t>
  </si>
  <si>
    <t>1. motorName</t>
  </si>
  <si>
    <t>7</t>
  </si>
  <si>
    <t>5</t>
  </si>
  <si>
    <t>6</t>
  </si>
  <si>
    <t>8</t>
  </si>
  <si>
    <t>4</t>
  </si>
  <si>
    <t>9</t>
  </si>
  <si>
    <t>10</t>
  </si>
  <si>
    <t>11</t>
  </si>
  <si>
    <t>12</t>
  </si>
  <si>
    <t>13</t>
  </si>
  <si>
    <t>14</t>
  </si>
  <si>
    <t>15</t>
  </si>
  <si>
    <t>16</t>
  </si>
  <si>
    <t>17</t>
  </si>
  <si>
    <t>18</t>
  </si>
  <si>
    <t>cells</t>
  </si>
  <si>
    <t>current</t>
  </si>
  <si>
    <t>estimatedWeight</t>
  </si>
  <si>
    <t>15. estimatedWeight</t>
  </si>
  <si>
    <t>Filter steps</t>
  </si>
  <si>
    <t>1. Filtered out 2s,7s,8s,9s,10s</t>
  </si>
  <si>
    <t>2. Filtered out times &lt;4min and &gt;13min</t>
  </si>
  <si>
    <t>Need to fix sorting for estimated weight and battery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</si>
</sst>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0"/>
      <name val="Calibri"/>
      <family val="2"/>
      <scheme val="minor"/>
    </font>
    <font>
      <b/>
      <sz val="11"/>
      <color theme="1"/>
      <name val="Calibri"/>
      <family val="2"/>
      <scheme val="minor"/>
    </font>
    <font>
      <b/>
      <sz val="12"/>
      <name val="Arial"/>
      <family val="2"/>
    </font>
    <font>
      <sz val="10"/>
      <name val="Arial"/>
      <family val="2"/>
    </font>
    <font>
      <b/>
      <sz val="12"/>
      <color rgb="FF333333"/>
      <name val="Arial"/>
      <family val="2"/>
    </font>
    <font>
      <b/>
      <sz val="10"/>
      <name val="Arial"/>
      <family val="2"/>
    </font>
    <font>
      <sz val="8"/>
      <name val="Calibri"/>
      <family val="2"/>
      <scheme val="minor"/>
    </font>
    <font>
      <b/>
      <sz val="9"/>
      <name val="Arial"/>
      <family val="2"/>
    </font>
    <font>
      <sz val="11"/>
      <color rgb="FF000000"/>
      <name val="Calibri"/>
      <family val="2"/>
    </font>
    <font>
      <u/>
      <sz val="11"/>
      <color theme="10"/>
      <name val="Calibri"/>
      <family val="2"/>
      <scheme val="minor"/>
    </font>
  </fonts>
  <fills count="12">
    <fill>
      <patternFill patternType="none"/>
    </fill>
    <fill>
      <patternFill patternType="gray125"/>
    </fill>
    <fill>
      <patternFill patternType="solid">
        <fgColor rgb="FFA5A5A5"/>
      </patternFill>
    </fill>
    <fill>
      <patternFill patternType="solid">
        <fgColor rgb="FF99CCFF"/>
        <bgColor indexed="64"/>
      </patternFill>
    </fill>
    <fill>
      <patternFill patternType="solid">
        <fgColor rgb="FFCCFFCC"/>
        <bgColor indexed="64"/>
      </patternFill>
    </fill>
    <fill>
      <patternFill patternType="solid">
        <fgColor rgb="FFFFFF99"/>
        <bgColor indexed="64"/>
      </patternFill>
    </fill>
    <fill>
      <patternFill patternType="solid">
        <fgColor rgb="FFFF99CC"/>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00"/>
        <bgColor indexed="64"/>
      </patternFill>
    </fill>
  </fills>
  <borders count="15">
    <border>
      <left/>
      <right/>
      <top/>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bottom style="medium">
        <color indexed="64"/>
      </bottom>
      <diagonal/>
    </border>
    <border>
      <left/>
      <right style="thick">
        <color indexed="64"/>
      </right>
      <top/>
      <bottom/>
      <diagonal/>
    </border>
    <border>
      <left/>
      <right style="medium">
        <color indexed="64"/>
      </right>
      <top/>
      <bottom style="thick">
        <color indexed="64"/>
      </bottom>
      <diagonal/>
    </border>
    <border>
      <left/>
      <right style="thick">
        <color indexed="64"/>
      </right>
      <top/>
      <bottom style="thick">
        <color indexed="64"/>
      </bottom>
      <diagonal/>
    </border>
    <border>
      <left style="thin">
        <color indexed="64"/>
      </left>
      <right style="thin">
        <color indexed="64"/>
      </right>
      <top style="thin">
        <color indexed="64"/>
      </top>
      <bottom style="thin">
        <color indexed="64"/>
      </bottom>
      <diagonal/>
    </border>
    <border>
      <left/>
      <right style="double">
        <color rgb="FF3F3F3F"/>
      </right>
      <top style="double">
        <color rgb="FF3F3F3F"/>
      </top>
      <bottom style="double">
        <color rgb="FF3F3F3F"/>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2" borderId="1" applyNumberFormat="0" applyAlignment="0" applyProtection="0"/>
    <xf numFmtId="0" fontId="10" fillId="0" borderId="0" applyNumberFormat="0" applyFill="0" applyBorder="0" applyAlignment="0" applyProtection="0"/>
  </cellStyleXfs>
  <cellXfs count="65">
    <xf numFmtId="0" fontId="0" fillId="0" borderId="0" xfId="0"/>
    <xf numFmtId="0" fontId="3" fillId="3" borderId="2" xfId="0" applyFont="1" applyFill="1" applyBorder="1" applyAlignment="1">
      <alignment horizontal="center"/>
    </xf>
    <xf numFmtId="0" fontId="4" fillId="0" borderId="0" xfId="0" applyFont="1"/>
    <xf numFmtId="0" fontId="3" fillId="0" borderId="0" xfId="0" applyFont="1" applyAlignment="1">
      <alignment horizontal="center"/>
    </xf>
    <xf numFmtId="0" fontId="5" fillId="0" borderId="0" xfId="0" applyFont="1" applyAlignment="1">
      <alignment horizontal="center"/>
    </xf>
    <xf numFmtId="0" fontId="6" fillId="0" borderId="0" xfId="0" applyFont="1"/>
    <xf numFmtId="0" fontId="3" fillId="6" borderId="4" xfId="0" applyFont="1" applyFill="1" applyBorder="1" applyAlignment="1">
      <alignment horizontal="center"/>
    </xf>
    <xf numFmtId="0" fontId="3" fillId="5" borderId="4" xfId="0" applyFont="1" applyFill="1" applyBorder="1" applyAlignment="1">
      <alignment horizontal="center"/>
    </xf>
    <xf numFmtId="0" fontId="3" fillId="4" borderId="3" xfId="0" applyFont="1" applyFill="1" applyBorder="1" applyAlignment="1">
      <alignment horizontal="center"/>
    </xf>
    <xf numFmtId="0" fontId="3" fillId="3" borderId="5" xfId="0" applyFont="1" applyFill="1" applyBorder="1" applyAlignment="1">
      <alignment horizontal="center"/>
    </xf>
    <xf numFmtId="3" fontId="3" fillId="3" borderId="5" xfId="0" applyNumberFormat="1" applyFont="1" applyFill="1" applyBorder="1" applyAlignment="1">
      <alignment horizontal="center"/>
    </xf>
    <xf numFmtId="0" fontId="3" fillId="3" borderId="6" xfId="0" applyFont="1" applyFill="1" applyBorder="1" applyAlignment="1">
      <alignment horizontal="center"/>
    </xf>
    <xf numFmtId="0" fontId="3" fillId="3" borderId="4" xfId="0" applyFont="1" applyFill="1" applyBorder="1" applyAlignment="1">
      <alignment horizontal="center"/>
    </xf>
    <xf numFmtId="3" fontId="3" fillId="3" borderId="4" xfId="0" applyNumberFormat="1" applyFont="1" applyFill="1" applyBorder="1" applyAlignment="1">
      <alignment horizontal="center"/>
    </xf>
    <xf numFmtId="0" fontId="3" fillId="3" borderId="7" xfId="0" applyFont="1" applyFill="1" applyBorder="1" applyAlignment="1">
      <alignment horizontal="center"/>
    </xf>
    <xf numFmtId="0" fontId="3" fillId="4" borderId="4" xfId="0" applyFont="1" applyFill="1" applyBorder="1" applyAlignment="1">
      <alignment horizontal="center"/>
    </xf>
    <xf numFmtId="3" fontId="3" fillId="4" borderId="4" xfId="0" applyNumberFormat="1" applyFont="1" applyFill="1" applyBorder="1" applyAlignment="1">
      <alignment horizontal="center"/>
    </xf>
    <xf numFmtId="0" fontId="3" fillId="4" borderId="7" xfId="0" applyFont="1" applyFill="1" applyBorder="1" applyAlignment="1">
      <alignment horizontal="center"/>
    </xf>
    <xf numFmtId="3" fontId="3" fillId="5" borderId="4" xfId="0" applyNumberFormat="1" applyFont="1" applyFill="1" applyBorder="1" applyAlignment="1">
      <alignment horizontal="center"/>
    </xf>
    <xf numFmtId="0" fontId="3" fillId="5" borderId="7" xfId="0" applyFont="1" applyFill="1" applyBorder="1" applyAlignment="1">
      <alignment horizontal="center"/>
    </xf>
    <xf numFmtId="3" fontId="3" fillId="6" borderId="4" xfId="0" applyNumberFormat="1" applyFont="1" applyFill="1" applyBorder="1" applyAlignment="1">
      <alignment horizontal="center"/>
    </xf>
    <xf numFmtId="0" fontId="3" fillId="6" borderId="7" xfId="0" applyFont="1" applyFill="1" applyBorder="1" applyAlignment="1">
      <alignment horizontal="center"/>
    </xf>
    <xf numFmtId="3" fontId="3" fillId="4" borderId="3" xfId="0" applyNumberFormat="1" applyFont="1" applyFill="1" applyBorder="1" applyAlignment="1">
      <alignment horizontal="center"/>
    </xf>
    <xf numFmtId="0" fontId="3" fillId="4" borderId="8" xfId="0" applyFont="1" applyFill="1" applyBorder="1" applyAlignment="1">
      <alignment horizontal="center"/>
    </xf>
    <xf numFmtId="0" fontId="8" fillId="0" borderId="0" xfId="0" applyFont="1" applyAlignment="1">
      <alignment horizontal="center"/>
    </xf>
    <xf numFmtId="0" fontId="3" fillId="6" borderId="3" xfId="0" applyFont="1" applyFill="1" applyBorder="1" applyAlignment="1">
      <alignment horizontal="center"/>
    </xf>
    <xf numFmtId="3" fontId="3" fillId="6" borderId="3" xfId="0" applyNumberFormat="1" applyFont="1" applyFill="1" applyBorder="1" applyAlignment="1">
      <alignment horizontal="center"/>
    </xf>
    <xf numFmtId="0" fontId="3" fillId="4" borderId="5" xfId="0" applyFont="1" applyFill="1" applyBorder="1" applyAlignment="1">
      <alignment horizontal="center"/>
    </xf>
    <xf numFmtId="3" fontId="3" fillId="4" borderId="5" xfId="0" applyNumberFormat="1" applyFont="1" applyFill="1" applyBorder="1" applyAlignment="1">
      <alignment horizontal="center"/>
    </xf>
    <xf numFmtId="0" fontId="3" fillId="4" borderId="6" xfId="0" applyFont="1" applyFill="1" applyBorder="1" applyAlignment="1">
      <alignment horizontal="center"/>
    </xf>
    <xf numFmtId="0" fontId="3" fillId="5" borderId="9" xfId="0" applyFont="1" applyFill="1" applyBorder="1" applyAlignment="1">
      <alignment horizontal="center"/>
    </xf>
    <xf numFmtId="3" fontId="3" fillId="5" borderId="9" xfId="0" applyNumberFormat="1" applyFont="1" applyFill="1" applyBorder="1" applyAlignment="1">
      <alignment horizontal="center"/>
    </xf>
    <xf numFmtId="0" fontId="3" fillId="5" borderId="10" xfId="0" applyFont="1" applyFill="1" applyBorder="1" applyAlignment="1">
      <alignment horizontal="center"/>
    </xf>
    <xf numFmtId="0" fontId="9" fillId="0" borderId="0" xfId="0" applyFont="1"/>
    <xf numFmtId="0" fontId="1" fillId="2" borderId="1" xfId="1"/>
    <xf numFmtId="0" fontId="0" fillId="7" borderId="11" xfId="0" applyFill="1" applyBorder="1"/>
    <xf numFmtId="0" fontId="0" fillId="7" borderId="11" xfId="0" applyFill="1" applyBorder="1" applyAlignment="1">
      <alignment horizontal="right"/>
    </xf>
    <xf numFmtId="0" fontId="0" fillId="0" borderId="0" xfId="0" applyAlignment="1">
      <alignment horizontal="right"/>
    </xf>
    <xf numFmtId="0" fontId="0" fillId="0" borderId="0" xfId="0" applyBorder="1" applyAlignment="1">
      <alignment horizontal="right"/>
    </xf>
    <xf numFmtId="0" fontId="0" fillId="0" borderId="0" xfId="0" applyFill="1" applyBorder="1" applyAlignment="1">
      <alignment horizontal="right"/>
    </xf>
    <xf numFmtId="0" fontId="0" fillId="0" borderId="0" xfId="0" applyAlignment="1">
      <alignment horizontal="center"/>
    </xf>
    <xf numFmtId="0" fontId="3" fillId="6" borderId="9" xfId="0" applyFont="1" applyFill="1" applyBorder="1" applyAlignment="1">
      <alignment horizontal="center"/>
    </xf>
    <xf numFmtId="3" fontId="3" fillId="6" borderId="9" xfId="0" applyNumberFormat="1" applyFont="1" applyFill="1" applyBorder="1" applyAlignment="1">
      <alignment horizontal="center"/>
    </xf>
    <xf numFmtId="0" fontId="3" fillId="6" borderId="10" xfId="0" applyFont="1" applyFill="1" applyBorder="1" applyAlignment="1">
      <alignment horizontal="center"/>
    </xf>
    <xf numFmtId="0" fontId="10" fillId="0" borderId="0" xfId="2"/>
    <xf numFmtId="0" fontId="0" fillId="0" borderId="0" xfId="0" applyAlignment="1">
      <alignment horizontal="left"/>
    </xf>
    <xf numFmtId="0" fontId="10" fillId="0" borderId="0" xfId="2" applyAlignment="1">
      <alignment horizontal="left"/>
    </xf>
    <xf numFmtId="0" fontId="0" fillId="8" borderId="11" xfId="0" applyFill="1" applyBorder="1" applyAlignment="1">
      <alignment horizontal="left"/>
    </xf>
    <xf numFmtId="0" fontId="0" fillId="9" borderId="11" xfId="0" applyFill="1" applyBorder="1" applyAlignment="1">
      <alignment horizontal="left"/>
    </xf>
    <xf numFmtId="0" fontId="1" fillId="2" borderId="12" xfId="1" applyBorder="1"/>
    <xf numFmtId="0" fontId="0" fillId="10" borderId="11" xfId="0" applyFill="1" applyBorder="1"/>
    <xf numFmtId="0" fontId="0" fillId="10" borderId="11" xfId="0" applyFill="1" applyBorder="1" applyAlignment="1">
      <alignment horizontal="right"/>
    </xf>
    <xf numFmtId="0" fontId="0" fillId="8" borderId="11" xfId="0" applyFill="1" applyBorder="1"/>
    <xf numFmtId="0" fontId="0" fillId="8" borderId="11" xfId="0" applyFill="1" applyBorder="1" applyAlignment="1">
      <alignment horizontal="center"/>
    </xf>
    <xf numFmtId="0" fontId="0" fillId="7" borderId="11" xfId="0" applyFont="1" applyFill="1" applyBorder="1"/>
    <xf numFmtId="0" fontId="0" fillId="7" borderId="11" xfId="0" applyFont="1" applyFill="1" applyBorder="1" applyAlignment="1">
      <alignment horizontal="right"/>
    </xf>
    <xf numFmtId="0" fontId="0" fillId="8" borderId="0" xfId="0" applyFill="1" applyBorder="1"/>
    <xf numFmtId="0" fontId="0" fillId="11" borderId="0" xfId="0" applyFill="1" applyAlignment="1">
      <alignment horizontal="left"/>
    </xf>
    <xf numFmtId="0" fontId="0" fillId="11" borderId="0" xfId="0" applyFill="1"/>
    <xf numFmtId="0" fontId="0" fillId="0" borderId="0" xfId="0" applyAlignment="1"/>
    <xf numFmtId="0" fontId="2" fillId="0" borderId="0" xfId="0" applyFont="1"/>
    <xf numFmtId="0" fontId="0" fillId="0" borderId="0" xfId="0"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2" xfId="0" applyFill="1" applyBorder="1" applyAlignment="1">
      <alignment horizontal="center"/>
    </xf>
  </cellXfs>
  <cellStyles count="3">
    <cellStyle name="Check Cell" xfId="1" builtinId="23"/>
    <cellStyle name="Hyperlink" xfId="2"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hobbyking.com/en_us/turnigy-5000mah-5s-30c-lipo-pack-xt-90.html?queryID=84cbd3da015303b67d8c4b762fb5a8b7&amp;objectID=69471&amp;indexName=hbk_live_products_analytics" TargetMode="External"/><Relationship Id="rId2" Type="http://schemas.openxmlformats.org/officeDocument/2006/relationships/hyperlink" Target="https://hobbyking.com/en_us/turnigy-high-capacity-battery-6600mah-64s-12c-drone-lipo-pack-xt60.html?queryID=15ba3201bdd75776f8072b2224f56878&amp;objectID=78436&amp;indexName=hbk_live_products_analytics" TargetMode="External"/><Relationship Id="rId1" Type="http://schemas.openxmlformats.org/officeDocument/2006/relationships/hyperlink" Target="https://hobbyking.com/en_us/turnigy-nano-tech-4500mah-3s-35-70c-lipo-pack-xt-60.html?queryID=8d3321262d7c754f54ab79c1ecaf23fe&amp;objectID=69237&amp;indexName=hbk_live_products_analytics" TargetMode="External"/><Relationship Id="rId4" Type="http://schemas.openxmlformats.org/officeDocument/2006/relationships/hyperlink" Target="https://hobbyking.com/en_us/turnigy-battery-4500mah-6s-30c-lipo-pack-xt-90.html?queryID=44b9f47dbe0fa75b3f6c8f6c668bc6a8&amp;objectID=69438&amp;indexName=hbk_live_products_analytic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9C41E-EB46-4EFD-8BCC-7331D05F32CD}">
  <sheetPr codeName="Sheet1"/>
  <dimension ref="A1:AE1511"/>
  <sheetViews>
    <sheetView tabSelected="1" workbookViewId="0">
      <selection activeCell="A481" sqref="A481"/>
    </sheetView>
  </sheetViews>
  <sheetFormatPr defaultRowHeight="14.4" x14ac:dyDescent="0.3"/>
  <cols>
    <col min="1" max="1" width="18.5546875" customWidth="1"/>
    <col min="2" max="2" width="14.33203125" customWidth="1"/>
    <col min="3" max="3" width="7.88671875" customWidth="1"/>
    <col min="4" max="4" width="13.109375" customWidth="1"/>
    <col min="5" max="5" width="31.33203125" style="37" customWidth="1"/>
    <col min="6" max="6" width="26.6640625" style="37" bestFit="1" customWidth="1"/>
    <col min="7" max="7" width="15" customWidth="1"/>
    <col min="8" max="8" width="12.33203125" customWidth="1"/>
    <col min="9" max="9" width="22" customWidth="1"/>
    <col min="10" max="10" width="40.33203125" customWidth="1"/>
    <col min="11" max="11" width="28.33203125" customWidth="1"/>
    <col min="12" max="12" width="27.88671875" customWidth="1"/>
    <col min="13" max="13" width="15.44140625" customWidth="1"/>
    <col min="14" max="14" width="23.5546875" customWidth="1"/>
    <col min="15" max="15" width="33.88671875" customWidth="1"/>
    <col min="16" max="16" width="27.109375" customWidth="1"/>
    <col min="17" max="18" width="30.33203125" customWidth="1"/>
    <col min="19" max="19" width="24.6640625" customWidth="1"/>
    <col min="20" max="20" width="8.6640625" customWidth="1"/>
    <col min="21" max="22" width="19" customWidth="1"/>
    <col min="23" max="23" width="38.6640625" customWidth="1"/>
    <col min="24" max="24" width="24.44140625" customWidth="1"/>
    <col min="25" max="25" width="15.5546875" customWidth="1"/>
    <col min="26" max="26" width="47.5546875" customWidth="1"/>
    <col min="27" max="27" width="61.6640625" customWidth="1"/>
    <col min="28" max="28" width="18.33203125" customWidth="1"/>
    <col min="29" max="29" width="35.6640625" customWidth="1"/>
    <col min="30" max="30" width="18.6640625" customWidth="1"/>
  </cols>
  <sheetData>
    <row r="1" spans="1:21" ht="15.6" thickTop="1" thickBot="1" x14ac:dyDescent="0.35">
      <c r="A1" s="52" t="s">
        <v>31</v>
      </c>
      <c r="B1" s="52" t="s">
        <v>220</v>
      </c>
      <c r="C1" s="52" t="s">
        <v>221</v>
      </c>
      <c r="D1" s="52" t="s">
        <v>222</v>
      </c>
      <c r="E1" s="53" t="s">
        <v>341</v>
      </c>
      <c r="F1" s="53" t="s">
        <v>342</v>
      </c>
      <c r="G1" s="53" t="s">
        <v>223</v>
      </c>
      <c r="H1" s="53" t="s">
        <v>224</v>
      </c>
      <c r="I1" s="53" t="s">
        <v>225</v>
      </c>
      <c r="J1" s="53" t="s">
        <v>226</v>
      </c>
      <c r="K1" s="53" t="s">
        <v>227</v>
      </c>
      <c r="L1" s="53" t="s">
        <v>228</v>
      </c>
      <c r="M1" s="53" t="s">
        <v>229</v>
      </c>
      <c r="N1" s="53" t="s">
        <v>230</v>
      </c>
      <c r="O1" s="53" t="s">
        <v>298</v>
      </c>
      <c r="P1" s="53" t="s">
        <v>299</v>
      </c>
      <c r="Q1" s="52" t="s">
        <v>376</v>
      </c>
      <c r="R1" s="56" t="s">
        <v>363</v>
      </c>
      <c r="S1" s="49" t="s">
        <v>290</v>
      </c>
      <c r="T1" s="34">
        <v>100</v>
      </c>
      <c r="U1" t="s">
        <v>378</v>
      </c>
    </row>
    <row r="2" spans="1:21" ht="15.6" thickTop="1" thickBot="1" x14ac:dyDescent="0.35">
      <c r="A2" s="35" t="s">
        <v>231</v>
      </c>
      <c r="B2" s="35">
        <v>3.84</v>
      </c>
      <c r="C2" s="35">
        <v>1700</v>
      </c>
      <c r="D2" s="35" t="s">
        <v>148</v>
      </c>
      <c r="E2" s="36" t="str" cm="1">
        <f t="array" ref="E2">GetNumber(D2,1)</f>
        <v>7</v>
      </c>
      <c r="F2" s="36" t="str" cm="1">
        <f t="array" ref="F2">GetNumber(D2,2)</f>
        <v>5</v>
      </c>
      <c r="G2" s="35">
        <v>11.1</v>
      </c>
      <c r="H2" s="35">
        <v>15038</v>
      </c>
      <c r="I2" s="35">
        <f>29.55*($T$2)</f>
        <v>59.1</v>
      </c>
      <c r="J2" s="35">
        <f>328*($T$2)</f>
        <v>656</v>
      </c>
      <c r="K2" s="35">
        <f xml:space="preserve"> (R2/J2)*60</f>
        <v>9.1371951219512191</v>
      </c>
      <c r="L2" s="35">
        <f>( (R2/G2)/I2)*60</f>
        <v>9.1370558375634516</v>
      </c>
      <c r="M2" s="35">
        <f>2.355*($T$2)</f>
        <v>4.71</v>
      </c>
      <c r="N2" s="35">
        <v>104.4</v>
      </c>
      <c r="O2" s="35">
        <f t="shared" ref="O2:O65" si="0" xml:space="preserve"> (M2/J2)*100</f>
        <v>0.71798780487804881</v>
      </c>
      <c r="P2" s="35">
        <f>M2*K2</f>
        <v>43.036189024390239</v>
      </c>
      <c r="Q2" s="35">
        <f>('Batt Capacity and Sys Weight'!$I$2) + (B2*$T$2)</f>
        <v>38.513000000000005</v>
      </c>
      <c r="R2" s="35">
        <f>'Batt Capacity and Sys Weight'!$H$2</f>
        <v>99.9</v>
      </c>
      <c r="S2" s="49" t="s">
        <v>377</v>
      </c>
      <c r="T2" s="34">
        <v>2</v>
      </c>
      <c r="U2" t="s">
        <v>291</v>
      </c>
    </row>
    <row r="3" spans="1:21" ht="15" thickTop="1" x14ac:dyDescent="0.3">
      <c r="A3" s="35" t="s">
        <v>231</v>
      </c>
      <c r="B3" s="35">
        <v>3.84</v>
      </c>
      <c r="C3" s="35">
        <v>1700</v>
      </c>
      <c r="D3" s="35" t="s">
        <v>149</v>
      </c>
      <c r="E3" s="36" t="str" cm="1">
        <f t="array" ref="E3">GetNumber(D3,1)</f>
        <v>7</v>
      </c>
      <c r="F3" s="36" t="str" cm="1">
        <f t="array" ref="F3">GetNumber(D3,2)</f>
        <v>6</v>
      </c>
      <c r="G3" s="35">
        <v>11.1</v>
      </c>
      <c r="H3" s="35">
        <v>14918</v>
      </c>
      <c r="I3" s="35">
        <f>30.61*($T$2)</f>
        <v>61.22</v>
      </c>
      <c r="J3" s="35">
        <f>339.7*($T$2)</f>
        <v>679.4</v>
      </c>
      <c r="K3" s="35">
        <f t="shared" ref="K3:K66" si="1" xml:space="preserve"> (R3/J3)*60</f>
        <v>8.8224904327347673</v>
      </c>
      <c r="L3" s="35">
        <f t="shared" ref="L3:L66" si="2">( (R3/G3)/I3)*60</f>
        <v>8.82064684743548</v>
      </c>
      <c r="M3" s="35">
        <f>2.51*($T$2)</f>
        <v>5.0199999999999996</v>
      </c>
      <c r="N3" s="35">
        <v>124.4</v>
      </c>
      <c r="O3" s="35">
        <f t="shared" si="0"/>
        <v>0.73888725345893425</v>
      </c>
      <c r="P3" s="35">
        <f t="shared" ref="P3:P16" si="3">M3*K3</f>
        <v>44.288901972328532</v>
      </c>
      <c r="Q3" s="35">
        <f>('Batt Capacity and Sys Weight'!$I$2) + (B3*$T$2)</f>
        <v>38.513000000000005</v>
      </c>
      <c r="R3" s="35">
        <f>'Batt Capacity and Sys Weight'!$H$2</f>
        <v>99.9</v>
      </c>
      <c r="U3" t="s">
        <v>292</v>
      </c>
    </row>
    <row r="4" spans="1:21" x14ac:dyDescent="0.3">
      <c r="A4" s="35" t="s">
        <v>231</v>
      </c>
      <c r="B4" s="35">
        <v>3.84</v>
      </c>
      <c r="C4" s="35">
        <v>1700</v>
      </c>
      <c r="D4" s="35" t="s">
        <v>126</v>
      </c>
      <c r="E4" s="36" t="str" cm="1">
        <f t="array" ref="E4">GetNumber(D4,1)</f>
        <v>8</v>
      </c>
      <c r="F4" s="36" t="str" cm="1">
        <f t="array" ref="F4">GetNumber(D4,2)</f>
        <v>4</v>
      </c>
      <c r="G4" s="35">
        <v>11.1</v>
      </c>
      <c r="H4" s="35">
        <v>14567</v>
      </c>
      <c r="I4" s="35">
        <f>34.41*($T$2)</f>
        <v>68.819999999999993</v>
      </c>
      <c r="J4" s="35">
        <f>381.9*($T$2)</f>
        <v>763.8</v>
      </c>
      <c r="K4" s="35">
        <f t="shared" si="1"/>
        <v>7.8476040848389648</v>
      </c>
      <c r="L4" s="35">
        <f t="shared" si="2"/>
        <v>7.8465562336530095</v>
      </c>
      <c r="M4" s="35">
        <f>3.156*($T$2)</f>
        <v>6.3120000000000003</v>
      </c>
      <c r="N4" s="35">
        <v>81</v>
      </c>
      <c r="O4" s="35">
        <f t="shared" si="0"/>
        <v>0.82639434406912815</v>
      </c>
      <c r="P4" s="35">
        <f t="shared" si="3"/>
        <v>49.534076983503546</v>
      </c>
      <c r="Q4" s="35">
        <f>('Batt Capacity and Sys Weight'!$I$2) + (B4*$T$2)</f>
        <v>38.513000000000005</v>
      </c>
      <c r="R4" s="35">
        <f>'Batt Capacity and Sys Weight'!$H$2</f>
        <v>99.9</v>
      </c>
      <c r="U4" t="s">
        <v>293</v>
      </c>
    </row>
    <row r="5" spans="1:21" x14ac:dyDescent="0.3">
      <c r="A5" s="35" t="s">
        <v>231</v>
      </c>
      <c r="B5" s="35">
        <v>3.84</v>
      </c>
      <c r="C5" s="35">
        <v>1700</v>
      </c>
      <c r="D5" s="35" t="s">
        <v>161</v>
      </c>
      <c r="E5" s="36" t="str" cm="1">
        <f t="array" ref="E5">GetNumber(D5,1)</f>
        <v>6</v>
      </c>
      <c r="F5" s="36" cm="1">
        <f t="array" ref="F5">GetNumber(D5,2)+(GetNumber(D5,3)/10)</f>
        <v>5.5</v>
      </c>
      <c r="G5" s="35">
        <v>14.8</v>
      </c>
      <c r="H5" s="35">
        <v>20711</v>
      </c>
      <c r="I5" s="35">
        <f>28.89*($T$2)</f>
        <v>57.78</v>
      </c>
      <c r="J5" s="35">
        <f>427.6*($T$2)</f>
        <v>855.2</v>
      </c>
      <c r="K5" s="35">
        <f t="shared" si="1"/>
        <v>6.8531337698783918</v>
      </c>
      <c r="L5" s="35">
        <f t="shared" si="2"/>
        <v>6.8535825545171347</v>
      </c>
      <c r="M5" s="35">
        <f>2.3*($T$2)</f>
        <v>4.5999999999999996</v>
      </c>
      <c r="N5" s="35">
        <v>158.30000000000001</v>
      </c>
      <c r="O5" s="35">
        <f t="shared" si="0"/>
        <v>0.53788587464920479</v>
      </c>
      <c r="P5" s="35">
        <f t="shared" si="3"/>
        <v>31.524415341440601</v>
      </c>
      <c r="Q5" s="35">
        <f>('Batt Capacity and Sys Weight'!$I$3) + (B5*$T$2)</f>
        <v>34.068474999999999</v>
      </c>
      <c r="R5" s="35">
        <f>'Batt Capacity and Sys Weight'!$H$3</f>
        <v>97.68</v>
      </c>
    </row>
    <row r="6" spans="1:21" x14ac:dyDescent="0.3">
      <c r="A6" s="35" t="s">
        <v>232</v>
      </c>
      <c r="B6" s="35">
        <v>4.2300000000000004</v>
      </c>
      <c r="C6" s="35">
        <v>1450</v>
      </c>
      <c r="D6" s="35" t="s">
        <v>148</v>
      </c>
      <c r="E6" s="36" t="str" cm="1">
        <f t="array" ref="E6">GetNumber(D6,1)</f>
        <v>7</v>
      </c>
      <c r="F6" s="36" t="str" cm="1">
        <f t="array" ref="F6">GetNumber(D6,2)</f>
        <v>5</v>
      </c>
      <c r="G6" s="35">
        <v>11.1</v>
      </c>
      <c r="H6" s="35">
        <v>15316</v>
      </c>
      <c r="I6" s="35">
        <f>31.1*($T$2)</f>
        <v>62.2</v>
      </c>
      <c r="J6" s="35">
        <f>345.2*($T$2)</f>
        <v>690.4</v>
      </c>
      <c r="K6" s="35">
        <f t="shared" si="1"/>
        <v>8.6819235225955964</v>
      </c>
      <c r="L6" s="35">
        <f t="shared" si="2"/>
        <v>8.6816720257234721</v>
      </c>
      <c r="M6" s="35">
        <f>2.408*($T$2)</f>
        <v>4.8159999999999998</v>
      </c>
      <c r="N6" s="35">
        <v>106.3</v>
      </c>
      <c r="O6" s="35">
        <f t="shared" si="0"/>
        <v>0.69756662804171499</v>
      </c>
      <c r="P6" s="35">
        <f t="shared" si="3"/>
        <v>41.812143684820391</v>
      </c>
      <c r="Q6" s="35">
        <f>('Batt Capacity and Sys Weight'!$I$2) + (B6*$T$2)</f>
        <v>39.293000000000006</v>
      </c>
      <c r="R6" s="35">
        <f>'Batt Capacity and Sys Weight'!$H$2</f>
        <v>99.9</v>
      </c>
    </row>
    <row r="7" spans="1:21" x14ac:dyDescent="0.3">
      <c r="A7" s="35" t="s">
        <v>232</v>
      </c>
      <c r="B7" s="35">
        <v>4.2300000000000004</v>
      </c>
      <c r="C7" s="35">
        <v>1450</v>
      </c>
      <c r="D7" s="35" t="s">
        <v>149</v>
      </c>
      <c r="E7" s="36" t="str" cm="1">
        <f t="array" ref="E7">GetNumber(D7,1)</f>
        <v>7</v>
      </c>
      <c r="F7" s="36" t="str" cm="1">
        <f t="array" ref="F7">GetNumber(D7,2)</f>
        <v>6</v>
      </c>
      <c r="G7" s="35">
        <v>11.1</v>
      </c>
      <c r="H7" s="35">
        <v>15275</v>
      </c>
      <c r="I7" s="35">
        <f>33.04*($T$2)</f>
        <v>66.08</v>
      </c>
      <c r="J7" s="35">
        <f>366.8*($T$2)</f>
        <v>733.6</v>
      </c>
      <c r="K7" s="35">
        <f t="shared" si="1"/>
        <v>8.1706652126499453</v>
      </c>
      <c r="L7" s="35">
        <f t="shared" si="2"/>
        <v>8.1719128329297828</v>
      </c>
      <c r="M7" s="35">
        <f>2.587*($T$2)</f>
        <v>5.1740000000000004</v>
      </c>
      <c r="N7" s="35">
        <v>127.3</v>
      </c>
      <c r="O7" s="35">
        <f t="shared" si="0"/>
        <v>0.70528898582333699</v>
      </c>
      <c r="P7" s="35">
        <f t="shared" si="3"/>
        <v>42.27502181025082</v>
      </c>
      <c r="Q7" s="35">
        <f>('Batt Capacity and Sys Weight'!$I$2) + (B7*$T$2)</f>
        <v>39.293000000000006</v>
      </c>
      <c r="R7" s="35">
        <f>'Batt Capacity and Sys Weight'!$H$2</f>
        <v>99.9</v>
      </c>
      <c r="T7" t="s">
        <v>382</v>
      </c>
    </row>
    <row r="8" spans="1:21" x14ac:dyDescent="0.3">
      <c r="A8" s="35" t="s">
        <v>232</v>
      </c>
      <c r="B8" s="35">
        <v>4.2300000000000004</v>
      </c>
      <c r="C8" s="35">
        <v>1450</v>
      </c>
      <c r="D8" s="35" t="s">
        <v>126</v>
      </c>
      <c r="E8" s="36" t="str" cm="1">
        <f t="array" ref="E8">GetNumber(D8,1)</f>
        <v>8</v>
      </c>
      <c r="F8" s="36" t="str" cm="1">
        <f t="array" ref="F8">GetNumber(D8,2)</f>
        <v>4</v>
      </c>
      <c r="G8" s="35">
        <v>11.1</v>
      </c>
      <c r="H8" s="35">
        <v>15004</v>
      </c>
      <c r="I8" s="35">
        <f>38.09*($T$2)</f>
        <v>76.180000000000007</v>
      </c>
      <c r="J8" s="35">
        <f>422.8*($T$2)</f>
        <v>845.6</v>
      </c>
      <c r="K8" s="35">
        <f t="shared" si="1"/>
        <v>7.088457899716178</v>
      </c>
      <c r="L8" s="35">
        <f t="shared" si="2"/>
        <v>7.0884746652664736</v>
      </c>
      <c r="M8" s="35">
        <f>3.277*($T$2)</f>
        <v>6.5540000000000003</v>
      </c>
      <c r="N8" s="35">
        <v>83.3</v>
      </c>
      <c r="O8" s="35">
        <f t="shared" si="0"/>
        <v>0.77507095553453176</v>
      </c>
      <c r="P8" s="35">
        <f t="shared" si="3"/>
        <v>46.457753074739834</v>
      </c>
      <c r="Q8" s="35">
        <f>('Batt Capacity and Sys Weight'!$I$2) + (B8*$T$2)</f>
        <v>39.293000000000006</v>
      </c>
      <c r="R8" s="35">
        <f>'Batt Capacity and Sys Weight'!$H$2</f>
        <v>99.9</v>
      </c>
    </row>
    <row r="9" spans="1:21" x14ac:dyDescent="0.3">
      <c r="A9" s="35" t="s">
        <v>232</v>
      </c>
      <c r="B9" s="35">
        <v>4.2300000000000004</v>
      </c>
      <c r="C9" s="35">
        <v>1450</v>
      </c>
      <c r="D9" s="35" t="s">
        <v>233</v>
      </c>
      <c r="E9" s="36" t="str" cm="1">
        <f t="array" ref="E9">GetNumber(D9,1)</f>
        <v>6</v>
      </c>
      <c r="F9" s="36" cm="1">
        <f t="array" ref="F9">GetNumber(D9,2)+(GetNumber(D9,3)/10)</f>
        <v>4.3</v>
      </c>
      <c r="G9" s="35">
        <v>14.8</v>
      </c>
      <c r="H9" s="35">
        <v>20756</v>
      </c>
      <c r="I9" s="35">
        <f>32.3*($T$2)</f>
        <v>64.599999999999994</v>
      </c>
      <c r="J9" s="35">
        <f>478*($T$2)</f>
        <v>956</v>
      </c>
      <c r="K9" s="35">
        <f t="shared" si="1"/>
        <v>6.130543933054394</v>
      </c>
      <c r="L9" s="35">
        <f t="shared" si="2"/>
        <v>6.1300309597523226</v>
      </c>
      <c r="M9" s="35">
        <f>3.103*($T$2)</f>
        <v>6.2060000000000004</v>
      </c>
      <c r="N9" s="35">
        <v>123.9</v>
      </c>
      <c r="O9" s="35">
        <f t="shared" si="0"/>
        <v>0.649163179916318</v>
      </c>
      <c r="P9" s="35">
        <f t="shared" si="3"/>
        <v>38.046155648535574</v>
      </c>
      <c r="Q9" s="35">
        <f>('Batt Capacity and Sys Weight'!$I$3) + (B9*$T$2)</f>
        <v>34.848475000000001</v>
      </c>
      <c r="R9" s="35">
        <f>'Batt Capacity and Sys Weight'!$H$3</f>
        <v>97.68</v>
      </c>
      <c r="T9" t="s">
        <v>300</v>
      </c>
    </row>
    <row r="10" spans="1:21" x14ac:dyDescent="0.3">
      <c r="A10" s="35" t="s">
        <v>232</v>
      </c>
      <c r="B10" s="35">
        <v>4.2300000000000004</v>
      </c>
      <c r="C10" s="35">
        <v>1450</v>
      </c>
      <c r="D10" s="35" t="s">
        <v>234</v>
      </c>
      <c r="E10" s="36" t="str" cm="1">
        <f t="array" ref="E10">GetNumber(D10,1)</f>
        <v>6</v>
      </c>
      <c r="F10" s="36" cm="1">
        <f t="array" ref="F10">GetNumber(D10,2)+(GetNumber(D10,3)/10)</f>
        <v>4.5</v>
      </c>
      <c r="G10" s="35">
        <v>14.8</v>
      </c>
      <c r="H10" s="35">
        <v>20885</v>
      </c>
      <c r="I10" s="35">
        <f>30.23*($T$2)</f>
        <v>60.46</v>
      </c>
      <c r="J10" s="35">
        <f>447.4*($T$2)</f>
        <v>894.8</v>
      </c>
      <c r="K10" s="35">
        <f t="shared" si="1"/>
        <v>6.5498435404559681</v>
      </c>
      <c r="L10" s="35">
        <f t="shared" si="2"/>
        <v>6.5497849818061535</v>
      </c>
      <c r="M10" s="35">
        <f>3.066*($T$2)</f>
        <v>6.1319999999999997</v>
      </c>
      <c r="N10" s="35">
        <v>130.5</v>
      </c>
      <c r="O10" s="35">
        <f t="shared" si="0"/>
        <v>0.68529280286097449</v>
      </c>
      <c r="P10" s="35">
        <f t="shared" si="3"/>
        <v>40.163640590075993</v>
      </c>
      <c r="Q10" s="35">
        <f>('Batt Capacity and Sys Weight'!$I$3) + (B10*$T$2)</f>
        <v>34.848475000000001</v>
      </c>
      <c r="R10" s="35">
        <f>'Batt Capacity and Sys Weight'!$H$3</f>
        <v>97.68</v>
      </c>
      <c r="T10" t="s">
        <v>301</v>
      </c>
    </row>
    <row r="11" spans="1:21" x14ac:dyDescent="0.3">
      <c r="A11" s="35" t="s">
        <v>232</v>
      </c>
      <c r="B11" s="35">
        <v>4.2300000000000004</v>
      </c>
      <c r="C11" s="35">
        <v>1450</v>
      </c>
      <c r="D11" s="35" t="s">
        <v>161</v>
      </c>
      <c r="E11" s="36" t="str" cm="1">
        <f t="array" ref="E11">GetNumber(D11,1)</f>
        <v>6</v>
      </c>
      <c r="F11" s="36" cm="1">
        <f t="array" ref="F11">GetNumber(D11,2)+(GetNumber(D11,3)/10)</f>
        <v>5.5</v>
      </c>
      <c r="G11" s="35">
        <v>14.8</v>
      </c>
      <c r="H11" s="35">
        <v>20973</v>
      </c>
      <c r="I11" s="35">
        <f>28.88*($T$2)</f>
        <v>57.76</v>
      </c>
      <c r="J11" s="35">
        <f>427.4*($T$2)</f>
        <v>854.8</v>
      </c>
      <c r="K11" s="35">
        <f t="shared" si="1"/>
        <v>6.8563406644829206</v>
      </c>
      <c r="L11" s="35">
        <f t="shared" si="2"/>
        <v>6.8559556786703615</v>
      </c>
      <c r="M11" s="35">
        <f>2.318*($T$2)</f>
        <v>4.6360000000000001</v>
      </c>
      <c r="N11" s="35">
        <v>160.19999999999999</v>
      </c>
      <c r="O11" s="35">
        <f t="shared" si="0"/>
        <v>0.54234908750584943</v>
      </c>
      <c r="P11" s="35">
        <f t="shared" si="3"/>
        <v>31.785995320542821</v>
      </c>
      <c r="Q11" s="35">
        <f>('Batt Capacity and Sys Weight'!$I$3) + (B11*$T$2)</f>
        <v>34.848475000000001</v>
      </c>
      <c r="R11" s="35">
        <f>'Batt Capacity and Sys Weight'!$H$3</f>
        <v>97.68</v>
      </c>
    </row>
    <row r="12" spans="1:21" x14ac:dyDescent="0.3">
      <c r="A12" s="35" t="s">
        <v>232</v>
      </c>
      <c r="B12" s="35">
        <v>4.2300000000000004</v>
      </c>
      <c r="C12" s="35">
        <v>1450</v>
      </c>
      <c r="D12" s="35" t="s">
        <v>152</v>
      </c>
      <c r="E12" s="36" t="str" cm="1">
        <f t="array" ref="E12">GetNumber(D12,1)</f>
        <v>6</v>
      </c>
      <c r="F12" s="36" t="str" cm="1">
        <f t="array" ref="F12">GetNumber(D12,2)</f>
        <v>6</v>
      </c>
      <c r="G12" s="35">
        <v>14.8</v>
      </c>
      <c r="H12" s="35">
        <v>20667</v>
      </c>
      <c r="I12" s="35">
        <f>33.49*($T$2)</f>
        <v>66.98</v>
      </c>
      <c r="J12" s="35">
        <f>495.6*($T$2)</f>
        <v>991.2</v>
      </c>
      <c r="K12" s="35">
        <f t="shared" si="1"/>
        <v>5.9128329297820823</v>
      </c>
      <c r="L12" s="35">
        <f t="shared" si="2"/>
        <v>5.9122126007763516</v>
      </c>
      <c r="M12" s="35">
        <f>2.366*($T$2)</f>
        <v>4.7320000000000002</v>
      </c>
      <c r="N12" s="35">
        <v>172.2</v>
      </c>
      <c r="O12" s="35">
        <f t="shared" si="0"/>
        <v>0.47740112994350281</v>
      </c>
      <c r="P12" s="35">
        <f t="shared" si="3"/>
        <v>27.979525423728816</v>
      </c>
      <c r="Q12" s="35">
        <f>('Batt Capacity and Sys Weight'!$I$3) + (B12*$T$2)</f>
        <v>34.848475000000001</v>
      </c>
      <c r="R12" s="35">
        <f>'Batt Capacity and Sys Weight'!$H$3</f>
        <v>97.68</v>
      </c>
    </row>
    <row r="13" spans="1:21" x14ac:dyDescent="0.3">
      <c r="A13" s="35" t="s">
        <v>232</v>
      </c>
      <c r="B13" s="35">
        <v>4.2300000000000004</v>
      </c>
      <c r="C13" s="35">
        <v>1450</v>
      </c>
      <c r="D13" s="35" t="s">
        <v>159</v>
      </c>
      <c r="E13" s="36" t="str" cm="1">
        <f t="array" ref="E13">GetNumber(D13,1)</f>
        <v>6</v>
      </c>
      <c r="F13" s="36" t="str" cm="1">
        <f t="array" ref="F13">GetNumber(D13,2)</f>
        <v>4</v>
      </c>
      <c r="G13" s="35">
        <v>18.5</v>
      </c>
      <c r="H13" s="35">
        <v>26353</v>
      </c>
      <c r="I13" s="35">
        <f>38.24*($T$2)</f>
        <v>76.48</v>
      </c>
      <c r="J13" s="35">
        <f>707.4*($T$2)</f>
        <v>1414.8</v>
      </c>
      <c r="K13" s="35">
        <f t="shared" si="1"/>
        <v>3.9228159457167093</v>
      </c>
      <c r="L13" s="35">
        <f t="shared" si="2"/>
        <v>3.9225941422594142</v>
      </c>
      <c r="M13" s="35">
        <f>3.26*($T$2)</f>
        <v>6.52</v>
      </c>
      <c r="N13" s="35">
        <v>146.4</v>
      </c>
      <c r="O13" s="35">
        <f t="shared" si="0"/>
        <v>0.46084252191122416</v>
      </c>
      <c r="P13" s="35">
        <f t="shared" si="3"/>
        <v>25.576759966072942</v>
      </c>
      <c r="Q13" s="35">
        <f>('Batt Capacity and Sys Weight'!$I$4) + (B13*$T$2)</f>
        <v>35.624503000000004</v>
      </c>
      <c r="R13" s="35">
        <f>'Batt Capacity and Sys Weight'!$H$4</f>
        <v>92.5</v>
      </c>
      <c r="T13" t="s">
        <v>302</v>
      </c>
    </row>
    <row r="14" spans="1:21" x14ac:dyDescent="0.3">
      <c r="A14" s="35" t="s">
        <v>235</v>
      </c>
      <c r="B14" s="35">
        <v>2.15</v>
      </c>
      <c r="C14" s="35">
        <v>950</v>
      </c>
      <c r="D14" s="35" t="s">
        <v>104</v>
      </c>
      <c r="E14" s="36" t="str" cm="1">
        <f t="array" ref="E14">GetNumber(D14,1)</f>
        <v>9</v>
      </c>
      <c r="F14" s="36" cm="1">
        <f t="array" ref="F14">GetNumber(D14,2)+(GetNumber(D14,3)/10)</f>
        <v>7.5</v>
      </c>
      <c r="G14" s="35">
        <v>7.4</v>
      </c>
      <c r="H14" s="35">
        <v>5250</v>
      </c>
      <c r="I14" s="35">
        <f>7.59*($T$2)</f>
        <v>15.18</v>
      </c>
      <c r="J14" s="35">
        <f>56.3*($T$2)</f>
        <v>112.6</v>
      </c>
      <c r="K14" s="35">
        <f t="shared" si="1"/>
        <v>53.285968028419184</v>
      </c>
      <c r="L14" s="35">
        <f t="shared" si="2"/>
        <v>53.413096891357753</v>
      </c>
      <c r="M14" s="35">
        <f>0.747*($T$2)</f>
        <v>1.494</v>
      </c>
      <c r="N14" s="35">
        <v>54.7</v>
      </c>
      <c r="O14" s="35">
        <f t="shared" si="0"/>
        <v>1.3268206039076378</v>
      </c>
      <c r="P14" s="35">
        <f t="shared" si="3"/>
        <v>79.609236234458265</v>
      </c>
      <c r="Q14" s="35">
        <v>0</v>
      </c>
      <c r="R14" s="35">
        <f>$T$1</f>
        <v>100</v>
      </c>
    </row>
    <row r="15" spans="1:21" x14ac:dyDescent="0.3">
      <c r="A15" s="35" t="s">
        <v>235</v>
      </c>
      <c r="B15" s="35">
        <v>2.15</v>
      </c>
      <c r="C15" s="35">
        <v>950</v>
      </c>
      <c r="D15" s="35" t="s">
        <v>68</v>
      </c>
      <c r="E15" s="36" t="str" cm="1">
        <f t="array" ref="E15">GetNumber(D15,1)</f>
        <v>10</v>
      </c>
      <c r="F15" s="36" t="str" cm="1">
        <f t="array" ref="F15">GetNumber(D15,2)</f>
        <v>7</v>
      </c>
      <c r="G15" s="35">
        <v>7.4</v>
      </c>
      <c r="H15" s="35">
        <v>5180</v>
      </c>
      <c r="I15" s="35">
        <f>7.82*($T$2)</f>
        <v>15.64</v>
      </c>
      <c r="J15" s="35">
        <f>57.9*($T$2)</f>
        <v>115.8</v>
      </c>
      <c r="K15" s="35">
        <f t="shared" si="1"/>
        <v>51.813471502590673</v>
      </c>
      <c r="L15" s="35">
        <f t="shared" si="2"/>
        <v>51.842123453376644</v>
      </c>
      <c r="M15" s="35">
        <f>0.979*($T$2)</f>
        <v>1.958</v>
      </c>
      <c r="N15" s="35">
        <v>50.3</v>
      </c>
      <c r="O15" s="35">
        <f t="shared" si="0"/>
        <v>1.6908462867012091</v>
      </c>
      <c r="P15" s="35">
        <f t="shared" si="3"/>
        <v>101.45077720207253</v>
      </c>
      <c r="Q15" s="35">
        <v>0</v>
      </c>
      <c r="R15" s="35">
        <f t="shared" ref="R15:R18" si="4">$T$1</f>
        <v>100</v>
      </c>
      <c r="T15" t="s">
        <v>303</v>
      </c>
    </row>
    <row r="16" spans="1:21" x14ac:dyDescent="0.3">
      <c r="A16" s="35" t="s">
        <v>235</v>
      </c>
      <c r="B16" s="35">
        <v>2.15</v>
      </c>
      <c r="C16" s="35">
        <v>950</v>
      </c>
      <c r="D16" s="35" t="s">
        <v>55</v>
      </c>
      <c r="E16" s="36" t="str" cm="1">
        <f t="array" ref="E16">GetNumber(D16,1)</f>
        <v>10</v>
      </c>
      <c r="F16" s="36" t="str" cm="1">
        <f t="array" ref="F16">GetNumber(D16,2)</f>
        <v>10</v>
      </c>
      <c r="G16" s="35">
        <v>7.4</v>
      </c>
      <c r="H16" s="35">
        <v>4560</v>
      </c>
      <c r="I16" s="35">
        <f>10.9*($T$2)</f>
        <v>21.8</v>
      </c>
      <c r="J16" s="35">
        <f>80.7*($T$2)</f>
        <v>161.4</v>
      </c>
      <c r="K16" s="35">
        <f t="shared" si="1"/>
        <v>37.174721189591075</v>
      </c>
      <c r="L16" s="35">
        <f t="shared" si="2"/>
        <v>37.193156459211501</v>
      </c>
      <c r="M16" s="35">
        <f>0.794*($T$2)</f>
        <v>1.5880000000000001</v>
      </c>
      <c r="N16" s="35">
        <v>63.4</v>
      </c>
      <c r="O16" s="35">
        <f t="shared" si="0"/>
        <v>0.98389095415117733</v>
      </c>
      <c r="P16" s="35">
        <f t="shared" si="3"/>
        <v>59.033457249070629</v>
      </c>
      <c r="Q16" s="35">
        <v>0</v>
      </c>
      <c r="R16" s="35">
        <f t="shared" si="4"/>
        <v>100</v>
      </c>
      <c r="T16" t="s">
        <v>304</v>
      </c>
    </row>
    <row r="17" spans="1:27" x14ac:dyDescent="0.3">
      <c r="A17" s="35" t="s">
        <v>235</v>
      </c>
      <c r="B17" s="35">
        <v>2.15</v>
      </c>
      <c r="C17" s="35">
        <v>950</v>
      </c>
      <c r="D17" s="35" t="s">
        <v>72</v>
      </c>
      <c r="E17" s="36" t="str" cm="1">
        <f t="array" ref="E17">GetNumber(D17,1)</f>
        <v>11</v>
      </c>
      <c r="F17" s="36" t="str" cm="1">
        <f t="array" ref="F17">GetNumber(D17,2)</f>
        <v>8</v>
      </c>
      <c r="G17" s="35">
        <v>7.4</v>
      </c>
      <c r="H17" s="35">
        <v>4680</v>
      </c>
      <c r="I17" s="35">
        <f>10.2*($T$2)</f>
        <v>20.399999999999999</v>
      </c>
      <c r="J17" s="35">
        <f>75.5*($T$2)</f>
        <v>151</v>
      </c>
      <c r="K17" s="35">
        <f t="shared" si="1"/>
        <v>39.735099337748345</v>
      </c>
      <c r="L17" s="35">
        <f t="shared" si="2"/>
        <v>39.745627980922094</v>
      </c>
      <c r="M17" s="35">
        <f>1.05*($T$2)</f>
        <v>2.1</v>
      </c>
      <c r="N17" s="35">
        <v>52.1</v>
      </c>
      <c r="O17" s="35">
        <f t="shared" si="0"/>
        <v>1.3907284768211923</v>
      </c>
      <c r="P17" s="35">
        <f t="shared" ref="P17:P80" si="5">M17*K17</f>
        <v>83.443708609271525</v>
      </c>
      <c r="Q17" s="35">
        <v>0</v>
      </c>
      <c r="R17" s="35">
        <f t="shared" si="4"/>
        <v>100</v>
      </c>
      <c r="T17" t="s">
        <v>305</v>
      </c>
    </row>
    <row r="18" spans="1:27" x14ac:dyDescent="0.3">
      <c r="A18" s="35" t="s">
        <v>235</v>
      </c>
      <c r="B18" s="35">
        <v>2.15</v>
      </c>
      <c r="C18" s="35">
        <v>950</v>
      </c>
      <c r="D18" s="35" t="s">
        <v>56</v>
      </c>
      <c r="E18" s="36" t="str" cm="1">
        <f t="array" ref="E18">GetNumber(D18,1)</f>
        <v>11</v>
      </c>
      <c r="F18" s="36" cm="1">
        <f t="array" ref="F18">GetNumber(D18,2)+(GetNumber(D18,3)/10)</f>
        <v>8.5</v>
      </c>
      <c r="G18" s="35">
        <v>7.4</v>
      </c>
      <c r="H18" s="35">
        <v>4630</v>
      </c>
      <c r="I18" s="35">
        <f>10.46*($T$2)</f>
        <v>20.92</v>
      </c>
      <c r="J18" s="35">
        <f>77.4*($T$2)</f>
        <v>154.80000000000001</v>
      </c>
      <c r="K18" s="35">
        <f t="shared" si="1"/>
        <v>38.759689922480618</v>
      </c>
      <c r="L18" s="35">
        <f t="shared" si="2"/>
        <v>38.757686941243335</v>
      </c>
      <c r="M18" s="35">
        <f>1.142*($T$2)</f>
        <v>2.2839999999999998</v>
      </c>
      <c r="N18" s="35">
        <v>54.7</v>
      </c>
      <c r="O18" s="35">
        <f t="shared" si="0"/>
        <v>1.4754521963824287</v>
      </c>
      <c r="P18" s="35">
        <f t="shared" si="5"/>
        <v>88.52713178294573</v>
      </c>
      <c r="Q18" s="35">
        <v>0</v>
      </c>
      <c r="R18" s="35">
        <f t="shared" si="4"/>
        <v>100</v>
      </c>
      <c r="T18" t="s">
        <v>306</v>
      </c>
    </row>
    <row r="19" spans="1:27" x14ac:dyDescent="0.3">
      <c r="A19" s="35" t="s">
        <v>235</v>
      </c>
      <c r="B19" s="35">
        <v>2.15</v>
      </c>
      <c r="C19" s="35">
        <v>950</v>
      </c>
      <c r="D19" s="35" t="s">
        <v>127</v>
      </c>
      <c r="E19" s="36" t="str" cm="1">
        <f t="array" ref="E19">GetNumber(D19,1)</f>
        <v>8</v>
      </c>
      <c r="F19" s="36" t="str" cm="1">
        <f t="array" ref="F19">GetNumber(D19,2)</f>
        <v>6</v>
      </c>
      <c r="G19" s="35">
        <v>11.1</v>
      </c>
      <c r="H19" s="35">
        <v>8000</v>
      </c>
      <c r="I19" s="35">
        <f>8.93*($T$2)</f>
        <v>17.86</v>
      </c>
      <c r="J19" s="35">
        <f>99.1*($T$2)</f>
        <v>198.2</v>
      </c>
      <c r="K19" s="35">
        <f t="shared" si="1"/>
        <v>30.242179616548942</v>
      </c>
      <c r="L19" s="35">
        <f t="shared" si="2"/>
        <v>30.235162374020156</v>
      </c>
      <c r="M19" s="35">
        <f>1.134*($T$2)</f>
        <v>2.2679999999999998</v>
      </c>
      <c r="N19" s="35">
        <v>66.7</v>
      </c>
      <c r="O19" s="35">
        <f t="shared" si="0"/>
        <v>1.1442986881937436</v>
      </c>
      <c r="P19" s="35">
        <f t="shared" si="5"/>
        <v>68.589263370333001</v>
      </c>
      <c r="Q19" s="35">
        <f>('Batt Capacity and Sys Weight'!$I$2) + (B19*$T$2)</f>
        <v>35.133000000000003</v>
      </c>
      <c r="R19" s="35">
        <f>'Batt Capacity and Sys Weight'!$H$2</f>
        <v>99.9</v>
      </c>
    </row>
    <row r="20" spans="1:27" x14ac:dyDescent="0.3">
      <c r="A20" s="35" t="s">
        <v>235</v>
      </c>
      <c r="B20" s="35">
        <v>2.15</v>
      </c>
      <c r="C20" s="35">
        <v>950</v>
      </c>
      <c r="D20" s="35" t="s">
        <v>184</v>
      </c>
      <c r="E20" s="36" t="str" cm="1">
        <f t="array" ref="E20">GetNumber(D20,1)</f>
        <v>8</v>
      </c>
      <c r="F20" s="36" t="str" cm="1">
        <f t="array" ref="F20">GetNumber(D20,2)</f>
        <v>6</v>
      </c>
      <c r="G20" s="35">
        <v>11.1</v>
      </c>
      <c r="H20" s="35">
        <v>7540</v>
      </c>
      <c r="I20" s="35">
        <f>10.87*($T$2)</f>
        <v>21.74</v>
      </c>
      <c r="J20" s="35">
        <f>120.7*($T$2)</f>
        <v>241.4</v>
      </c>
      <c r="K20" s="35">
        <f t="shared" si="1"/>
        <v>24.830157415078709</v>
      </c>
      <c r="L20" s="35">
        <f t="shared" si="2"/>
        <v>24.839006439742413</v>
      </c>
      <c r="M20" s="35">
        <f>1.301*($T$2)</f>
        <v>2.6019999999999999</v>
      </c>
      <c r="N20" s="35">
        <v>62.8</v>
      </c>
      <c r="O20" s="35">
        <f t="shared" si="0"/>
        <v>1.0778790389395194</v>
      </c>
      <c r="P20" s="35">
        <f t="shared" si="5"/>
        <v>64.608069594034802</v>
      </c>
      <c r="Q20" s="35">
        <f>('Batt Capacity and Sys Weight'!$I$2) + (B20*$T$2)</f>
        <v>35.133000000000003</v>
      </c>
      <c r="R20" s="35">
        <f>'Batt Capacity and Sys Weight'!$H$2</f>
        <v>99.9</v>
      </c>
      <c r="T20" t="s">
        <v>312</v>
      </c>
    </row>
    <row r="21" spans="1:27" x14ac:dyDescent="0.3">
      <c r="A21" s="35" t="s">
        <v>235</v>
      </c>
      <c r="B21" s="35">
        <v>2.15</v>
      </c>
      <c r="C21" s="35">
        <v>950</v>
      </c>
      <c r="D21" s="35" t="s">
        <v>129</v>
      </c>
      <c r="E21" s="36" t="str" cm="1">
        <f t="array" ref="E21">GetNumber(D21,1)</f>
        <v>9</v>
      </c>
      <c r="F21" s="36" cm="1">
        <f t="array" ref="F21">GetNumber(D21,2)+(GetNumber(D21,3)/10)</f>
        <v>4.5</v>
      </c>
      <c r="G21" s="35">
        <v>11.1</v>
      </c>
      <c r="H21" s="35">
        <v>8130</v>
      </c>
      <c r="I21" s="35">
        <f>8.32*($T$2)</f>
        <v>16.64</v>
      </c>
      <c r="J21" s="35">
        <f>92.4*($T$2)</f>
        <v>184.8</v>
      </c>
      <c r="K21" s="35">
        <f t="shared" si="1"/>
        <v>32.435064935064936</v>
      </c>
      <c r="L21" s="35">
        <f t="shared" si="2"/>
        <v>32.451923076923073</v>
      </c>
      <c r="M21" s="35">
        <f>1.427*($T$2)</f>
        <v>2.8540000000000001</v>
      </c>
      <c r="N21" s="35">
        <v>50.7</v>
      </c>
      <c r="O21" s="35">
        <f t="shared" si="0"/>
        <v>1.5443722943722944</v>
      </c>
      <c r="P21" s="35">
        <f t="shared" si="5"/>
        <v>92.56967532467533</v>
      </c>
      <c r="Q21" s="35">
        <f>('Batt Capacity and Sys Weight'!$I$2) + (B21*$T$2)</f>
        <v>35.133000000000003</v>
      </c>
      <c r="R21" s="35">
        <f>'Batt Capacity and Sys Weight'!$H$2</f>
        <v>99.9</v>
      </c>
      <c r="T21" t="s">
        <v>308</v>
      </c>
    </row>
    <row r="22" spans="1:27" x14ac:dyDescent="0.3">
      <c r="A22" s="35" t="s">
        <v>235</v>
      </c>
      <c r="B22" s="35">
        <v>2.15</v>
      </c>
      <c r="C22" s="35">
        <v>950</v>
      </c>
      <c r="D22" s="35" t="s">
        <v>186</v>
      </c>
      <c r="E22" s="36" t="str" cm="1">
        <f t="array" ref="E22">GetNumber(D22,1)</f>
        <v>9</v>
      </c>
      <c r="F22" s="36" cm="1">
        <f t="array" ref="F22">GetNumber(D22,2)+(GetNumber(D22,3)/10)</f>
        <v>4.7</v>
      </c>
      <c r="G22" s="35">
        <v>11.1</v>
      </c>
      <c r="H22" s="35">
        <v>7930</v>
      </c>
      <c r="I22" s="35">
        <f>9.15*($T$2)</f>
        <v>18.3</v>
      </c>
      <c r="J22" s="35">
        <f>101.6*($T$2)</f>
        <v>203.2</v>
      </c>
      <c r="K22" s="35">
        <f t="shared" si="1"/>
        <v>29.498031496062996</v>
      </c>
      <c r="L22" s="35">
        <f t="shared" si="2"/>
        <v>29.508196721311474</v>
      </c>
      <c r="M22" s="35">
        <f>1.506*($T$2)</f>
        <v>3.012</v>
      </c>
      <c r="N22" s="35">
        <v>51.8</v>
      </c>
      <c r="O22" s="35">
        <f t="shared" si="0"/>
        <v>1.4822834645669292</v>
      </c>
      <c r="P22" s="35">
        <f t="shared" si="5"/>
        <v>88.84807086614174</v>
      </c>
      <c r="Q22" s="35">
        <f>('Batt Capacity and Sys Weight'!$I$2) + (B22*$T$2)</f>
        <v>35.133000000000003</v>
      </c>
      <c r="R22" s="35">
        <f>'Batt Capacity and Sys Weight'!$H$2</f>
        <v>99.9</v>
      </c>
      <c r="T22" t="s">
        <v>309</v>
      </c>
    </row>
    <row r="23" spans="1:27" x14ac:dyDescent="0.3">
      <c r="A23" s="35" t="s">
        <v>235</v>
      </c>
      <c r="B23" s="35">
        <v>2.15</v>
      </c>
      <c r="C23" s="35">
        <v>950</v>
      </c>
      <c r="D23" s="35" t="s">
        <v>107</v>
      </c>
      <c r="E23" s="36" t="str" cm="1">
        <f t="array" ref="E23">GetNumber(D23,1)</f>
        <v>9</v>
      </c>
      <c r="F23" s="36" t="str" cm="1">
        <f t="array" ref="F23">GetNumber(D23,2)</f>
        <v>6</v>
      </c>
      <c r="G23" s="35">
        <v>11.1</v>
      </c>
      <c r="H23" s="35">
        <v>7860</v>
      </c>
      <c r="I23" s="35">
        <f>9.52*($T$2)</f>
        <v>19.04</v>
      </c>
      <c r="J23" s="35">
        <f>105.7*($T$2)</f>
        <v>211.4</v>
      </c>
      <c r="K23" s="35">
        <f t="shared" si="1"/>
        <v>28.353831598864712</v>
      </c>
      <c r="L23" s="35">
        <f t="shared" si="2"/>
        <v>28.361344537815128</v>
      </c>
      <c r="M23" s="35">
        <f>1.423*($T$2)</f>
        <v>2.8460000000000001</v>
      </c>
      <c r="N23" s="35">
        <v>65.599999999999994</v>
      </c>
      <c r="O23" s="35">
        <f t="shared" si="0"/>
        <v>1.3462630085146641</v>
      </c>
      <c r="P23" s="35">
        <f t="shared" si="5"/>
        <v>80.695004730368979</v>
      </c>
      <c r="Q23" s="35">
        <f>('Batt Capacity and Sys Weight'!$I$2) + (B23*$T$2)</f>
        <v>35.133000000000003</v>
      </c>
      <c r="R23" s="35">
        <f>'Batt Capacity and Sys Weight'!$H$2</f>
        <v>99.9</v>
      </c>
      <c r="T23" t="s">
        <v>310</v>
      </c>
    </row>
    <row r="24" spans="1:27" x14ac:dyDescent="0.3">
      <c r="A24" s="35" t="s">
        <v>235</v>
      </c>
      <c r="B24" s="35">
        <v>2.15</v>
      </c>
      <c r="C24" s="35">
        <v>950</v>
      </c>
      <c r="D24" s="35" t="s">
        <v>99</v>
      </c>
      <c r="E24" s="36" t="str" cm="1">
        <f t="array" ref="E24">GetNumber(D24,1)</f>
        <v>10</v>
      </c>
      <c r="F24" s="36" t="str" cm="1">
        <f t="array" ref="F24">GetNumber(D24,2)</f>
        <v>5</v>
      </c>
      <c r="G24" s="35">
        <v>11.1</v>
      </c>
      <c r="H24" s="35">
        <v>7470</v>
      </c>
      <c r="I24" s="35">
        <f>11.11*($T$2)</f>
        <v>22.22</v>
      </c>
      <c r="J24" s="35">
        <f>123.3*($T$2)</f>
        <v>246.6</v>
      </c>
      <c r="K24" s="35">
        <f t="shared" si="1"/>
        <v>24.306569343065693</v>
      </c>
      <c r="L24" s="35">
        <f t="shared" si="2"/>
        <v>24.302430243024304</v>
      </c>
      <c r="M24" s="35">
        <f>1.711*($T$2)</f>
        <v>3.4220000000000002</v>
      </c>
      <c r="N24" s="35">
        <v>51.9</v>
      </c>
      <c r="O24" s="35">
        <f t="shared" si="0"/>
        <v>1.3876723438767236</v>
      </c>
      <c r="P24" s="35">
        <f t="shared" si="5"/>
        <v>83.17708029197081</v>
      </c>
      <c r="Q24" s="35">
        <f>('Batt Capacity and Sys Weight'!$I$2) + (B24*$T$2)</f>
        <v>35.133000000000003</v>
      </c>
      <c r="R24" s="35">
        <f>'Batt Capacity and Sys Weight'!$H$2</f>
        <v>99.9</v>
      </c>
      <c r="T24" t="s">
        <v>381</v>
      </c>
    </row>
    <row r="25" spans="1:27" x14ac:dyDescent="0.3">
      <c r="A25" s="35" t="s">
        <v>235</v>
      </c>
      <c r="B25" s="35">
        <v>2.15</v>
      </c>
      <c r="C25" s="35">
        <v>950</v>
      </c>
      <c r="D25" s="35" t="s">
        <v>67</v>
      </c>
      <c r="E25" s="36" t="str" cm="1">
        <f t="array" ref="E25">GetNumber(D25,1)</f>
        <v>10</v>
      </c>
      <c r="F25" s="36" t="str" cm="1">
        <f t="array" ref="F25">GetNumber(D25,2)</f>
        <v>6</v>
      </c>
      <c r="G25" s="35">
        <v>11.1</v>
      </c>
      <c r="H25" s="35">
        <v>7260</v>
      </c>
      <c r="I25" s="35">
        <f>12.02*($T$2)</f>
        <v>24.04</v>
      </c>
      <c r="J25" s="35">
        <f>133.4*($T$2)</f>
        <v>266.8</v>
      </c>
      <c r="K25" s="35">
        <f t="shared" si="1"/>
        <v>22.466266866566716</v>
      </c>
      <c r="L25" s="35">
        <f t="shared" si="2"/>
        <v>22.462562396006657</v>
      </c>
      <c r="M25" s="35">
        <f>1.811*($T$2)</f>
        <v>3.6219999999999999</v>
      </c>
      <c r="N25" s="35">
        <v>60.6</v>
      </c>
      <c r="O25" s="35">
        <f t="shared" si="0"/>
        <v>1.3575712143928034</v>
      </c>
      <c r="P25" s="35">
        <f t="shared" si="5"/>
        <v>81.37281859070464</v>
      </c>
      <c r="Q25" s="35">
        <f>('Batt Capacity and Sys Weight'!$I$2) + (B25*$T$2)</f>
        <v>35.133000000000003</v>
      </c>
      <c r="R25" s="35">
        <f>'Batt Capacity and Sys Weight'!$H$2</f>
        <v>99.9</v>
      </c>
      <c r="T25" t="s">
        <v>307</v>
      </c>
    </row>
    <row r="26" spans="1:27" x14ac:dyDescent="0.3">
      <c r="A26" s="35" t="s">
        <v>235</v>
      </c>
      <c r="B26" s="35">
        <v>2.15</v>
      </c>
      <c r="C26" s="35">
        <v>950</v>
      </c>
      <c r="D26" s="35" t="s">
        <v>236</v>
      </c>
      <c r="E26" s="36" t="str" cm="1">
        <f t="array" ref="E26">GetNumber(D26,1)</f>
        <v>9</v>
      </c>
      <c r="F26" s="36" t="str" cm="1">
        <f t="array" ref="F26">GetNumber(D26,2)</f>
        <v>5</v>
      </c>
      <c r="G26" s="35">
        <v>11.1</v>
      </c>
      <c r="H26" s="35">
        <v>8160</v>
      </c>
      <c r="I26" s="35">
        <f>8.15*($T$2)</f>
        <v>16.3</v>
      </c>
      <c r="J26" s="35">
        <f>90.5*($T$2)</f>
        <v>181</v>
      </c>
      <c r="K26" s="35">
        <f t="shared" si="1"/>
        <v>33.116022099447513</v>
      </c>
      <c r="L26" s="35">
        <f t="shared" si="2"/>
        <v>33.128834355828218</v>
      </c>
      <c r="M26" s="35">
        <f>1.438*($T$2)</f>
        <v>2.8759999999999999</v>
      </c>
      <c r="N26" s="35">
        <v>56.6</v>
      </c>
      <c r="O26" s="35">
        <f t="shared" si="0"/>
        <v>1.5889502762430938</v>
      </c>
      <c r="P26" s="35">
        <f t="shared" si="5"/>
        <v>95.241679558011043</v>
      </c>
      <c r="Q26" s="35">
        <f>('Batt Capacity and Sys Weight'!$I$2) + (B26*$T$2)</f>
        <v>35.133000000000003</v>
      </c>
      <c r="R26" s="35">
        <f>'Batt Capacity and Sys Weight'!$H$2</f>
        <v>99.9</v>
      </c>
      <c r="T26" t="s">
        <v>311</v>
      </c>
    </row>
    <row r="27" spans="1:27" x14ac:dyDescent="0.3">
      <c r="A27" s="35" t="s">
        <v>235</v>
      </c>
      <c r="B27" s="35">
        <v>2.15</v>
      </c>
      <c r="C27" s="35">
        <v>950</v>
      </c>
      <c r="D27" s="35" t="s">
        <v>237</v>
      </c>
      <c r="E27" s="36" t="str" cm="1">
        <f t="array" ref="E27">GetNumber(D27,1)</f>
        <v>9</v>
      </c>
      <c r="F27" s="36" t="str" cm="1">
        <f t="array" ref="F27">GetNumber(D27,2)</f>
        <v>5</v>
      </c>
      <c r="G27" s="35">
        <v>11.1</v>
      </c>
      <c r="H27" s="35">
        <v>7730</v>
      </c>
      <c r="I27" s="35">
        <f>10.08*($T$2)</f>
        <v>20.16</v>
      </c>
      <c r="J27" s="35">
        <f>111.9*($T$2)</f>
        <v>223.8</v>
      </c>
      <c r="K27" s="35">
        <f t="shared" si="1"/>
        <v>26.782841823056302</v>
      </c>
      <c r="L27" s="35">
        <f t="shared" si="2"/>
        <v>26.785714285714288</v>
      </c>
      <c r="M27" s="35">
        <f>1.553*($T$2)</f>
        <v>3.1059999999999999</v>
      </c>
      <c r="N27" s="35">
        <v>53.7</v>
      </c>
      <c r="O27" s="35">
        <f t="shared" si="0"/>
        <v>1.3878462913315459</v>
      </c>
      <c r="P27" s="35">
        <f t="shared" si="5"/>
        <v>83.187506702412875</v>
      </c>
      <c r="Q27" s="35">
        <f>('Batt Capacity and Sys Weight'!$I$2) + (B27*$T$2)</f>
        <v>35.133000000000003</v>
      </c>
      <c r="R27" s="35">
        <f>'Batt Capacity and Sys Weight'!$H$2</f>
        <v>99.9</v>
      </c>
    </row>
    <row r="28" spans="1:27" x14ac:dyDescent="0.3">
      <c r="A28" s="35" t="s">
        <v>235</v>
      </c>
      <c r="B28" s="35">
        <v>2.15</v>
      </c>
      <c r="C28" s="35">
        <v>950</v>
      </c>
      <c r="D28" s="35" t="s">
        <v>238</v>
      </c>
      <c r="E28" s="36" t="str" cm="1">
        <f t="array" ref="E28">GetNumber(D28,1)</f>
        <v>10</v>
      </c>
      <c r="F28" s="36" t="str" cm="1">
        <f t="array" ref="F28">GetNumber(D28,2)</f>
        <v>6</v>
      </c>
      <c r="G28" s="35">
        <v>11.1</v>
      </c>
      <c r="H28" s="35">
        <v>7590</v>
      </c>
      <c r="I28" s="35">
        <f>10.66*($T$2)</f>
        <v>21.32</v>
      </c>
      <c r="J28" s="35">
        <f>118.3*($T$2)</f>
        <v>236.6</v>
      </c>
      <c r="K28" s="35">
        <f t="shared" si="1"/>
        <v>25.333896872358412</v>
      </c>
      <c r="L28" s="35">
        <f t="shared" si="2"/>
        <v>25.328330206378986</v>
      </c>
      <c r="M28" s="35">
        <f>1.705*($T$2)</f>
        <v>3.41</v>
      </c>
      <c r="N28" s="35">
        <v>63.2</v>
      </c>
      <c r="O28" s="35">
        <f t="shared" si="0"/>
        <v>1.4412510566356722</v>
      </c>
      <c r="P28" s="35">
        <f t="shared" si="5"/>
        <v>86.388588334742195</v>
      </c>
      <c r="Q28" s="35">
        <f>('Batt Capacity and Sys Weight'!$I$2) + (B28*$T$2)</f>
        <v>35.133000000000003</v>
      </c>
      <c r="R28" s="35">
        <f>'Batt Capacity and Sys Weight'!$H$2</f>
        <v>99.9</v>
      </c>
      <c r="T28" s="62" t="s">
        <v>379</v>
      </c>
      <c r="U28" s="63"/>
      <c r="V28" s="63"/>
      <c r="W28" s="63"/>
      <c r="X28" s="63"/>
      <c r="Y28" s="63"/>
      <c r="Z28" s="63"/>
      <c r="AA28" s="64"/>
    </row>
    <row r="29" spans="1:27" x14ac:dyDescent="0.3">
      <c r="A29" s="35" t="s">
        <v>235</v>
      </c>
      <c r="B29" s="35">
        <v>2.15</v>
      </c>
      <c r="C29" s="35">
        <v>950</v>
      </c>
      <c r="D29" s="35" t="s">
        <v>148</v>
      </c>
      <c r="E29" s="36" t="str" cm="1">
        <f t="array" ref="E29">GetNumber(D29,1)</f>
        <v>7</v>
      </c>
      <c r="F29" s="36" t="str" cm="1">
        <f t="array" ref="F29">GetNumber(D29,2)</f>
        <v>5</v>
      </c>
      <c r="G29" s="35">
        <v>14.8</v>
      </c>
      <c r="H29" s="35">
        <v>11230</v>
      </c>
      <c r="I29" s="35">
        <f>8.2*($T$2)</f>
        <v>16.399999999999999</v>
      </c>
      <c r="J29" s="35">
        <f>121.4*($T$2)</f>
        <v>242.8</v>
      </c>
      <c r="K29" s="35">
        <f t="shared" si="1"/>
        <v>24.13838550247117</v>
      </c>
      <c r="L29" s="35">
        <f t="shared" si="2"/>
        <v>24.14634146341464</v>
      </c>
      <c r="M29" s="35">
        <f>1.262*($T$2)</f>
        <v>2.524</v>
      </c>
      <c r="N29" s="35">
        <v>78</v>
      </c>
      <c r="O29" s="35">
        <f t="shared" si="0"/>
        <v>1.0395387149917628</v>
      </c>
      <c r="P29" s="35">
        <f t="shared" si="5"/>
        <v>60.925285008237232</v>
      </c>
      <c r="Q29" s="35">
        <f>('Batt Capacity and Sys Weight'!$I$3) + (B29*$T$2)</f>
        <v>30.688475</v>
      </c>
      <c r="R29" s="35">
        <f>'Batt Capacity and Sys Weight'!$H$3</f>
        <v>97.68</v>
      </c>
      <c r="T29" s="50" t="s">
        <v>343</v>
      </c>
      <c r="U29" s="50"/>
      <c r="V29" s="50" t="s">
        <v>333</v>
      </c>
      <c r="W29" s="51" t="s">
        <v>313</v>
      </c>
      <c r="X29" s="51" t="s">
        <v>316</v>
      </c>
      <c r="Y29" s="51"/>
      <c r="Z29" s="50" t="s">
        <v>318</v>
      </c>
      <c r="AA29" s="50" t="s">
        <v>319</v>
      </c>
    </row>
    <row r="30" spans="1:27" x14ac:dyDescent="0.3">
      <c r="A30" s="35" t="s">
        <v>235</v>
      </c>
      <c r="B30" s="35">
        <v>2.15</v>
      </c>
      <c r="C30" s="35">
        <v>950</v>
      </c>
      <c r="D30" s="35" t="s">
        <v>149</v>
      </c>
      <c r="E30" s="36" t="str" cm="1">
        <f t="array" ref="E30">GetNumber(D30,1)</f>
        <v>7</v>
      </c>
      <c r="F30" s="36" t="str" cm="1">
        <f t="array" ref="F30">GetNumber(D30,2)</f>
        <v>6</v>
      </c>
      <c r="G30" s="35">
        <v>14.8</v>
      </c>
      <c r="H30" s="35">
        <v>11110</v>
      </c>
      <c r="I30" s="35">
        <f>8.62*($T$2)</f>
        <v>17.239999999999998</v>
      </c>
      <c r="J30" s="35">
        <f>127.6*($T$2)</f>
        <v>255.2</v>
      </c>
      <c r="K30" s="35">
        <f t="shared" si="1"/>
        <v>22.965517241379313</v>
      </c>
      <c r="L30" s="35">
        <f t="shared" si="2"/>
        <v>22.969837587006964</v>
      </c>
      <c r="M30" s="35">
        <f>1.359*($T$2)</f>
        <v>2.718</v>
      </c>
      <c r="N30" s="35">
        <v>92.5</v>
      </c>
      <c r="O30" s="35">
        <f t="shared" si="0"/>
        <v>1.0650470219435737</v>
      </c>
      <c r="P30" s="35">
        <f t="shared" si="5"/>
        <v>62.420275862068969</v>
      </c>
      <c r="Q30" s="35">
        <f>('Batt Capacity and Sys Weight'!$I$3) + (B30*$T$2)</f>
        <v>30.688475</v>
      </c>
      <c r="R30" s="35">
        <f>'Batt Capacity and Sys Weight'!$H$3</f>
        <v>97.68</v>
      </c>
      <c r="T30" s="35" t="s">
        <v>337</v>
      </c>
      <c r="U30" s="35" t="s">
        <v>330</v>
      </c>
      <c r="V30" s="35" t="s">
        <v>314</v>
      </c>
      <c r="W30" s="36" t="s">
        <v>315</v>
      </c>
      <c r="X30" s="36" t="s">
        <v>317</v>
      </c>
      <c r="Y30" s="36"/>
      <c r="Z30" s="35" t="s">
        <v>320</v>
      </c>
      <c r="AA30" s="35" t="s">
        <v>321</v>
      </c>
    </row>
    <row r="31" spans="1:27" x14ac:dyDescent="0.3">
      <c r="A31" s="35" t="s">
        <v>235</v>
      </c>
      <c r="B31" s="35">
        <v>2.15</v>
      </c>
      <c r="C31" s="35">
        <v>950</v>
      </c>
      <c r="D31" s="35" t="s">
        <v>126</v>
      </c>
      <c r="E31" s="36" t="str" cm="1">
        <f t="array" ref="E31">GetNumber(D31,1)</f>
        <v>8</v>
      </c>
      <c r="F31" s="36" t="str" cm="1">
        <f t="array" ref="F31">GetNumber(D31,2)</f>
        <v>4</v>
      </c>
      <c r="G31" s="35">
        <v>14.8</v>
      </c>
      <c r="H31" s="35">
        <v>10900</v>
      </c>
      <c r="I31" s="35">
        <f>9.46*($T$2)</f>
        <v>18.920000000000002</v>
      </c>
      <c r="J31" s="35">
        <f>140*($T$2)</f>
        <v>280</v>
      </c>
      <c r="K31" s="35">
        <f t="shared" si="1"/>
        <v>20.931428571428572</v>
      </c>
      <c r="L31" s="35">
        <f t="shared" si="2"/>
        <v>20.930232558139537</v>
      </c>
      <c r="M31" s="35">
        <f>1.685*($T$2)</f>
        <v>3.37</v>
      </c>
      <c r="N31" s="35">
        <v>60.6</v>
      </c>
      <c r="O31" s="35">
        <f t="shared" si="0"/>
        <v>1.2035714285714287</v>
      </c>
      <c r="P31" s="35">
        <f t="shared" si="5"/>
        <v>70.538914285714284</v>
      </c>
      <c r="Q31" s="35">
        <f>('Batt Capacity and Sys Weight'!$I$3) + (B31*$T$2)</f>
        <v>30.688475</v>
      </c>
      <c r="R31" s="35">
        <f>'Batt Capacity and Sys Weight'!$H$3</f>
        <v>97.68</v>
      </c>
      <c r="T31" s="35" t="s">
        <v>336</v>
      </c>
      <c r="U31" s="35">
        <v>1</v>
      </c>
      <c r="V31" s="35" t="s">
        <v>323</v>
      </c>
      <c r="W31" s="36" t="s">
        <v>315</v>
      </c>
      <c r="X31" s="36" t="s">
        <v>324</v>
      </c>
      <c r="Y31" s="36"/>
      <c r="Z31" s="35" t="s">
        <v>325</v>
      </c>
      <c r="AA31" s="35" t="s">
        <v>326</v>
      </c>
    </row>
    <row r="32" spans="1:27" x14ac:dyDescent="0.3">
      <c r="A32" s="35" t="s">
        <v>235</v>
      </c>
      <c r="B32" s="35">
        <v>2.15</v>
      </c>
      <c r="C32" s="35">
        <v>950</v>
      </c>
      <c r="D32" s="35" t="s">
        <v>239</v>
      </c>
      <c r="E32" s="36" t="str" cm="1">
        <f t="array" ref="E32">GetNumber(D32,1)</f>
        <v>8</v>
      </c>
      <c r="F32" s="36" t="str" cm="1">
        <f t="array" ref="F32">GetNumber(D32,2)</f>
        <v>4</v>
      </c>
      <c r="G32" s="35">
        <v>14.8</v>
      </c>
      <c r="H32" s="35">
        <v>11400</v>
      </c>
      <c r="I32" s="35">
        <f>7.51*($T$2)</f>
        <v>15.02</v>
      </c>
      <c r="J32" s="35">
        <f>111.1*($T$2)</f>
        <v>222.2</v>
      </c>
      <c r="K32" s="35">
        <f t="shared" si="1"/>
        <v>26.376237623762378</v>
      </c>
      <c r="L32" s="35">
        <f t="shared" si="2"/>
        <v>26.364846870838882</v>
      </c>
      <c r="M32" s="35">
        <f>1.539*($T$2)</f>
        <v>3.0779999999999998</v>
      </c>
      <c r="N32" s="35">
        <v>63.4</v>
      </c>
      <c r="O32" s="35">
        <f t="shared" si="0"/>
        <v>1.3852385238523852</v>
      </c>
      <c r="P32" s="35">
        <f t="shared" si="5"/>
        <v>81.186059405940597</v>
      </c>
      <c r="Q32" s="35">
        <f>('Batt Capacity and Sys Weight'!$I$3) + (B32*$T$2)</f>
        <v>30.688475</v>
      </c>
      <c r="R32" s="35">
        <f>'Batt Capacity and Sys Weight'!$H$3</f>
        <v>97.68</v>
      </c>
      <c r="T32" s="35" t="s">
        <v>338</v>
      </c>
      <c r="U32" s="35">
        <v>2</v>
      </c>
      <c r="V32" s="35" t="s">
        <v>323</v>
      </c>
      <c r="W32" s="36" t="s">
        <v>315</v>
      </c>
      <c r="X32" s="36" t="s">
        <v>329</v>
      </c>
      <c r="Y32" s="36"/>
      <c r="Z32" s="35" t="s">
        <v>328</v>
      </c>
      <c r="AA32" s="35" t="s">
        <v>327</v>
      </c>
    </row>
    <row r="33" spans="1:31" x14ac:dyDescent="0.3">
      <c r="A33" s="35" t="s">
        <v>235</v>
      </c>
      <c r="B33" s="35">
        <v>2.15</v>
      </c>
      <c r="C33" s="35">
        <v>950</v>
      </c>
      <c r="D33" s="35" t="s">
        <v>240</v>
      </c>
      <c r="E33" s="36" t="str" cm="1">
        <f t="array" ref="E33">GetNumber(D33,1)</f>
        <v>8</v>
      </c>
      <c r="F33" s="36" t="str" cm="1">
        <f t="array" ref="F33">GetNumber(D33,2)</f>
        <v>4</v>
      </c>
      <c r="G33" s="35">
        <v>14.8</v>
      </c>
      <c r="H33" s="35">
        <v>10970</v>
      </c>
      <c r="I33" s="35">
        <f>9.14*($T$2)</f>
        <v>18.28</v>
      </c>
      <c r="J33" s="35">
        <f>135.3*($T$2)</f>
        <v>270.60000000000002</v>
      </c>
      <c r="K33" s="35">
        <f t="shared" si="1"/>
        <v>21.658536585365852</v>
      </c>
      <c r="L33" s="35">
        <f t="shared" si="2"/>
        <v>21.663019693654267</v>
      </c>
      <c r="M33" s="35">
        <f>1.698*($T$2)</f>
        <v>3.3959999999999999</v>
      </c>
      <c r="N33" s="35">
        <v>61</v>
      </c>
      <c r="O33" s="35">
        <f t="shared" si="0"/>
        <v>1.2549889135254988</v>
      </c>
      <c r="P33" s="35">
        <f t="shared" si="5"/>
        <v>73.552390243902437</v>
      </c>
      <c r="Q33" s="35">
        <f>('Batt Capacity and Sys Weight'!$I$3) + (B33*$T$2)</f>
        <v>30.688475</v>
      </c>
      <c r="R33" s="35">
        <f>'Batt Capacity and Sys Weight'!$H$3</f>
        <v>97.68</v>
      </c>
      <c r="T33" s="35" t="s">
        <v>339</v>
      </c>
      <c r="U33" s="35">
        <v>3</v>
      </c>
      <c r="V33" s="35" t="s">
        <v>323</v>
      </c>
      <c r="W33" s="36" t="s">
        <v>331</v>
      </c>
      <c r="X33" s="36" t="s">
        <v>332</v>
      </c>
      <c r="Y33" s="36"/>
      <c r="Z33" s="35" t="s">
        <v>335</v>
      </c>
      <c r="AA33" s="35" t="s">
        <v>344</v>
      </c>
    </row>
    <row r="34" spans="1:31" x14ac:dyDescent="0.3">
      <c r="A34" s="35" t="s">
        <v>241</v>
      </c>
      <c r="B34" s="35">
        <v>4.9400000000000004</v>
      </c>
      <c r="C34" s="35">
        <v>840</v>
      </c>
      <c r="D34" s="35" t="s">
        <v>103</v>
      </c>
      <c r="E34" s="36" t="str" cm="1">
        <f t="array" ref="E34">GetNumber(D34,1)</f>
        <v>9</v>
      </c>
      <c r="F34" s="36" t="str" cm="1">
        <f t="array" ref="F34">GetNumber(D34,2)</f>
        <v>9</v>
      </c>
      <c r="G34" s="35">
        <v>11.1</v>
      </c>
      <c r="H34" s="35">
        <v>7528</v>
      </c>
      <c r="I34" s="35">
        <f>18.47*($T$2)</f>
        <v>36.94</v>
      </c>
      <c r="J34" s="35">
        <f>205*($T$2)</f>
        <v>410</v>
      </c>
      <c r="K34" s="35">
        <f t="shared" si="1"/>
        <v>14.619512195121953</v>
      </c>
      <c r="L34" s="35">
        <f t="shared" si="2"/>
        <v>14.61829994585815</v>
      </c>
      <c r="M34" s="35">
        <f>1.716*($T$2)</f>
        <v>3.4319999999999999</v>
      </c>
      <c r="N34" s="35">
        <v>94.2</v>
      </c>
      <c r="O34" s="35">
        <f t="shared" si="0"/>
        <v>0.83707317073170717</v>
      </c>
      <c r="P34" s="35">
        <f t="shared" si="5"/>
        <v>50.174165853658543</v>
      </c>
      <c r="Q34" s="35">
        <f>('Batt Capacity and Sys Weight'!$I$2) + (B34*$T$2)</f>
        <v>40.713000000000001</v>
      </c>
      <c r="R34" s="35">
        <f>'Batt Capacity and Sys Weight'!$H$2</f>
        <v>99.9</v>
      </c>
      <c r="T34" s="35"/>
      <c r="U34" s="35">
        <v>3</v>
      </c>
      <c r="V34" s="35" t="s">
        <v>314</v>
      </c>
      <c r="W34" s="36" t="s">
        <v>331</v>
      </c>
      <c r="X34" s="36" t="s">
        <v>334</v>
      </c>
      <c r="Y34" s="36"/>
      <c r="Z34" s="35" t="s">
        <v>380</v>
      </c>
      <c r="AA34" s="35" t="s">
        <v>380</v>
      </c>
    </row>
    <row r="35" spans="1:31" x14ac:dyDescent="0.3">
      <c r="A35" s="35" t="s">
        <v>241</v>
      </c>
      <c r="B35" s="35">
        <v>4.9400000000000004</v>
      </c>
      <c r="C35" s="35">
        <v>840</v>
      </c>
      <c r="D35" s="35" t="s">
        <v>55</v>
      </c>
      <c r="E35" s="36" t="str" cm="1">
        <f t="array" ref="E35">GetNumber(D35,1)</f>
        <v>10</v>
      </c>
      <c r="F35" s="36" t="str" cm="1">
        <f t="array" ref="F35">GetNumber(D35,2)</f>
        <v>10</v>
      </c>
      <c r="G35" s="35">
        <v>11.1</v>
      </c>
      <c r="H35" s="35">
        <v>7191</v>
      </c>
      <c r="I35" s="35">
        <f>23.29*($T$2)</f>
        <v>46.58</v>
      </c>
      <c r="J35" s="35">
        <f>258.6*($T$2)</f>
        <v>517.20000000000005</v>
      </c>
      <c r="K35" s="35">
        <f t="shared" si="1"/>
        <v>11.589327146171694</v>
      </c>
      <c r="L35" s="35">
        <f t="shared" si="2"/>
        <v>11.5929583512237</v>
      </c>
      <c r="M35" s="35">
        <f>2.047*($T$2)</f>
        <v>4.0940000000000003</v>
      </c>
      <c r="N35" s="35">
        <v>99.9</v>
      </c>
      <c r="O35" s="35">
        <f t="shared" si="0"/>
        <v>0.79156999226604796</v>
      </c>
      <c r="P35" s="35">
        <f t="shared" si="5"/>
        <v>47.446705336426916</v>
      </c>
      <c r="Q35" s="35">
        <f>('Batt Capacity and Sys Weight'!$I$2) + (B35*$T$2)</f>
        <v>40.713000000000001</v>
      </c>
      <c r="R35" s="35">
        <f>'Batt Capacity and Sys Weight'!$H$2</f>
        <v>99.9</v>
      </c>
      <c r="T35" s="54" t="s">
        <v>340</v>
      </c>
      <c r="U35" s="54"/>
      <c r="V35" s="54" t="s">
        <v>322</v>
      </c>
      <c r="W35" s="55"/>
      <c r="X35" s="55"/>
      <c r="Y35" s="55"/>
      <c r="Z35" s="54"/>
      <c r="AA35" s="54"/>
    </row>
    <row r="36" spans="1:31" x14ac:dyDescent="0.3">
      <c r="A36" s="35" t="s">
        <v>241</v>
      </c>
      <c r="B36" s="35">
        <v>4.9400000000000004</v>
      </c>
      <c r="C36" s="35">
        <v>840</v>
      </c>
      <c r="D36" s="35" t="s">
        <v>70</v>
      </c>
      <c r="E36" s="36" t="str" cm="1">
        <f t="array" ref="E36">GetNumber(D36,1)</f>
        <v>11</v>
      </c>
      <c r="F36" s="36" cm="1">
        <f t="array" ref="F36">GetNumber(D36,2)+(GetNumber(D36,3)/10)</f>
        <v>5.5</v>
      </c>
      <c r="G36" s="35">
        <v>11.1</v>
      </c>
      <c r="H36" s="35">
        <v>7637</v>
      </c>
      <c r="I36" s="35">
        <f>16.93*($T$2)</f>
        <v>33.86</v>
      </c>
      <c r="J36" s="35">
        <f>187.9*($T$2)</f>
        <v>375.8</v>
      </c>
      <c r="K36" s="35">
        <f t="shared" si="1"/>
        <v>15.949973390101118</v>
      </c>
      <c r="L36" s="35">
        <f t="shared" si="2"/>
        <v>15.948021264028354</v>
      </c>
      <c r="M36" s="35">
        <f>2.693*($T$2)</f>
        <v>5.3860000000000001</v>
      </c>
      <c r="N36" s="35">
        <v>58.4</v>
      </c>
      <c r="O36" s="35">
        <f t="shared" si="0"/>
        <v>1.4332091538052154</v>
      </c>
      <c r="P36" s="35">
        <f t="shared" si="5"/>
        <v>85.906556679084616</v>
      </c>
      <c r="Q36" s="35">
        <f>('Batt Capacity and Sys Weight'!$I$2) + (B36*$T$2)</f>
        <v>40.713000000000001</v>
      </c>
      <c r="R36" s="35">
        <f>'Batt Capacity and Sys Weight'!$H$2</f>
        <v>99.9</v>
      </c>
      <c r="Y36" s="37"/>
      <c r="Z36" s="37"/>
      <c r="AA36" s="37"/>
      <c r="AB36" s="37"/>
    </row>
    <row r="37" spans="1:31" x14ac:dyDescent="0.3">
      <c r="A37" s="35" t="s">
        <v>241</v>
      </c>
      <c r="B37" s="35">
        <v>4.9400000000000004</v>
      </c>
      <c r="C37" s="35">
        <v>840</v>
      </c>
      <c r="D37" s="35" t="s">
        <v>71</v>
      </c>
      <c r="E37" s="36" t="str" cm="1">
        <f t="array" ref="E37">GetNumber(D37,1)</f>
        <v>11</v>
      </c>
      <c r="F37" s="36" t="str" cm="1">
        <f t="array" ref="F37">GetNumber(D37,2)</f>
        <v>7</v>
      </c>
      <c r="G37" s="35">
        <v>11.1</v>
      </c>
      <c r="H37" s="35">
        <v>7411</v>
      </c>
      <c r="I37" s="35">
        <f>20.06*($T$2)</f>
        <v>40.119999999999997</v>
      </c>
      <c r="J37" s="35">
        <f>222.6*($T$2)</f>
        <v>445.2</v>
      </c>
      <c r="K37" s="35">
        <f t="shared" si="1"/>
        <v>13.463611859838277</v>
      </c>
      <c r="L37" s="35">
        <f t="shared" si="2"/>
        <v>13.459621136590231</v>
      </c>
      <c r="M37" s="35">
        <f>2.869*($T$2)</f>
        <v>5.7380000000000004</v>
      </c>
      <c r="N37" s="35">
        <v>72</v>
      </c>
      <c r="O37" s="35">
        <f t="shared" si="0"/>
        <v>1.2888589398023362</v>
      </c>
      <c r="P37" s="35">
        <f t="shared" si="5"/>
        <v>77.254204851752036</v>
      </c>
      <c r="Q37" s="35">
        <f>('Batt Capacity and Sys Weight'!$I$2) + (B37*$T$2)</f>
        <v>40.713000000000001</v>
      </c>
      <c r="R37" s="35">
        <f>'Batt Capacity and Sys Weight'!$H$2</f>
        <v>99.9</v>
      </c>
      <c r="T37" s="40"/>
      <c r="U37" s="40"/>
      <c r="V37" s="40"/>
      <c r="W37" s="40"/>
      <c r="X37" s="40"/>
      <c r="Y37" s="40"/>
      <c r="Z37" s="40"/>
      <c r="AA37" s="40"/>
      <c r="AB37" s="40"/>
      <c r="AC37" s="40"/>
      <c r="AD37" s="40"/>
      <c r="AE37" s="40"/>
    </row>
    <row r="38" spans="1:31" x14ac:dyDescent="0.3">
      <c r="A38" s="35" t="s">
        <v>241</v>
      </c>
      <c r="B38" s="35">
        <v>4.9400000000000004</v>
      </c>
      <c r="C38" s="35">
        <v>840</v>
      </c>
      <c r="D38" s="35" t="s">
        <v>72</v>
      </c>
      <c r="E38" s="36" t="str" cm="1">
        <f t="array" ref="E38">GetNumber(D38,1)</f>
        <v>11</v>
      </c>
      <c r="F38" s="36" t="str" cm="1">
        <f t="array" ref="F38">GetNumber(D38,2)</f>
        <v>8</v>
      </c>
      <c r="G38" s="35">
        <v>11.1</v>
      </c>
      <c r="H38" s="35">
        <v>7281</v>
      </c>
      <c r="I38" s="35">
        <f>21.88*($T$2)</f>
        <v>43.76</v>
      </c>
      <c r="J38" s="35">
        <f>242.6*($T$2)</f>
        <v>485.2</v>
      </c>
      <c r="K38" s="35">
        <f t="shared" si="1"/>
        <v>12.353668590272054</v>
      </c>
      <c r="L38" s="35">
        <f t="shared" si="2"/>
        <v>12.340036563071299</v>
      </c>
      <c r="M38" s="35">
        <f>2.768*($T$2)</f>
        <v>5.5359999999999996</v>
      </c>
      <c r="N38" s="35">
        <v>81</v>
      </c>
      <c r="O38" s="35">
        <f t="shared" si="0"/>
        <v>1.1409727947238251</v>
      </c>
      <c r="P38" s="35">
        <f t="shared" si="5"/>
        <v>68.389909315746081</v>
      </c>
      <c r="Q38" s="35">
        <f>('Batt Capacity and Sys Weight'!$I$2) + (B38*$T$2)</f>
        <v>40.713000000000001</v>
      </c>
      <c r="R38" s="35">
        <f>'Batt Capacity and Sys Weight'!$H$2</f>
        <v>99.9</v>
      </c>
      <c r="AD38" s="44"/>
    </row>
    <row r="39" spans="1:31" x14ac:dyDescent="0.3">
      <c r="A39" s="35" t="s">
        <v>241</v>
      </c>
      <c r="B39" s="35">
        <v>4.9400000000000004</v>
      </c>
      <c r="C39" s="35">
        <v>840</v>
      </c>
      <c r="D39" s="35" t="s">
        <v>56</v>
      </c>
      <c r="E39" s="36" t="str" cm="1">
        <f t="array" ref="E39">GetNumber(D39,1)</f>
        <v>11</v>
      </c>
      <c r="F39" s="36" cm="1">
        <f t="array" ref="F39">GetNumber(D39,2)+(GetNumber(D39,3)/10)</f>
        <v>8.5</v>
      </c>
      <c r="G39" s="35">
        <v>11.1</v>
      </c>
      <c r="H39" s="35">
        <v>7147</v>
      </c>
      <c r="I39" s="35">
        <f>23.23*($T$2)</f>
        <v>46.46</v>
      </c>
      <c r="J39" s="35">
        <f>258*($T$2)</f>
        <v>516</v>
      </c>
      <c r="K39" s="35">
        <f t="shared" si="1"/>
        <v>11.616279069767442</v>
      </c>
      <c r="L39" s="35">
        <f t="shared" si="2"/>
        <v>11.62290142057684</v>
      </c>
      <c r="M39" s="35">
        <f>2.863*($T$2)</f>
        <v>5.726</v>
      </c>
      <c r="N39" s="35">
        <v>84.3</v>
      </c>
      <c r="O39" s="35">
        <f t="shared" si="0"/>
        <v>1.1096899224806203</v>
      </c>
      <c r="P39" s="35">
        <f t="shared" si="5"/>
        <v>66.514813953488371</v>
      </c>
      <c r="Q39" s="35">
        <f>('Batt Capacity and Sys Weight'!$I$2) + (B39*$T$2)</f>
        <v>40.713000000000001</v>
      </c>
      <c r="R39" s="35">
        <f>'Batt Capacity and Sys Weight'!$H$2</f>
        <v>99.9</v>
      </c>
      <c r="AD39" s="44"/>
    </row>
    <row r="40" spans="1:31" x14ac:dyDescent="0.3">
      <c r="A40" s="35" t="s">
        <v>241</v>
      </c>
      <c r="B40" s="35">
        <v>4.9400000000000004</v>
      </c>
      <c r="C40" s="35">
        <v>840</v>
      </c>
      <c r="D40" s="35" t="s">
        <v>57</v>
      </c>
      <c r="E40" s="36" t="str" cm="1">
        <f t="array" ref="E40">GetNumber(D40,1)</f>
        <v>11</v>
      </c>
      <c r="F40" s="36" t="str" cm="1">
        <f t="array" ref="F40">GetNumber(D40,2)</f>
        <v>10</v>
      </c>
      <c r="G40" s="35">
        <v>11.1</v>
      </c>
      <c r="H40" s="35">
        <v>6874</v>
      </c>
      <c r="I40" s="35">
        <f>27.78*($T$2)</f>
        <v>55.56</v>
      </c>
      <c r="J40" s="35">
        <f>308.4*($T$2)</f>
        <v>616.79999999999995</v>
      </c>
      <c r="K40" s="35">
        <f t="shared" si="1"/>
        <v>9.7178988326848259</v>
      </c>
      <c r="L40" s="35">
        <f t="shared" si="2"/>
        <v>9.7192224622030228</v>
      </c>
      <c r="M40" s="35">
        <f>2.563*($T$2)</f>
        <v>5.1260000000000003</v>
      </c>
      <c r="N40" s="35">
        <v>95.5</v>
      </c>
      <c r="O40" s="35">
        <f t="shared" si="0"/>
        <v>0.83106355382619979</v>
      </c>
      <c r="P40" s="35">
        <f t="shared" si="5"/>
        <v>49.813949416342417</v>
      </c>
      <c r="Q40" s="35">
        <f>('Batt Capacity and Sys Weight'!$I$2) + (B40*$T$2)</f>
        <v>40.713000000000001</v>
      </c>
      <c r="R40" s="35">
        <f>'Batt Capacity and Sys Weight'!$H$2</f>
        <v>99.9</v>
      </c>
      <c r="AD40" s="44"/>
    </row>
    <row r="41" spans="1:31" x14ac:dyDescent="0.3">
      <c r="A41" s="35" t="s">
        <v>241</v>
      </c>
      <c r="B41" s="35">
        <v>4.9400000000000004</v>
      </c>
      <c r="C41" s="35">
        <v>840</v>
      </c>
      <c r="D41" s="35" t="s">
        <v>58</v>
      </c>
      <c r="E41" s="36" t="str" cm="1">
        <f t="array" ref="E41">GetNumber(D41,1)</f>
        <v>12</v>
      </c>
      <c r="F41" s="36" t="str" cm="1">
        <f t="array" ref="F41">GetNumber(D41,2)</f>
        <v>6</v>
      </c>
      <c r="G41" s="35">
        <v>11.1</v>
      </c>
      <c r="H41" s="35">
        <v>7292</v>
      </c>
      <c r="I41" s="35">
        <f>21.72*($T$2)</f>
        <v>43.44</v>
      </c>
      <c r="J41" s="35">
        <f>241.2*($T$2)</f>
        <v>482.4</v>
      </c>
      <c r="K41" s="35">
        <f t="shared" si="1"/>
        <v>12.425373134328359</v>
      </c>
      <c r="L41" s="35">
        <f t="shared" si="2"/>
        <v>12.430939226519337</v>
      </c>
      <c r="M41" s="35">
        <f>3.288*($T$2)</f>
        <v>6.5759999999999996</v>
      </c>
      <c r="N41" s="35">
        <v>60.7</v>
      </c>
      <c r="O41" s="35">
        <f t="shared" si="0"/>
        <v>1.3631840796019901</v>
      </c>
      <c r="P41" s="35">
        <f t="shared" si="5"/>
        <v>81.709253731343281</v>
      </c>
      <c r="Q41" s="35">
        <f>('Batt Capacity and Sys Weight'!$I$2) + (B41*$T$2)</f>
        <v>40.713000000000001</v>
      </c>
      <c r="R41" s="35">
        <f>'Batt Capacity and Sys Weight'!$H$2</f>
        <v>99.9</v>
      </c>
      <c r="AD41" s="44"/>
    </row>
    <row r="42" spans="1:31" x14ac:dyDescent="0.3">
      <c r="A42" s="35" t="s">
        <v>241</v>
      </c>
      <c r="B42" s="35">
        <v>4.9400000000000004</v>
      </c>
      <c r="C42" s="35">
        <v>840</v>
      </c>
      <c r="D42" s="35" t="s">
        <v>32</v>
      </c>
      <c r="E42" s="36" t="str" cm="1">
        <f t="array" ref="E42">GetNumber(D42,1)</f>
        <v>12</v>
      </c>
      <c r="F42" s="36" t="str" cm="1">
        <f t="array" ref="F42">GetNumber(D42,2)</f>
        <v>8</v>
      </c>
      <c r="G42" s="35">
        <v>11.1</v>
      </c>
      <c r="H42" s="35">
        <v>6908</v>
      </c>
      <c r="I42" s="35">
        <f>27.4*($T$2)</f>
        <v>54.8</v>
      </c>
      <c r="J42" s="35">
        <f>304.1*($T$2)</f>
        <v>608.20000000000005</v>
      </c>
      <c r="K42" s="35">
        <f t="shared" si="1"/>
        <v>9.8553107530417634</v>
      </c>
      <c r="L42" s="35">
        <f t="shared" si="2"/>
        <v>9.8540145985401466</v>
      </c>
      <c r="M42" s="35">
        <f>3.041*($T$2)</f>
        <v>6.0819999999999999</v>
      </c>
      <c r="N42" s="35">
        <v>76.7</v>
      </c>
      <c r="O42" s="35">
        <f t="shared" si="0"/>
        <v>0.99999999999999989</v>
      </c>
      <c r="P42" s="35">
        <f t="shared" si="5"/>
        <v>59.940000000000005</v>
      </c>
      <c r="Q42" s="35">
        <f>('Batt Capacity and Sys Weight'!$I$2) + (B42*$T$2)</f>
        <v>40.713000000000001</v>
      </c>
      <c r="R42" s="35">
        <f>'Batt Capacity and Sys Weight'!$H$2</f>
        <v>99.9</v>
      </c>
    </row>
    <row r="43" spans="1:31" x14ac:dyDescent="0.3">
      <c r="A43" s="35" t="s">
        <v>241</v>
      </c>
      <c r="B43" s="35">
        <v>4.9400000000000004</v>
      </c>
      <c r="C43" s="35">
        <v>840</v>
      </c>
      <c r="D43" s="35" t="s">
        <v>128</v>
      </c>
      <c r="E43" s="36" t="str" cm="1">
        <f t="array" ref="E43">GetNumber(D43,1)</f>
        <v>8</v>
      </c>
      <c r="F43" s="36" t="str" cm="1">
        <f t="array" ref="F43">GetNumber(D43,2)</f>
        <v>8</v>
      </c>
      <c r="G43" s="35">
        <v>14.8</v>
      </c>
      <c r="H43" s="35">
        <v>10166</v>
      </c>
      <c r="I43" s="35">
        <f>20.46*($T$2)</f>
        <v>40.92</v>
      </c>
      <c r="J43" s="35">
        <f>302.8*($T$2)</f>
        <v>605.6</v>
      </c>
      <c r="K43" s="35">
        <f t="shared" si="1"/>
        <v>9.677675033025098</v>
      </c>
      <c r="L43" s="35">
        <f t="shared" si="2"/>
        <v>9.67741935483871</v>
      </c>
      <c r="M43" s="35">
        <f>2.031*($T$2)</f>
        <v>4.0620000000000003</v>
      </c>
      <c r="N43" s="35">
        <v>112.9</v>
      </c>
      <c r="O43" s="35">
        <f t="shared" si="0"/>
        <v>0.67073976221928666</v>
      </c>
      <c r="P43" s="35">
        <f t="shared" si="5"/>
        <v>39.310715984147954</v>
      </c>
      <c r="Q43" s="35">
        <f>('Batt Capacity and Sys Weight'!$I$3) + (B43*$T$2)</f>
        <v>36.268475000000002</v>
      </c>
      <c r="R43" s="35">
        <f>'Batt Capacity and Sys Weight'!$H$3</f>
        <v>97.68</v>
      </c>
    </row>
    <row r="44" spans="1:31" x14ac:dyDescent="0.3">
      <c r="A44" s="35" t="s">
        <v>241</v>
      </c>
      <c r="B44" s="35">
        <v>4.9400000000000004</v>
      </c>
      <c r="C44" s="35">
        <v>840</v>
      </c>
      <c r="D44" s="35" t="s">
        <v>104</v>
      </c>
      <c r="E44" s="36" t="str" cm="1">
        <f t="array" ref="E44">GetNumber(D44,1)</f>
        <v>9</v>
      </c>
      <c r="F44" s="36" cm="1">
        <f t="array" ref="F44">GetNumber(D44,2)+(GetNumber(D44,3)/10)</f>
        <v>7.5</v>
      </c>
      <c r="G44" s="35">
        <v>14.8</v>
      </c>
      <c r="H44" s="35">
        <v>9794</v>
      </c>
      <c r="I44" s="35">
        <f>25.09*($T$2)</f>
        <v>50.18</v>
      </c>
      <c r="J44" s="35">
        <f>371.3*($T$2)</f>
        <v>742.6</v>
      </c>
      <c r="K44" s="35">
        <f t="shared" si="1"/>
        <v>7.8922704012927554</v>
      </c>
      <c r="L44" s="35">
        <f t="shared" si="2"/>
        <v>7.891590275009964</v>
      </c>
      <c r="M44" s="35">
        <f>2.772*($T$2)</f>
        <v>5.5439999999999996</v>
      </c>
      <c r="N44" s="35">
        <v>102.1</v>
      </c>
      <c r="O44" s="35">
        <f t="shared" si="0"/>
        <v>0.74656611904120651</v>
      </c>
      <c r="P44" s="35">
        <f t="shared" si="5"/>
        <v>43.754747104767034</v>
      </c>
      <c r="Q44" s="35">
        <f>('Batt Capacity and Sys Weight'!$I$3) + (B44*$T$2)</f>
        <v>36.268475000000002</v>
      </c>
      <c r="R44" s="35">
        <f>'Batt Capacity and Sys Weight'!$H$3</f>
        <v>97.68</v>
      </c>
    </row>
    <row r="45" spans="1:31" x14ac:dyDescent="0.3">
      <c r="A45" s="35" t="s">
        <v>241</v>
      </c>
      <c r="B45" s="35">
        <v>4.9400000000000004</v>
      </c>
      <c r="C45" s="35">
        <v>840</v>
      </c>
      <c r="D45" s="35" t="s">
        <v>103</v>
      </c>
      <c r="E45" s="36" t="str" cm="1">
        <f t="array" ref="E45">GetNumber(D45,1)</f>
        <v>9</v>
      </c>
      <c r="F45" s="36" t="str" cm="1">
        <f t="array" ref="F45">GetNumber(D45,2)</f>
        <v>9</v>
      </c>
      <c r="G45" s="35">
        <v>14.8</v>
      </c>
      <c r="H45" s="35">
        <v>9510</v>
      </c>
      <c r="I45" s="35">
        <f>28.43*($T$2)</f>
        <v>56.86</v>
      </c>
      <c r="J45" s="35">
        <f>420.8*($T$2)</f>
        <v>841.6</v>
      </c>
      <c r="K45" s="35">
        <f t="shared" si="1"/>
        <v>6.9638783269961975</v>
      </c>
      <c r="L45" s="35">
        <f t="shared" si="2"/>
        <v>6.9644741470277882</v>
      </c>
      <c r="M45" s="35">
        <f>2.755*($T$2)</f>
        <v>5.51</v>
      </c>
      <c r="N45" s="35">
        <v>118.9</v>
      </c>
      <c r="O45" s="35">
        <f t="shared" si="0"/>
        <v>0.65470532319391628</v>
      </c>
      <c r="P45" s="35">
        <f t="shared" si="5"/>
        <v>38.370969581749044</v>
      </c>
      <c r="Q45" s="35">
        <f>('Batt Capacity and Sys Weight'!$I$3) + (B45*$T$2)</f>
        <v>36.268475000000002</v>
      </c>
      <c r="R45" s="35">
        <f>'Batt Capacity and Sys Weight'!$H$3</f>
        <v>97.68</v>
      </c>
    </row>
    <row r="46" spans="1:31" x14ac:dyDescent="0.3">
      <c r="A46" s="35" t="s">
        <v>241</v>
      </c>
      <c r="B46" s="35">
        <v>4.9400000000000004</v>
      </c>
      <c r="C46" s="35">
        <v>840</v>
      </c>
      <c r="D46" s="35" t="s">
        <v>99</v>
      </c>
      <c r="E46" s="36" t="str" cm="1">
        <f t="array" ref="E46">GetNumber(D46,1)</f>
        <v>10</v>
      </c>
      <c r="F46" s="36" t="str" cm="1">
        <f t="array" ref="F46">GetNumber(D46,2)</f>
        <v>5</v>
      </c>
      <c r="G46" s="35">
        <v>14.8</v>
      </c>
      <c r="H46" s="35">
        <v>10171</v>
      </c>
      <c r="I46" s="35">
        <f>20.29*($T$2)</f>
        <v>40.58</v>
      </c>
      <c r="J46" s="35">
        <f>300.2*($T$2)</f>
        <v>600.4</v>
      </c>
      <c r="K46" s="35">
        <f t="shared" si="1"/>
        <v>9.761492338441041</v>
      </c>
      <c r="L46" s="35">
        <f t="shared" si="2"/>
        <v>9.7585017249876813</v>
      </c>
      <c r="M46" s="35">
        <f>3.302*($T$2)</f>
        <v>6.6040000000000001</v>
      </c>
      <c r="N46" s="35">
        <v>70.7</v>
      </c>
      <c r="O46" s="35">
        <f t="shared" si="0"/>
        <v>1.0999333777481679</v>
      </c>
      <c r="P46" s="35">
        <f t="shared" si="5"/>
        <v>64.464895403064631</v>
      </c>
      <c r="Q46" s="35">
        <f>('Batt Capacity and Sys Weight'!$I$3) + (B46*$T$2)</f>
        <v>36.268475000000002</v>
      </c>
      <c r="R46" s="35">
        <f>'Batt Capacity and Sys Weight'!$H$3</f>
        <v>97.68</v>
      </c>
    </row>
    <row r="47" spans="1:31" x14ac:dyDescent="0.3">
      <c r="A47" s="35" t="s">
        <v>241</v>
      </c>
      <c r="B47" s="35">
        <v>4.9400000000000004</v>
      </c>
      <c r="C47" s="35">
        <v>840</v>
      </c>
      <c r="D47" s="35" t="s">
        <v>67</v>
      </c>
      <c r="E47" s="36" t="str" cm="1">
        <f t="array" ref="E47">GetNumber(D47,1)</f>
        <v>10</v>
      </c>
      <c r="F47" s="36" t="str" cm="1">
        <f t="array" ref="F47">GetNumber(D47,2)</f>
        <v>6</v>
      </c>
      <c r="G47" s="35">
        <v>14.8</v>
      </c>
      <c r="H47" s="35">
        <v>10048</v>
      </c>
      <c r="I47" s="35">
        <f>21.85*($T$2)</f>
        <v>43.7</v>
      </c>
      <c r="J47" s="35">
        <f>323.3*($T$2)</f>
        <v>646.6</v>
      </c>
      <c r="K47" s="35">
        <f t="shared" si="1"/>
        <v>9.064027219300959</v>
      </c>
      <c r="L47" s="35">
        <f t="shared" si="2"/>
        <v>9.0617848970251718</v>
      </c>
      <c r="M47" s="35">
        <f>3.516*($T$2)</f>
        <v>7.032</v>
      </c>
      <c r="N47" s="35">
        <v>83.7</v>
      </c>
      <c r="O47" s="35">
        <f t="shared" si="0"/>
        <v>1.0875347974017939</v>
      </c>
      <c r="P47" s="35">
        <f t="shared" si="5"/>
        <v>63.738239406124343</v>
      </c>
      <c r="Q47" s="35">
        <f>('Batt Capacity and Sys Weight'!$I$3) + (B47*$T$2)</f>
        <v>36.268475000000002</v>
      </c>
      <c r="R47" s="35">
        <f>'Batt Capacity and Sys Weight'!$H$3</f>
        <v>97.68</v>
      </c>
    </row>
    <row r="48" spans="1:31" x14ac:dyDescent="0.3">
      <c r="A48" s="35" t="s">
        <v>241</v>
      </c>
      <c r="B48" s="35">
        <v>4.9400000000000004</v>
      </c>
      <c r="C48" s="35">
        <v>840</v>
      </c>
      <c r="D48" s="35" t="s">
        <v>68</v>
      </c>
      <c r="E48" s="36" t="str" cm="1">
        <f t="array" ref="E48">GetNumber(D48,1)</f>
        <v>10</v>
      </c>
      <c r="F48" s="36" t="str" cm="1">
        <f t="array" ref="F48">GetNumber(D48,2)</f>
        <v>7</v>
      </c>
      <c r="G48" s="35">
        <v>14.8</v>
      </c>
      <c r="H48" s="35">
        <v>9767</v>
      </c>
      <c r="I48" s="35">
        <f>25.37*($T$2)</f>
        <v>50.74</v>
      </c>
      <c r="J48" s="35">
        <f>375.4*($T$2)</f>
        <v>750.8</v>
      </c>
      <c r="K48" s="35">
        <f t="shared" si="1"/>
        <v>7.8060735215769856</v>
      </c>
      <c r="L48" s="35">
        <f t="shared" si="2"/>
        <v>7.8044934962554198</v>
      </c>
      <c r="M48" s="35">
        <f>3.763*($T$2)</f>
        <v>7.5259999999999998</v>
      </c>
      <c r="N48" s="35">
        <v>94.9</v>
      </c>
      <c r="O48" s="35">
        <f t="shared" si="0"/>
        <v>1.0023974427277571</v>
      </c>
      <c r="P48" s="35">
        <f t="shared" si="5"/>
        <v>58.74850932338839</v>
      </c>
      <c r="Q48" s="35">
        <f>('Batt Capacity and Sys Weight'!$I$3) + (B48*$T$2)</f>
        <v>36.268475000000002</v>
      </c>
      <c r="R48" s="35">
        <f>'Batt Capacity and Sys Weight'!$H$3</f>
        <v>97.68</v>
      </c>
    </row>
    <row r="49" spans="1:18" x14ac:dyDescent="0.3">
      <c r="A49" s="35" t="s">
        <v>241</v>
      </c>
      <c r="B49" s="35">
        <v>4.9400000000000004</v>
      </c>
      <c r="C49" s="35">
        <v>840</v>
      </c>
      <c r="D49" s="35" t="s">
        <v>70</v>
      </c>
      <c r="E49" s="36" t="str" cm="1">
        <f t="array" ref="E49">GetNumber(D49,1)</f>
        <v>11</v>
      </c>
      <c r="F49" s="36" cm="1">
        <f t="array" ref="F49">GetNumber(D49,2)+(GetNumber(D49,3)/10)</f>
        <v>5.5</v>
      </c>
      <c r="G49" s="35">
        <v>14.8</v>
      </c>
      <c r="H49" s="35">
        <v>9583</v>
      </c>
      <c r="I49" s="35">
        <f>27.57*($T$2)</f>
        <v>55.14</v>
      </c>
      <c r="J49" s="35">
        <f>408*($T$2)</f>
        <v>816</v>
      </c>
      <c r="K49" s="35">
        <f t="shared" si="1"/>
        <v>7.1823529411764717</v>
      </c>
      <c r="L49" s="35">
        <f t="shared" si="2"/>
        <v>7.1817192600652895</v>
      </c>
      <c r="M49" s="35">
        <f>4.376*($T$2)</f>
        <v>8.7520000000000007</v>
      </c>
      <c r="N49" s="35">
        <v>73.2</v>
      </c>
      <c r="O49" s="35">
        <f t="shared" si="0"/>
        <v>1.0725490196078431</v>
      </c>
      <c r="P49" s="35">
        <f t="shared" si="5"/>
        <v>62.859952941176488</v>
      </c>
      <c r="Q49" s="35">
        <f>('Batt Capacity and Sys Weight'!$I$3) + (B49*$T$2)</f>
        <v>36.268475000000002</v>
      </c>
      <c r="R49" s="35">
        <f>'Batt Capacity and Sys Weight'!$H$3</f>
        <v>97.68</v>
      </c>
    </row>
    <row r="50" spans="1:18" x14ac:dyDescent="0.3">
      <c r="A50" s="35" t="s">
        <v>241</v>
      </c>
      <c r="B50" s="35">
        <v>4.9400000000000004</v>
      </c>
      <c r="C50" s="35">
        <v>840</v>
      </c>
      <c r="D50" s="35" t="s">
        <v>98</v>
      </c>
      <c r="E50" s="36" t="str" cm="1">
        <f t="array" ref="E50">GetNumber(D50,1)</f>
        <v>13</v>
      </c>
      <c r="F50" s="36" t="str" cm="1">
        <f t="array" ref="F50">GetNumber(D50,2)</f>
        <v>4</v>
      </c>
      <c r="G50" s="35">
        <v>14.8</v>
      </c>
      <c r="H50" s="35">
        <v>9582</v>
      </c>
      <c r="I50" s="35">
        <f>27.58*($T$2)</f>
        <v>55.16</v>
      </c>
      <c r="J50" s="35">
        <f>408.2*($T$2)</f>
        <v>816.4</v>
      </c>
      <c r="K50" s="35">
        <f t="shared" si="1"/>
        <v>7.1788339049485552</v>
      </c>
      <c r="L50" s="35">
        <f t="shared" si="2"/>
        <v>7.1791153009427129</v>
      </c>
      <c r="M50" s="35">
        <f>5.004*($T$2)</f>
        <v>10.007999999999999</v>
      </c>
      <c r="N50" s="35">
        <v>53.2</v>
      </c>
      <c r="O50" s="35">
        <f t="shared" si="0"/>
        <v>1.2258696717295443</v>
      </c>
      <c r="P50" s="35">
        <f t="shared" si="5"/>
        <v>71.84576972072513</v>
      </c>
      <c r="Q50" s="35">
        <f>('Batt Capacity and Sys Weight'!$I$3) + (B50*$T$2)</f>
        <v>36.268475000000002</v>
      </c>
      <c r="R50" s="35">
        <f>'Batt Capacity and Sys Weight'!$H$3</f>
        <v>97.68</v>
      </c>
    </row>
    <row r="51" spans="1:18" x14ac:dyDescent="0.3">
      <c r="A51" s="35" t="s">
        <v>241</v>
      </c>
      <c r="B51" s="35">
        <v>4.9400000000000004</v>
      </c>
      <c r="C51" s="35">
        <v>840</v>
      </c>
      <c r="D51" s="35" t="s">
        <v>127</v>
      </c>
      <c r="E51" s="36" t="str" cm="1">
        <f t="array" ref="E51">GetNumber(D51,1)</f>
        <v>8</v>
      </c>
      <c r="F51" s="36" t="str" cm="1">
        <f t="array" ref="F51">GetNumber(D51,2)</f>
        <v>6</v>
      </c>
      <c r="G51" s="35">
        <v>18.5</v>
      </c>
      <c r="H51" s="35">
        <v>12600</v>
      </c>
      <c r="I51" s="35">
        <f>23.35*($T$2)</f>
        <v>46.7</v>
      </c>
      <c r="J51" s="35">
        <f>432*($T$2)</f>
        <v>864</v>
      </c>
      <c r="K51" s="35">
        <f t="shared" si="1"/>
        <v>6.4236111111111116</v>
      </c>
      <c r="L51" s="35">
        <f t="shared" si="2"/>
        <v>6.4239828693790146</v>
      </c>
      <c r="M51" s="35">
        <f>3.116*($T$2)</f>
        <v>6.2320000000000002</v>
      </c>
      <c r="N51" s="35">
        <v>105</v>
      </c>
      <c r="O51" s="35">
        <f t="shared" si="0"/>
        <v>0.72129629629629632</v>
      </c>
      <c r="P51" s="35">
        <f t="shared" si="5"/>
        <v>40.031944444444449</v>
      </c>
      <c r="Q51" s="35">
        <f>('Batt Capacity and Sys Weight'!$I$4) + (B51*$T$2)</f>
        <v>37.044502999999999</v>
      </c>
      <c r="R51" s="35">
        <f>'Batt Capacity and Sys Weight'!$H$4</f>
        <v>92.5</v>
      </c>
    </row>
    <row r="52" spans="1:18" x14ac:dyDescent="0.3">
      <c r="A52" s="35" t="s">
        <v>241</v>
      </c>
      <c r="B52" s="35">
        <v>4.9400000000000004</v>
      </c>
      <c r="C52" s="35">
        <v>840</v>
      </c>
      <c r="D52" s="35" t="s">
        <v>129</v>
      </c>
      <c r="E52" s="36" t="str" cm="1">
        <f t="array" ref="E52">GetNumber(D52,1)</f>
        <v>9</v>
      </c>
      <c r="F52" s="36" cm="1">
        <f t="array" ref="F52">GetNumber(D52,2)+(GetNumber(D52,3)/10)</f>
        <v>4.5</v>
      </c>
      <c r="G52" s="35">
        <v>18.5</v>
      </c>
      <c r="H52" s="35">
        <v>12845</v>
      </c>
      <c r="I52" s="35">
        <f>21.3*($T$2)</f>
        <v>42.6</v>
      </c>
      <c r="J52" s="35">
        <f>394*($T$2)</f>
        <v>788</v>
      </c>
      <c r="K52" s="35">
        <f t="shared" si="1"/>
        <v>7.0431472081218276</v>
      </c>
      <c r="L52" s="35">
        <f t="shared" si="2"/>
        <v>7.042253521126761</v>
      </c>
      <c r="M52" s="35">
        <f>3.871*($T$2)</f>
        <v>7.742</v>
      </c>
      <c r="N52" s="35">
        <v>80.2</v>
      </c>
      <c r="O52" s="35">
        <f t="shared" si="0"/>
        <v>0.98248730964467013</v>
      </c>
      <c r="P52" s="35">
        <f t="shared" si="5"/>
        <v>54.528045685279189</v>
      </c>
      <c r="Q52" s="35">
        <f>('Batt Capacity and Sys Weight'!$I$4) + (B52*$T$2)</f>
        <v>37.044502999999999</v>
      </c>
      <c r="R52" s="35">
        <f>'Batt Capacity and Sys Weight'!$H$4</f>
        <v>92.5</v>
      </c>
    </row>
    <row r="53" spans="1:18" x14ac:dyDescent="0.3">
      <c r="A53" s="35" t="s">
        <v>241</v>
      </c>
      <c r="B53" s="35">
        <v>4.9400000000000004</v>
      </c>
      <c r="C53" s="35">
        <v>840</v>
      </c>
      <c r="D53" s="35" t="s">
        <v>107</v>
      </c>
      <c r="E53" s="36" t="str" cm="1">
        <f t="array" ref="E53">GetNumber(D53,1)</f>
        <v>9</v>
      </c>
      <c r="F53" s="36" t="str" cm="1">
        <f t="array" ref="F53">GetNumber(D53,2)</f>
        <v>6</v>
      </c>
      <c r="G53" s="35">
        <v>18.5</v>
      </c>
      <c r="H53" s="35">
        <v>12545</v>
      </c>
      <c r="I53" s="35">
        <f>24.57*($T$2)</f>
        <v>49.14</v>
      </c>
      <c r="J53" s="35">
        <f>454.6*($T$2)</f>
        <v>909.2</v>
      </c>
      <c r="K53" s="35">
        <f t="shared" si="1"/>
        <v>6.1042674879014518</v>
      </c>
      <c r="L53" s="35">
        <f t="shared" si="2"/>
        <v>6.1050061050061055</v>
      </c>
      <c r="M53" s="35">
        <f>3.752*($T$2)</f>
        <v>7.5039999999999996</v>
      </c>
      <c r="N53" s="35">
        <v>104.6</v>
      </c>
      <c r="O53" s="35">
        <f t="shared" si="0"/>
        <v>0.82534095908490968</v>
      </c>
      <c r="P53" s="35">
        <f t="shared" si="5"/>
        <v>45.806423229212491</v>
      </c>
      <c r="Q53" s="35">
        <f>('Batt Capacity and Sys Weight'!$I$4) + (B53*$T$2)</f>
        <v>37.044502999999999</v>
      </c>
      <c r="R53" s="35">
        <f>'Batt Capacity and Sys Weight'!$H$4</f>
        <v>92.5</v>
      </c>
    </row>
    <row r="54" spans="1:18" x14ac:dyDescent="0.3">
      <c r="A54" s="35" t="s">
        <v>241</v>
      </c>
      <c r="B54" s="35">
        <v>4.9400000000000004</v>
      </c>
      <c r="C54" s="35">
        <v>840</v>
      </c>
      <c r="D54" s="35" t="s">
        <v>149</v>
      </c>
      <c r="E54" s="36" t="str" cm="1">
        <f t="array" ref="E54">GetNumber(D54,1)</f>
        <v>7</v>
      </c>
      <c r="F54" s="36" t="str" cm="1">
        <f t="array" ref="F54">GetNumber(D54,2)</f>
        <v>6</v>
      </c>
      <c r="G54" s="35">
        <v>22.2</v>
      </c>
      <c r="H54" s="35">
        <v>15948</v>
      </c>
      <c r="I54" s="35">
        <f>18.09*($T$2)</f>
        <v>36.18</v>
      </c>
      <c r="J54" s="35">
        <f>401.5*($T$2)</f>
        <v>803</v>
      </c>
      <c r="K54" s="35">
        <f t="shared" si="1"/>
        <v>7.4645080946450815</v>
      </c>
      <c r="L54" s="35">
        <f t="shared" si="2"/>
        <v>7.4626865671641793</v>
      </c>
      <c r="M54" s="35">
        <f>2.891*($T$2)</f>
        <v>5.782</v>
      </c>
      <c r="N54" s="35">
        <v>132.9</v>
      </c>
      <c r="O54" s="35">
        <f t="shared" si="0"/>
        <v>0.7200498132004981</v>
      </c>
      <c r="P54" s="35">
        <f t="shared" si="5"/>
        <v>43.15978580323786</v>
      </c>
      <c r="Q54" s="35">
        <f>('Batt Capacity and Sys Weight'!$I$5) + (B54*$T$2)</f>
        <v>41.453752999999999</v>
      </c>
      <c r="R54" s="35">
        <f>'Batt Capacity and Sys Weight'!$H$5</f>
        <v>99.9</v>
      </c>
    </row>
    <row r="55" spans="1:18" x14ac:dyDescent="0.3">
      <c r="A55" s="35" t="s">
        <v>241</v>
      </c>
      <c r="B55" s="35">
        <v>4.9400000000000004</v>
      </c>
      <c r="C55" s="35">
        <v>840</v>
      </c>
      <c r="D55" s="35" t="s">
        <v>126</v>
      </c>
      <c r="E55" s="36" t="str" cm="1">
        <f t="array" ref="E55">GetNumber(D55,1)</f>
        <v>8</v>
      </c>
      <c r="F55" s="36" t="str" cm="1">
        <f t="array" ref="F55">GetNumber(D55,2)</f>
        <v>4</v>
      </c>
      <c r="G55" s="35">
        <v>22.2</v>
      </c>
      <c r="H55" s="35">
        <v>15707</v>
      </c>
      <c r="I55" s="35">
        <f>21.05*($T$2)</f>
        <v>42.1</v>
      </c>
      <c r="J55" s="35">
        <f>467.3*($T$2)</f>
        <v>934.6</v>
      </c>
      <c r="K55" s="35">
        <f t="shared" si="1"/>
        <v>6.4134389043441047</v>
      </c>
      <c r="L55" s="35">
        <f t="shared" si="2"/>
        <v>6.4133016627078385</v>
      </c>
      <c r="M55" s="35">
        <f>3.674*($T$2)</f>
        <v>7.3479999999999999</v>
      </c>
      <c r="N55" s="35">
        <v>87.3</v>
      </c>
      <c r="O55" s="35">
        <f t="shared" si="0"/>
        <v>0.78621870318852982</v>
      </c>
      <c r="P55" s="35">
        <f t="shared" si="5"/>
        <v>47.12594906912048</v>
      </c>
      <c r="Q55" s="35">
        <f>('Batt Capacity and Sys Weight'!$I$5) + (B55*$T$2)</f>
        <v>41.453752999999999</v>
      </c>
      <c r="R55" s="35">
        <f>'Batt Capacity and Sys Weight'!$H$5</f>
        <v>99.9</v>
      </c>
    </row>
    <row r="56" spans="1:18" x14ac:dyDescent="0.3">
      <c r="A56" s="35" t="s">
        <v>242</v>
      </c>
      <c r="B56" s="35">
        <v>6.03</v>
      </c>
      <c r="C56" s="35">
        <v>760</v>
      </c>
      <c r="D56" s="35" t="s">
        <v>57</v>
      </c>
      <c r="E56" s="36" t="str" cm="1">
        <f t="array" ref="E56">GetNumber(D56,1)</f>
        <v>11</v>
      </c>
      <c r="F56" s="36" t="str" cm="1">
        <f t="array" ref="F56">GetNumber(D56,2)</f>
        <v>10</v>
      </c>
      <c r="G56" s="35">
        <v>11.1</v>
      </c>
      <c r="H56" s="35">
        <v>6533</v>
      </c>
      <c r="I56" s="35">
        <f>22.48*($T$2)</f>
        <v>44.96</v>
      </c>
      <c r="J56" s="35">
        <f>249.6*($T$2)</f>
        <v>499.2</v>
      </c>
      <c r="K56" s="35">
        <f t="shared" si="1"/>
        <v>12.007211538461538</v>
      </c>
      <c r="L56" s="35">
        <f t="shared" si="2"/>
        <v>12.01067615658363</v>
      </c>
      <c r="M56" s="35">
        <f>2.342*($T$2)</f>
        <v>4.6840000000000002</v>
      </c>
      <c r="N56" s="35">
        <v>90.8</v>
      </c>
      <c r="O56" s="35">
        <f t="shared" si="0"/>
        <v>0.93830128205128205</v>
      </c>
      <c r="P56" s="35">
        <f t="shared" si="5"/>
        <v>56.241778846153849</v>
      </c>
      <c r="Q56" s="35">
        <f>('Batt Capacity and Sys Weight'!$I$2) + (B56*$T$2)</f>
        <v>42.893000000000001</v>
      </c>
      <c r="R56" s="35">
        <f>'Batt Capacity and Sys Weight'!$H$2</f>
        <v>99.9</v>
      </c>
    </row>
    <row r="57" spans="1:18" x14ac:dyDescent="0.3">
      <c r="A57" s="35" t="s">
        <v>242</v>
      </c>
      <c r="B57" s="35">
        <v>6.03</v>
      </c>
      <c r="C57" s="35">
        <v>760</v>
      </c>
      <c r="D57" s="35" t="s">
        <v>32</v>
      </c>
      <c r="E57" s="36" t="str" cm="1">
        <f t="array" ref="E57">GetNumber(D57,1)</f>
        <v>12</v>
      </c>
      <c r="F57" s="36" t="str" cm="1">
        <f t="array" ref="F57">GetNumber(D57,2)</f>
        <v>8</v>
      </c>
      <c r="G57" s="35">
        <v>11.1</v>
      </c>
      <c r="H57" s="35">
        <v>6529</v>
      </c>
      <c r="I57" s="35">
        <f>21.98*($T$2)</f>
        <v>43.96</v>
      </c>
      <c r="J57" s="35">
        <f>243.9*($T$2)</f>
        <v>487.8</v>
      </c>
      <c r="K57" s="35">
        <f t="shared" si="1"/>
        <v>12.287822878228782</v>
      </c>
      <c r="L57" s="35">
        <f t="shared" si="2"/>
        <v>12.283894449499545</v>
      </c>
      <c r="M57" s="35">
        <f>2.733*($T$2)</f>
        <v>5.4660000000000002</v>
      </c>
      <c r="N57" s="35">
        <v>72.599999999999994</v>
      </c>
      <c r="O57" s="35">
        <f t="shared" si="0"/>
        <v>1.120541205412054</v>
      </c>
      <c r="P57" s="35">
        <f t="shared" si="5"/>
        <v>67.165239852398528</v>
      </c>
      <c r="Q57" s="35">
        <f>('Batt Capacity and Sys Weight'!$I$2) + (B57*$T$2)</f>
        <v>42.893000000000001</v>
      </c>
      <c r="R57" s="35">
        <f>'Batt Capacity and Sys Weight'!$H$2</f>
        <v>99.9</v>
      </c>
    </row>
    <row r="58" spans="1:18" x14ac:dyDescent="0.3">
      <c r="A58" s="35" t="s">
        <v>242</v>
      </c>
      <c r="B58" s="35">
        <v>6.03</v>
      </c>
      <c r="C58" s="35">
        <v>760</v>
      </c>
      <c r="D58" s="35" t="s">
        <v>33</v>
      </c>
      <c r="E58" s="36" t="str" cm="1">
        <f t="array" ref="E58">GetNumber(D58,1)</f>
        <v>12</v>
      </c>
      <c r="F58" s="36" t="str" cm="1">
        <f t="array" ref="F58">GetNumber(D58,2)</f>
        <v>10</v>
      </c>
      <c r="G58" s="35">
        <v>11.1</v>
      </c>
      <c r="H58" s="35">
        <v>6373</v>
      </c>
      <c r="I58" s="35">
        <f>25.26*($T$2)</f>
        <v>50.52</v>
      </c>
      <c r="J58" s="35">
        <f>280.4*($T$2)</f>
        <v>560.79999999999995</v>
      </c>
      <c r="K58" s="35">
        <f t="shared" si="1"/>
        <v>10.688302425106992</v>
      </c>
      <c r="L58" s="35">
        <f t="shared" si="2"/>
        <v>10.688836104513063</v>
      </c>
      <c r="M58" s="35">
        <f>3.07*($T$2)</f>
        <v>6.14</v>
      </c>
      <c r="N58" s="35">
        <v>88.6</v>
      </c>
      <c r="O58" s="35">
        <f t="shared" si="0"/>
        <v>1.094864479315264</v>
      </c>
      <c r="P58" s="35">
        <f t="shared" si="5"/>
        <v>65.626176890156927</v>
      </c>
      <c r="Q58" s="35">
        <f>('Batt Capacity and Sys Weight'!$I$2) + (B58*$T$2)</f>
        <v>42.893000000000001</v>
      </c>
      <c r="R58" s="35">
        <f>'Batt Capacity and Sys Weight'!$H$2</f>
        <v>99.9</v>
      </c>
    </row>
    <row r="59" spans="1:18" x14ac:dyDescent="0.3">
      <c r="A59" s="35" t="s">
        <v>242</v>
      </c>
      <c r="B59" s="35">
        <v>6.03</v>
      </c>
      <c r="C59" s="35">
        <v>760</v>
      </c>
      <c r="D59" s="35" t="s">
        <v>35</v>
      </c>
      <c r="E59" s="36" t="str" cm="1">
        <f t="array" ref="E59">GetNumber(D59,1)</f>
        <v>13</v>
      </c>
      <c r="F59" s="36" cm="1">
        <f t="array" ref="F59">GetNumber(D59,2)+(GetNumber(D59,3)/10)</f>
        <v>6.5</v>
      </c>
      <c r="G59" s="35">
        <v>11.1</v>
      </c>
      <c r="H59" s="35">
        <v>6449</v>
      </c>
      <c r="I59" s="35">
        <f>23.42*($T$2)</f>
        <v>46.84</v>
      </c>
      <c r="J59" s="35">
        <f>260*($T$2)</f>
        <v>520</v>
      </c>
      <c r="K59" s="35">
        <f t="shared" si="1"/>
        <v>11.526923076923078</v>
      </c>
      <c r="L59" s="35">
        <f t="shared" si="2"/>
        <v>11.528608027327071</v>
      </c>
      <c r="M59" s="35">
        <f>3.591*($T$2)</f>
        <v>7.1820000000000004</v>
      </c>
      <c r="N59" s="35">
        <v>58.2</v>
      </c>
      <c r="O59" s="35">
        <f t="shared" si="0"/>
        <v>1.3811538461538462</v>
      </c>
      <c r="P59" s="35">
        <f t="shared" si="5"/>
        <v>82.786361538461549</v>
      </c>
      <c r="Q59" s="35">
        <f>('Batt Capacity and Sys Weight'!$I$2) + (B59*$T$2)</f>
        <v>42.893000000000001</v>
      </c>
      <c r="R59" s="35">
        <f>'Batt Capacity and Sys Weight'!$H$2</f>
        <v>99.9</v>
      </c>
    </row>
    <row r="60" spans="1:18" x14ac:dyDescent="0.3">
      <c r="A60" s="35" t="s">
        <v>242</v>
      </c>
      <c r="B60" s="35">
        <v>6.03</v>
      </c>
      <c r="C60" s="35">
        <v>760</v>
      </c>
      <c r="D60" s="35" t="s">
        <v>36</v>
      </c>
      <c r="E60" s="36" t="str" cm="1">
        <f t="array" ref="E60">GetNumber(D60,1)</f>
        <v>13</v>
      </c>
      <c r="F60" s="36" t="str" cm="1">
        <f t="array" ref="F60">GetNumber(D60,2)</f>
        <v>8</v>
      </c>
      <c r="G60" s="35">
        <v>11.1</v>
      </c>
      <c r="H60" s="35">
        <v>6336</v>
      </c>
      <c r="I60" s="35">
        <f>25.96*($T$2)</f>
        <v>51.92</v>
      </c>
      <c r="J60" s="35">
        <f>288.2*($T$2)</f>
        <v>576.4</v>
      </c>
      <c r="K60" s="35">
        <f t="shared" si="1"/>
        <v>10.399028452463567</v>
      </c>
      <c r="L60" s="35">
        <f t="shared" si="2"/>
        <v>10.400616332819723</v>
      </c>
      <c r="M60" s="35">
        <f>3.718*($T$2)</f>
        <v>7.4359999999999999</v>
      </c>
      <c r="N60" s="35">
        <v>70.400000000000006</v>
      </c>
      <c r="O60" s="35">
        <f t="shared" si="0"/>
        <v>1.2900763358778626</v>
      </c>
      <c r="P60" s="35">
        <f t="shared" si="5"/>
        <v>77.327175572519081</v>
      </c>
      <c r="Q60" s="35">
        <f>('Batt Capacity and Sys Weight'!$I$2) + (B60*$T$2)</f>
        <v>42.893000000000001</v>
      </c>
      <c r="R60" s="35">
        <f>'Batt Capacity and Sys Weight'!$H$2</f>
        <v>99.9</v>
      </c>
    </row>
    <row r="61" spans="1:18" x14ac:dyDescent="0.3">
      <c r="A61" s="35" t="s">
        <v>242</v>
      </c>
      <c r="B61" s="35">
        <v>6.03</v>
      </c>
      <c r="C61" s="35">
        <v>760</v>
      </c>
      <c r="D61" s="35" t="s">
        <v>37</v>
      </c>
      <c r="E61" s="36" t="str" cm="1">
        <f t="array" ref="E61">GetNumber(D61,1)</f>
        <v>13</v>
      </c>
      <c r="F61" s="36" t="str" cm="1">
        <f t="array" ref="F61">GetNumber(D61,2)</f>
        <v>10</v>
      </c>
      <c r="G61" s="35">
        <v>11.1</v>
      </c>
      <c r="H61" s="35">
        <v>6061</v>
      </c>
      <c r="I61" s="35">
        <f>30.54*($T$2)</f>
        <v>61.08</v>
      </c>
      <c r="J61" s="35">
        <f>339*($T$2)</f>
        <v>678</v>
      </c>
      <c r="K61" s="35">
        <f t="shared" si="1"/>
        <v>8.8407079646017692</v>
      </c>
      <c r="L61" s="35">
        <f t="shared" si="2"/>
        <v>8.840864440078585</v>
      </c>
      <c r="M61" s="35">
        <f>3.639*($T$2)</f>
        <v>7.2779999999999996</v>
      </c>
      <c r="N61" s="35">
        <v>84.2</v>
      </c>
      <c r="O61" s="35">
        <f t="shared" si="0"/>
        <v>1.0734513274336281</v>
      </c>
      <c r="P61" s="35">
        <f t="shared" si="5"/>
        <v>64.342672566371675</v>
      </c>
      <c r="Q61" s="35">
        <f>('Batt Capacity and Sys Weight'!$I$2) + (B61*$T$2)</f>
        <v>42.893000000000001</v>
      </c>
      <c r="R61" s="35">
        <f>'Batt Capacity and Sys Weight'!$H$2</f>
        <v>99.9</v>
      </c>
    </row>
    <row r="62" spans="1:18" x14ac:dyDescent="0.3">
      <c r="A62" s="35" t="s">
        <v>242</v>
      </c>
      <c r="B62" s="35">
        <v>6.03</v>
      </c>
      <c r="C62" s="35">
        <v>760</v>
      </c>
      <c r="D62" s="35" t="s">
        <v>39</v>
      </c>
      <c r="E62" s="36" t="str" cm="1">
        <f t="array" ref="E62">GetNumber(D62,1)</f>
        <v>14</v>
      </c>
      <c r="F62" s="36" t="str" cm="1">
        <f t="array" ref="F62">GetNumber(D62,2)</f>
        <v>7</v>
      </c>
      <c r="G62" s="35">
        <v>11.1</v>
      </c>
      <c r="H62" s="35">
        <v>6171</v>
      </c>
      <c r="I62" s="35">
        <f>28.72*($T$2)</f>
        <v>57.44</v>
      </c>
      <c r="J62" s="35">
        <f>318.8*($T$2)</f>
        <v>637.6</v>
      </c>
      <c r="K62" s="35">
        <f t="shared" si="1"/>
        <v>9.4008782936010036</v>
      </c>
      <c r="L62" s="35">
        <f t="shared" si="2"/>
        <v>9.401114206128133</v>
      </c>
      <c r="M62" s="35">
        <f>4.248*($T$2)</f>
        <v>8.4960000000000004</v>
      </c>
      <c r="N62" s="35">
        <v>60</v>
      </c>
      <c r="O62" s="35">
        <f t="shared" si="0"/>
        <v>1.3324968632371392</v>
      </c>
      <c r="P62" s="35">
        <f t="shared" si="5"/>
        <v>79.869861982434131</v>
      </c>
      <c r="Q62" s="35">
        <f>('Batt Capacity and Sys Weight'!$I$2) + (B62*$T$2)</f>
        <v>42.893000000000001</v>
      </c>
      <c r="R62" s="35">
        <f>'Batt Capacity and Sys Weight'!$H$2</f>
        <v>99.9</v>
      </c>
    </row>
    <row r="63" spans="1:18" x14ac:dyDescent="0.3">
      <c r="A63" s="35" t="s">
        <v>242</v>
      </c>
      <c r="B63" s="35">
        <v>6.03</v>
      </c>
      <c r="C63" s="35">
        <v>760</v>
      </c>
      <c r="D63" s="35" t="s">
        <v>40</v>
      </c>
      <c r="E63" s="36" t="str" cm="1">
        <f t="array" ref="E63">GetNumber(D63,1)</f>
        <v>14</v>
      </c>
      <c r="F63" s="36" cm="1">
        <f t="array" ref="F63">GetNumber(D63,2)+(GetNumber(D63,3)/10)</f>
        <v>8.5</v>
      </c>
      <c r="G63" s="35">
        <v>11.1</v>
      </c>
      <c r="H63" s="35">
        <v>6041</v>
      </c>
      <c r="I63" s="35">
        <f>31.19*($T$2)</f>
        <v>62.38</v>
      </c>
      <c r="J63" s="35">
        <f>346.2*($T$2)</f>
        <v>692.4</v>
      </c>
      <c r="K63" s="35">
        <f t="shared" si="1"/>
        <v>8.6568457538994803</v>
      </c>
      <c r="L63" s="35">
        <f t="shared" si="2"/>
        <v>8.6566207117665925</v>
      </c>
      <c r="M63" s="35">
        <f>4.343*($T$2)</f>
        <v>8.6859999999999999</v>
      </c>
      <c r="N63" s="35">
        <v>71.3</v>
      </c>
      <c r="O63" s="35">
        <f t="shared" si="0"/>
        <v>1.2544771808203352</v>
      </c>
      <c r="P63" s="35">
        <f t="shared" si="5"/>
        <v>75.193362218370879</v>
      </c>
      <c r="Q63" s="35">
        <f>('Batt Capacity and Sys Weight'!$I$2) + (B63*$T$2)</f>
        <v>42.893000000000001</v>
      </c>
      <c r="R63" s="35">
        <f>'Batt Capacity and Sys Weight'!$H$2</f>
        <v>99.9</v>
      </c>
    </row>
    <row r="64" spans="1:18" x14ac:dyDescent="0.3">
      <c r="A64" s="35" t="s">
        <v>242</v>
      </c>
      <c r="B64" s="35">
        <v>6.03</v>
      </c>
      <c r="C64" s="35">
        <v>760</v>
      </c>
      <c r="D64" s="35" t="s">
        <v>41</v>
      </c>
      <c r="E64" s="36" t="str" cm="1">
        <f t="array" ref="E64">GetNumber(D64,1)</f>
        <v>14</v>
      </c>
      <c r="F64" s="36" t="str" cm="1">
        <f t="array" ref="F64">GetNumber(D64,2)</f>
        <v>10</v>
      </c>
      <c r="G64" s="35">
        <v>11.1</v>
      </c>
      <c r="H64" s="35">
        <v>6052</v>
      </c>
      <c r="I64" s="35">
        <f>31.06*($T$2)</f>
        <v>62.12</v>
      </c>
      <c r="J64" s="35">
        <f>344.7*($T$2)</f>
        <v>689.4</v>
      </c>
      <c r="K64" s="35">
        <f t="shared" si="1"/>
        <v>8.6945169712793735</v>
      </c>
      <c r="L64" s="35">
        <f t="shared" si="2"/>
        <v>8.6928525434642641</v>
      </c>
      <c r="M64" s="35">
        <f>4.312*($T$2)</f>
        <v>8.6240000000000006</v>
      </c>
      <c r="N64" s="35">
        <v>84</v>
      </c>
      <c r="O64" s="35">
        <f t="shared" si="0"/>
        <v>1.2509428488540761</v>
      </c>
      <c r="P64" s="35">
        <f t="shared" si="5"/>
        <v>74.981514360313327</v>
      </c>
      <c r="Q64" s="35">
        <f>('Batt Capacity and Sys Weight'!$I$2) + (B64*$T$2)</f>
        <v>42.893000000000001</v>
      </c>
      <c r="R64" s="35">
        <f>'Batt Capacity and Sys Weight'!$H$2</f>
        <v>99.9</v>
      </c>
    </row>
    <row r="65" spans="1:18" x14ac:dyDescent="0.3">
      <c r="A65" s="35" t="s">
        <v>242</v>
      </c>
      <c r="B65" s="35">
        <v>6.03</v>
      </c>
      <c r="C65" s="35">
        <v>760</v>
      </c>
      <c r="D65" s="35" t="s">
        <v>43</v>
      </c>
      <c r="E65" s="36" t="str" cm="1">
        <f t="array" ref="E65">GetNumber(D65,1)</f>
        <v>15</v>
      </c>
      <c r="F65" s="36" t="str" cm="1">
        <f t="array" ref="F65">GetNumber(D65,2)</f>
        <v>6</v>
      </c>
      <c r="G65" s="35">
        <v>11.1</v>
      </c>
      <c r="H65" s="35">
        <v>6063</v>
      </c>
      <c r="I65" s="35">
        <f>30.57*($T$2)</f>
        <v>61.14</v>
      </c>
      <c r="J65" s="35">
        <f>339.3*($T$2)</f>
        <v>678.6</v>
      </c>
      <c r="K65" s="35">
        <f t="shared" si="1"/>
        <v>8.8328912466843494</v>
      </c>
      <c r="L65" s="35">
        <f t="shared" si="2"/>
        <v>8.8321884200196266</v>
      </c>
      <c r="M65" s="35">
        <f>3.766*($T$2)</f>
        <v>7.532</v>
      </c>
      <c r="N65" s="35">
        <v>50.5</v>
      </c>
      <c r="O65" s="35">
        <f t="shared" si="0"/>
        <v>1.1099322133804892</v>
      </c>
      <c r="P65" s="35">
        <f t="shared" si="5"/>
        <v>66.529336870026526</v>
      </c>
      <c r="Q65" s="35">
        <f>('Batt Capacity and Sys Weight'!$I$2) + (B65*$T$2)</f>
        <v>42.893000000000001</v>
      </c>
      <c r="R65" s="35">
        <f>'Batt Capacity and Sys Weight'!$H$2</f>
        <v>99.9</v>
      </c>
    </row>
    <row r="66" spans="1:18" x14ac:dyDescent="0.3">
      <c r="A66" s="35" t="s">
        <v>242</v>
      </c>
      <c r="B66" s="35">
        <v>6.03</v>
      </c>
      <c r="C66" s="35">
        <v>760</v>
      </c>
      <c r="D66" s="35" t="s">
        <v>0</v>
      </c>
      <c r="E66" s="36" t="str" cm="1">
        <f t="array" ref="E66">GetNumber(D66,1)</f>
        <v>15</v>
      </c>
      <c r="F66" s="36" t="str" cm="1">
        <f t="array" ref="F66">GetNumber(D66,2)</f>
        <v>8</v>
      </c>
      <c r="G66" s="35">
        <v>11.1</v>
      </c>
      <c r="H66" s="35">
        <v>5916</v>
      </c>
      <c r="I66" s="35">
        <f>33.26*($T$2)</f>
        <v>66.52</v>
      </c>
      <c r="J66" s="35">
        <f>369.2*($T$2)</f>
        <v>738.4</v>
      </c>
      <c r="K66" s="35">
        <f t="shared" si="1"/>
        <v>8.1175514626218863</v>
      </c>
      <c r="L66" s="35">
        <f t="shared" si="2"/>
        <v>8.1178592904389664</v>
      </c>
      <c r="M66" s="35">
        <f>4.881*($T$2)</f>
        <v>9.7620000000000005</v>
      </c>
      <c r="N66" s="35">
        <v>65.7</v>
      </c>
      <c r="O66" s="35">
        <f t="shared" ref="O66:O129" si="6" xml:space="preserve"> (M66/J66)*100</f>
        <v>1.3220476706392199</v>
      </c>
      <c r="P66" s="35">
        <f t="shared" si="5"/>
        <v>79.243537378114851</v>
      </c>
      <c r="Q66" s="35">
        <f>('Batt Capacity and Sys Weight'!$I$2) + (B66*$T$2)</f>
        <v>42.893000000000001</v>
      </c>
      <c r="R66" s="35">
        <f>'Batt Capacity and Sys Weight'!$H$2</f>
        <v>99.9</v>
      </c>
    </row>
    <row r="67" spans="1:18" x14ac:dyDescent="0.3">
      <c r="A67" s="35" t="s">
        <v>242</v>
      </c>
      <c r="B67" s="35">
        <v>6.03</v>
      </c>
      <c r="C67" s="35">
        <v>760</v>
      </c>
      <c r="D67" s="35" t="s">
        <v>103</v>
      </c>
      <c r="E67" s="36" t="str" cm="1">
        <f t="array" ref="E67">GetNumber(D67,1)</f>
        <v>9</v>
      </c>
      <c r="F67" s="36" t="str" cm="1">
        <f t="array" ref="F67">GetNumber(D67,2)</f>
        <v>9</v>
      </c>
      <c r="G67" s="35">
        <v>14.8</v>
      </c>
      <c r="H67" s="35">
        <v>8959</v>
      </c>
      <c r="I67" s="35">
        <f>23.17*($T$2)</f>
        <v>46.34</v>
      </c>
      <c r="J67" s="35">
        <f>342.9*($T$2)</f>
        <v>685.8</v>
      </c>
      <c r="K67" s="35">
        <f t="shared" ref="K67:K130" si="7" xml:space="preserve"> (R67/J67)*60</f>
        <v>8.5459317585301839</v>
      </c>
      <c r="L67" s="35">
        <f t="shared" ref="L67:L130" si="8">( (R67/G67)/I67)*60</f>
        <v>8.5455330168321098</v>
      </c>
      <c r="M67" s="35">
        <f>2.492*($T$2)</f>
        <v>4.984</v>
      </c>
      <c r="N67" s="35">
        <v>112.1</v>
      </c>
      <c r="O67" s="35">
        <f t="shared" si="6"/>
        <v>0.72674249052201811</v>
      </c>
      <c r="P67" s="35">
        <f t="shared" si="5"/>
        <v>42.592923884514434</v>
      </c>
      <c r="Q67" s="35">
        <f>('Batt Capacity and Sys Weight'!$I$3) + (B67*$T$2)</f>
        <v>38.448475000000002</v>
      </c>
      <c r="R67" s="35">
        <f>'Batt Capacity and Sys Weight'!$H$3</f>
        <v>97.68</v>
      </c>
    </row>
    <row r="68" spans="1:18" x14ac:dyDescent="0.3">
      <c r="A68" s="35" t="s">
        <v>242</v>
      </c>
      <c r="B68" s="35">
        <v>6.03</v>
      </c>
      <c r="C68" s="35">
        <v>760</v>
      </c>
      <c r="D68" s="35" t="s">
        <v>55</v>
      </c>
      <c r="E68" s="36" t="str" cm="1">
        <f t="array" ref="E68">GetNumber(D68,1)</f>
        <v>10</v>
      </c>
      <c r="F68" s="36" t="str" cm="1">
        <f t="array" ref="F68">GetNumber(D68,2)</f>
        <v>10</v>
      </c>
      <c r="G68" s="35">
        <v>14.8</v>
      </c>
      <c r="H68" s="35">
        <v>8563</v>
      </c>
      <c r="I68" s="35">
        <f>29.14*($T$2)</f>
        <v>58.28</v>
      </c>
      <c r="J68" s="35">
        <f>431.3*($T$2)</f>
        <v>862.6</v>
      </c>
      <c r="K68" s="35">
        <f t="shared" si="7"/>
        <v>6.7943426849060975</v>
      </c>
      <c r="L68" s="35">
        <f t="shared" si="8"/>
        <v>6.7947838023335621</v>
      </c>
      <c r="M68" s="35">
        <f>3.002*($T$2)</f>
        <v>6.0039999999999996</v>
      </c>
      <c r="N68" s="35">
        <v>118.9</v>
      </c>
      <c r="O68" s="35">
        <f t="shared" si="6"/>
        <v>0.69603524229074876</v>
      </c>
      <c r="P68" s="35">
        <f t="shared" si="5"/>
        <v>40.793233480176205</v>
      </c>
      <c r="Q68" s="35">
        <f>('Batt Capacity and Sys Weight'!$I$3) + (B68*$T$2)</f>
        <v>38.448475000000002</v>
      </c>
      <c r="R68" s="35">
        <f>'Batt Capacity and Sys Weight'!$H$3</f>
        <v>97.68</v>
      </c>
    </row>
    <row r="69" spans="1:18" x14ac:dyDescent="0.3">
      <c r="A69" s="35" t="s">
        <v>242</v>
      </c>
      <c r="B69" s="35">
        <v>6.03</v>
      </c>
      <c r="C69" s="35">
        <v>760</v>
      </c>
      <c r="D69" s="35" t="s">
        <v>70</v>
      </c>
      <c r="E69" s="36" t="str" cm="1">
        <f t="array" ref="E69">GetNumber(D69,1)</f>
        <v>11</v>
      </c>
      <c r="F69" s="36" cm="1">
        <f t="array" ref="F69">GetNumber(D69,2)+(GetNumber(D69,3)/10)</f>
        <v>5.5</v>
      </c>
      <c r="G69" s="35">
        <v>14.8</v>
      </c>
      <c r="H69" s="35">
        <v>9028</v>
      </c>
      <c r="I69" s="35">
        <f>22.12*($T$2)</f>
        <v>44.24</v>
      </c>
      <c r="J69" s="35">
        <f>327.3*($T$2)</f>
        <v>654.6</v>
      </c>
      <c r="K69" s="35">
        <f t="shared" si="7"/>
        <v>8.9532538955087073</v>
      </c>
      <c r="L69" s="35">
        <f t="shared" si="8"/>
        <v>8.9511754068716094</v>
      </c>
      <c r="M69" s="35">
        <f>3.908*($T$2)</f>
        <v>7.8159999999999998</v>
      </c>
      <c r="N69" s="35">
        <v>68.900000000000006</v>
      </c>
      <c r="O69" s="35">
        <f t="shared" si="6"/>
        <v>1.1940116101435991</v>
      </c>
      <c r="P69" s="35">
        <f t="shared" si="5"/>
        <v>69.97863244729605</v>
      </c>
      <c r="Q69" s="35">
        <f>('Batt Capacity and Sys Weight'!$I$3) + (B69*$T$2)</f>
        <v>38.448475000000002</v>
      </c>
      <c r="R69" s="35">
        <f>'Batt Capacity and Sys Weight'!$H$3</f>
        <v>97.68</v>
      </c>
    </row>
    <row r="70" spans="1:18" x14ac:dyDescent="0.3">
      <c r="A70" s="35" t="s">
        <v>242</v>
      </c>
      <c r="B70" s="35">
        <v>6.03</v>
      </c>
      <c r="C70" s="35">
        <v>760</v>
      </c>
      <c r="D70" s="35" t="s">
        <v>71</v>
      </c>
      <c r="E70" s="36" t="str" cm="1">
        <f t="array" ref="E70">GetNumber(D70,1)</f>
        <v>11</v>
      </c>
      <c r="F70" s="36" t="str" cm="1">
        <f t="array" ref="F70">GetNumber(D70,2)</f>
        <v>7</v>
      </c>
      <c r="G70" s="35">
        <v>14.8</v>
      </c>
      <c r="H70" s="35">
        <v>8764</v>
      </c>
      <c r="I70" s="35">
        <f>26.01*($T$2)</f>
        <v>52.02</v>
      </c>
      <c r="J70" s="35">
        <f>385*($T$2)</f>
        <v>770</v>
      </c>
      <c r="K70" s="35">
        <f t="shared" si="7"/>
        <v>7.6114285714285721</v>
      </c>
      <c r="L70" s="35">
        <f t="shared" si="8"/>
        <v>7.6124567474048437</v>
      </c>
      <c r="M70" s="35">
        <f>4.134*($T$2)</f>
        <v>8.2680000000000007</v>
      </c>
      <c r="N70" s="35">
        <v>85.2</v>
      </c>
      <c r="O70" s="35">
        <f t="shared" si="6"/>
        <v>1.0737662337662339</v>
      </c>
      <c r="P70" s="35">
        <f t="shared" si="5"/>
        <v>62.931291428571441</v>
      </c>
      <c r="Q70" s="35">
        <f>('Batt Capacity and Sys Weight'!$I$3) + (B70*$T$2)</f>
        <v>38.448475000000002</v>
      </c>
      <c r="R70" s="35">
        <f>'Batt Capacity and Sys Weight'!$H$3</f>
        <v>97.68</v>
      </c>
    </row>
    <row r="71" spans="1:18" x14ac:dyDescent="0.3">
      <c r="A71" s="35" t="s">
        <v>242</v>
      </c>
      <c r="B71" s="35">
        <v>6.03</v>
      </c>
      <c r="C71" s="35">
        <v>760</v>
      </c>
      <c r="D71" s="35" t="s">
        <v>72</v>
      </c>
      <c r="E71" s="36" t="str" cm="1">
        <f t="array" ref="E71">GetNumber(D71,1)</f>
        <v>11</v>
      </c>
      <c r="F71" s="36" t="str" cm="1">
        <f t="array" ref="F71">GetNumber(D71,2)</f>
        <v>8</v>
      </c>
      <c r="G71" s="35">
        <v>14.8</v>
      </c>
      <c r="H71" s="35">
        <v>8639</v>
      </c>
      <c r="I71" s="35">
        <f>28.06*($T$2)</f>
        <v>56.12</v>
      </c>
      <c r="J71" s="35">
        <f>415.3*($T$2)</f>
        <v>830.6</v>
      </c>
      <c r="K71" s="35">
        <f t="shared" si="7"/>
        <v>7.0561040211895021</v>
      </c>
      <c r="L71" s="35">
        <f t="shared" si="8"/>
        <v>7.0563079116179628</v>
      </c>
      <c r="M71" s="35">
        <f>4.109*($T$2)</f>
        <v>8.218</v>
      </c>
      <c r="N71" s="35">
        <v>95.9</v>
      </c>
      <c r="O71" s="35">
        <f t="shared" si="6"/>
        <v>0.98940524921743311</v>
      </c>
      <c r="P71" s="35">
        <f t="shared" si="5"/>
        <v>57.987062846135331</v>
      </c>
      <c r="Q71" s="35">
        <f>('Batt Capacity and Sys Weight'!$I$3) + (B71*$T$2)</f>
        <v>38.448475000000002</v>
      </c>
      <c r="R71" s="35">
        <f>'Batt Capacity and Sys Weight'!$H$3</f>
        <v>97.68</v>
      </c>
    </row>
    <row r="72" spans="1:18" x14ac:dyDescent="0.3">
      <c r="A72" s="35" t="s">
        <v>242</v>
      </c>
      <c r="B72" s="35">
        <v>6.03</v>
      </c>
      <c r="C72" s="35">
        <v>760</v>
      </c>
      <c r="D72" s="35" t="s">
        <v>56</v>
      </c>
      <c r="E72" s="36" t="str" cm="1">
        <f t="array" ref="E72">GetNumber(D72,1)</f>
        <v>11</v>
      </c>
      <c r="F72" s="36" cm="1">
        <f t="array" ref="F72">GetNumber(D72,2)+(GetNumber(D72,3)/10)</f>
        <v>8.5</v>
      </c>
      <c r="G72" s="35">
        <v>14.8</v>
      </c>
      <c r="H72" s="35">
        <v>8476</v>
      </c>
      <c r="I72" s="35">
        <f>30.46*($T$2)</f>
        <v>60.92</v>
      </c>
      <c r="J72" s="35">
        <f>450.8*($T$2)</f>
        <v>901.6</v>
      </c>
      <c r="K72" s="35">
        <f t="shared" si="7"/>
        <v>6.5004436557231591</v>
      </c>
      <c r="L72" s="35">
        <f t="shared" si="8"/>
        <v>6.5003282994090616</v>
      </c>
      <c r="M72" s="35">
        <f>4.093*($T$2)</f>
        <v>8.1859999999999999</v>
      </c>
      <c r="N72" s="35">
        <v>100</v>
      </c>
      <c r="O72" s="35">
        <f t="shared" si="6"/>
        <v>0.90794143744454303</v>
      </c>
      <c r="P72" s="35">
        <f t="shared" si="5"/>
        <v>53.212631765749776</v>
      </c>
      <c r="Q72" s="35">
        <f>('Batt Capacity and Sys Weight'!$I$3) + (B72*$T$2)</f>
        <v>38.448475000000002</v>
      </c>
      <c r="R72" s="35">
        <f>'Batt Capacity and Sys Weight'!$H$3</f>
        <v>97.68</v>
      </c>
    </row>
    <row r="73" spans="1:18" x14ac:dyDescent="0.3">
      <c r="A73" s="35" t="s">
        <v>242</v>
      </c>
      <c r="B73" s="35">
        <v>6.03</v>
      </c>
      <c r="C73" s="35">
        <v>760</v>
      </c>
      <c r="D73" s="35" t="s">
        <v>58</v>
      </c>
      <c r="E73" s="36" t="str" cm="1">
        <f t="array" ref="E73">GetNumber(D73,1)</f>
        <v>12</v>
      </c>
      <c r="F73" s="36" t="str" cm="1">
        <f t="array" ref="F73">GetNumber(D73,2)</f>
        <v>6</v>
      </c>
      <c r="G73" s="35">
        <v>14.8</v>
      </c>
      <c r="H73" s="35">
        <v>8572</v>
      </c>
      <c r="I73" s="35">
        <f>28.36*($T$2)</f>
        <v>56.72</v>
      </c>
      <c r="J73" s="35">
        <f>419.7*($T$2)</f>
        <v>839.4</v>
      </c>
      <c r="K73" s="35">
        <f t="shared" si="7"/>
        <v>6.9821300929235175</v>
      </c>
      <c r="L73" s="35">
        <f t="shared" si="8"/>
        <v>6.9816643159379419</v>
      </c>
      <c r="M73" s="35">
        <f>4.799*($T$2)</f>
        <v>9.5980000000000008</v>
      </c>
      <c r="N73" s="35">
        <v>71.400000000000006</v>
      </c>
      <c r="O73" s="35">
        <f t="shared" si="6"/>
        <v>1.1434357874672385</v>
      </c>
      <c r="P73" s="35">
        <f t="shared" si="5"/>
        <v>67.014484631879924</v>
      </c>
      <c r="Q73" s="35">
        <f>('Batt Capacity and Sys Weight'!$I$3) + (B73*$T$2)</f>
        <v>38.448475000000002</v>
      </c>
      <c r="R73" s="35">
        <f>'Batt Capacity and Sys Weight'!$H$3</f>
        <v>97.68</v>
      </c>
    </row>
    <row r="74" spans="1:18" x14ac:dyDescent="0.3">
      <c r="A74" s="35" t="s">
        <v>242</v>
      </c>
      <c r="B74" s="35">
        <v>6.03</v>
      </c>
      <c r="C74" s="35">
        <v>760</v>
      </c>
      <c r="D74" s="35" t="s">
        <v>98</v>
      </c>
      <c r="E74" s="36" t="str" cm="1">
        <f t="array" ref="E74">GetNumber(D74,1)</f>
        <v>13</v>
      </c>
      <c r="F74" s="36" t="str" cm="1">
        <f t="array" ref="F74">GetNumber(D74,2)</f>
        <v>4</v>
      </c>
      <c r="G74" s="35">
        <v>14.8</v>
      </c>
      <c r="H74" s="35">
        <v>8970</v>
      </c>
      <c r="I74" s="35">
        <f>22.31*($T$2)</f>
        <v>44.62</v>
      </c>
      <c r="J74" s="35">
        <f>330.2*($T$2)</f>
        <v>660.4</v>
      </c>
      <c r="K74" s="35">
        <f t="shared" si="7"/>
        <v>8.8746214415505751</v>
      </c>
      <c r="L74" s="35">
        <f t="shared" si="8"/>
        <v>8.8749439713133125</v>
      </c>
      <c r="M74" s="35">
        <f>4.446*($T$2)</f>
        <v>8.8919999999999995</v>
      </c>
      <c r="N74" s="35">
        <v>49.9</v>
      </c>
      <c r="O74" s="35">
        <f t="shared" si="6"/>
        <v>1.3464566929133857</v>
      </c>
      <c r="P74" s="35">
        <f t="shared" si="5"/>
        <v>78.913133858267713</v>
      </c>
      <c r="Q74" s="35">
        <f>('Batt Capacity and Sys Weight'!$I$3) + (B74*$T$2)</f>
        <v>38.448475000000002</v>
      </c>
      <c r="R74" s="35">
        <f>'Batt Capacity and Sys Weight'!$H$3</f>
        <v>97.68</v>
      </c>
    </row>
    <row r="75" spans="1:18" x14ac:dyDescent="0.3">
      <c r="A75" s="35" t="s">
        <v>242</v>
      </c>
      <c r="B75" s="35">
        <v>6.03</v>
      </c>
      <c r="C75" s="35">
        <v>760</v>
      </c>
      <c r="D75" s="35" t="s">
        <v>128</v>
      </c>
      <c r="E75" s="36" t="str" cm="1">
        <f t="array" ref="E75">GetNumber(D75,1)</f>
        <v>8</v>
      </c>
      <c r="F75" s="36" t="str" cm="1">
        <f t="array" ref="F75">GetNumber(D75,2)</f>
        <v>8</v>
      </c>
      <c r="G75" s="35">
        <v>18.5</v>
      </c>
      <c r="H75" s="35">
        <v>11353</v>
      </c>
      <c r="I75" s="35">
        <f>23.88*($T$2)</f>
        <v>47.76</v>
      </c>
      <c r="J75" s="35">
        <f>441.8*($T$2)</f>
        <v>883.6</v>
      </c>
      <c r="K75" s="35">
        <f t="shared" si="7"/>
        <v>6.2811226799456765</v>
      </c>
      <c r="L75" s="35">
        <f t="shared" si="8"/>
        <v>6.2814070351758797</v>
      </c>
      <c r="M75" s="35">
        <f>2.572*($T$2)</f>
        <v>5.1440000000000001</v>
      </c>
      <c r="N75" s="35">
        <v>12.1</v>
      </c>
      <c r="O75" s="35">
        <f t="shared" si="6"/>
        <v>0.58216387505658673</v>
      </c>
      <c r="P75" s="35">
        <f t="shared" si="5"/>
        <v>32.31009506564056</v>
      </c>
      <c r="Q75" s="35">
        <f>('Batt Capacity and Sys Weight'!$I$4) + (B75*$T$2)</f>
        <v>39.224502999999999</v>
      </c>
      <c r="R75" s="35">
        <f>'Batt Capacity and Sys Weight'!$H$4</f>
        <v>92.5</v>
      </c>
    </row>
    <row r="76" spans="1:18" x14ac:dyDescent="0.3">
      <c r="A76" s="35" t="s">
        <v>242</v>
      </c>
      <c r="B76" s="35">
        <v>6.03</v>
      </c>
      <c r="C76" s="35">
        <v>760</v>
      </c>
      <c r="D76" s="35" t="s">
        <v>104</v>
      </c>
      <c r="E76" s="36" t="str" cm="1">
        <f t="array" ref="E76">GetNumber(D76,1)</f>
        <v>9</v>
      </c>
      <c r="F76" s="36" cm="1">
        <f t="array" ref="F76">GetNumber(D76,2)+(GetNumber(D76,3)/10)</f>
        <v>7.5</v>
      </c>
      <c r="G76" s="35">
        <v>18.5</v>
      </c>
      <c r="H76" s="35">
        <v>10916</v>
      </c>
      <c r="I76" s="35">
        <f>29.89*($T$2)</f>
        <v>59.78</v>
      </c>
      <c r="J76" s="35">
        <f>553*($T$2)</f>
        <v>1106</v>
      </c>
      <c r="K76" s="35">
        <f t="shared" si="7"/>
        <v>5.0180831826401446</v>
      </c>
      <c r="L76" s="35">
        <f t="shared" si="8"/>
        <v>5.0184008029441278</v>
      </c>
      <c r="M76" s="35">
        <f>3.535*($T$2)</f>
        <v>7.07</v>
      </c>
      <c r="N76" s="35">
        <v>113.7</v>
      </c>
      <c r="O76" s="35">
        <f t="shared" si="6"/>
        <v>0.63924050632911389</v>
      </c>
      <c r="P76" s="35">
        <f t="shared" si="5"/>
        <v>35.47784810126582</v>
      </c>
      <c r="Q76" s="35">
        <f>('Batt Capacity and Sys Weight'!$I$4) + (B76*$T$2)</f>
        <v>39.224502999999999</v>
      </c>
      <c r="R76" s="35">
        <f>'Batt Capacity and Sys Weight'!$H$4</f>
        <v>92.5</v>
      </c>
    </row>
    <row r="77" spans="1:18" x14ac:dyDescent="0.3">
      <c r="A77" s="35" t="s">
        <v>242</v>
      </c>
      <c r="B77" s="35">
        <v>6.03</v>
      </c>
      <c r="C77" s="35">
        <v>760</v>
      </c>
      <c r="D77" s="35" t="s">
        <v>103</v>
      </c>
      <c r="E77" s="36" t="str" cm="1">
        <f t="array" ref="E77">GetNumber(D77,1)</f>
        <v>9</v>
      </c>
      <c r="F77" s="36" t="str" cm="1">
        <f t="array" ref="F77">GetNumber(D77,2)</f>
        <v>9</v>
      </c>
      <c r="G77" s="35">
        <v>18.5</v>
      </c>
      <c r="H77" s="35">
        <v>10681</v>
      </c>
      <c r="I77" s="35">
        <f>33.05*($T$2)</f>
        <v>66.099999999999994</v>
      </c>
      <c r="J77" s="35">
        <f>611.4*($T$2)</f>
        <v>1222.8</v>
      </c>
      <c r="K77" s="35">
        <f t="shared" si="7"/>
        <v>4.5387634936211976</v>
      </c>
      <c r="L77" s="35">
        <f t="shared" si="8"/>
        <v>4.5385779122541603</v>
      </c>
      <c r="M77" s="35">
        <f>3.54*($T$2)</f>
        <v>7.08</v>
      </c>
      <c r="N77" s="35">
        <v>133.5</v>
      </c>
      <c r="O77" s="35">
        <f t="shared" si="6"/>
        <v>0.57899901864573111</v>
      </c>
      <c r="P77" s="35">
        <f t="shared" si="5"/>
        <v>32.134445534838079</v>
      </c>
      <c r="Q77" s="35">
        <f>('Batt Capacity and Sys Weight'!$I$4) + (B77*$T$2)</f>
        <v>39.224502999999999</v>
      </c>
      <c r="R77" s="35">
        <f>'Batt Capacity and Sys Weight'!$H$4</f>
        <v>92.5</v>
      </c>
    </row>
    <row r="78" spans="1:18" x14ac:dyDescent="0.3">
      <c r="A78" s="35" t="s">
        <v>242</v>
      </c>
      <c r="B78" s="35">
        <v>6.03</v>
      </c>
      <c r="C78" s="35">
        <v>760</v>
      </c>
      <c r="D78" s="35" t="s">
        <v>99</v>
      </c>
      <c r="E78" s="36" t="str" cm="1">
        <f t="array" ref="E78">GetNumber(D78,1)</f>
        <v>10</v>
      </c>
      <c r="F78" s="36" t="str" cm="1">
        <f t="array" ref="F78">GetNumber(D78,2)</f>
        <v>5</v>
      </c>
      <c r="G78" s="35">
        <v>18.5</v>
      </c>
      <c r="H78" s="35">
        <v>11352</v>
      </c>
      <c r="I78" s="35">
        <f>23.96*($T$2)</f>
        <v>47.92</v>
      </c>
      <c r="J78" s="35">
        <f>443.3*($T$2)</f>
        <v>886.6</v>
      </c>
      <c r="K78" s="35">
        <f t="shared" si="7"/>
        <v>6.2598691630949688</v>
      </c>
      <c r="L78" s="35">
        <f t="shared" si="8"/>
        <v>6.2604340567612686</v>
      </c>
      <c r="M78" s="35">
        <f>4.188*($T$2)</f>
        <v>8.3759999999999994</v>
      </c>
      <c r="N78" s="35">
        <v>78.900000000000006</v>
      </c>
      <c r="O78" s="35">
        <f t="shared" si="6"/>
        <v>0.94473268666817045</v>
      </c>
      <c r="P78" s="35">
        <f t="shared" si="5"/>
        <v>52.432664110083458</v>
      </c>
      <c r="Q78" s="35">
        <f>('Batt Capacity and Sys Weight'!$I$4) + (B78*$T$2)</f>
        <v>39.224502999999999</v>
      </c>
      <c r="R78" s="35">
        <f>'Batt Capacity and Sys Weight'!$H$4</f>
        <v>92.5</v>
      </c>
    </row>
    <row r="79" spans="1:18" x14ac:dyDescent="0.3">
      <c r="A79" s="35" t="s">
        <v>242</v>
      </c>
      <c r="B79" s="35">
        <v>6.03</v>
      </c>
      <c r="C79" s="35">
        <v>760</v>
      </c>
      <c r="D79" s="35" t="s">
        <v>67</v>
      </c>
      <c r="E79" s="36" t="str" cm="1">
        <f t="array" ref="E79">GetNumber(D79,1)</f>
        <v>10</v>
      </c>
      <c r="F79" s="36" t="str" cm="1">
        <f t="array" ref="F79">GetNumber(D79,2)</f>
        <v>6</v>
      </c>
      <c r="G79" s="35">
        <v>18.5</v>
      </c>
      <c r="H79" s="35">
        <v>11215</v>
      </c>
      <c r="I79" s="35">
        <f>25.68*($T$2)</f>
        <v>51.36</v>
      </c>
      <c r="J79" s="35">
        <f>475*($T$2)</f>
        <v>950</v>
      </c>
      <c r="K79" s="35">
        <f t="shared" si="7"/>
        <v>5.8421052631578947</v>
      </c>
      <c r="L79" s="35">
        <f t="shared" si="8"/>
        <v>5.8411214953271022</v>
      </c>
      <c r="M79" s="35">
        <f>4.506*($T$2)</f>
        <v>9.0120000000000005</v>
      </c>
      <c r="N79" s="35">
        <v>93.4</v>
      </c>
      <c r="O79" s="35">
        <f t="shared" si="6"/>
        <v>0.94863157894736849</v>
      </c>
      <c r="P79" s="35">
        <f t="shared" si="5"/>
        <v>52.649052631578947</v>
      </c>
      <c r="Q79" s="35">
        <f>('Batt Capacity and Sys Weight'!$I$4) + (B79*$T$2)</f>
        <v>39.224502999999999</v>
      </c>
      <c r="R79" s="35">
        <f>'Batt Capacity and Sys Weight'!$H$4</f>
        <v>92.5</v>
      </c>
    </row>
    <row r="80" spans="1:18" x14ac:dyDescent="0.3">
      <c r="A80" s="35" t="s">
        <v>242</v>
      </c>
      <c r="B80" s="35">
        <v>6.03</v>
      </c>
      <c r="C80" s="35">
        <v>760</v>
      </c>
      <c r="D80" s="35" t="s">
        <v>68</v>
      </c>
      <c r="E80" s="36" t="str" cm="1">
        <f t="array" ref="E80">GetNumber(D80,1)</f>
        <v>10</v>
      </c>
      <c r="F80" s="36" t="str" cm="1">
        <f t="array" ref="F80">GetNumber(D80,2)</f>
        <v>7</v>
      </c>
      <c r="G80" s="35">
        <v>18.5</v>
      </c>
      <c r="H80" s="35">
        <v>10946</v>
      </c>
      <c r="I80" s="35">
        <f>29.35*($T$2)</f>
        <v>58.7</v>
      </c>
      <c r="J80" s="35">
        <f>543*($T$2)</f>
        <v>1086</v>
      </c>
      <c r="K80" s="35">
        <f t="shared" si="7"/>
        <v>5.1104972375690609</v>
      </c>
      <c r="L80" s="35">
        <f t="shared" si="8"/>
        <v>5.1107325383304936</v>
      </c>
      <c r="M80" s="35">
        <f>4.812*($T$2)</f>
        <v>9.6240000000000006</v>
      </c>
      <c r="N80" s="35">
        <v>106.5</v>
      </c>
      <c r="O80" s="35">
        <f t="shared" si="6"/>
        <v>0.88618784530386741</v>
      </c>
      <c r="P80" s="35">
        <f t="shared" si="5"/>
        <v>49.183425414364642</v>
      </c>
      <c r="Q80" s="35">
        <f>('Batt Capacity and Sys Weight'!$I$4) + (B80*$T$2)</f>
        <v>39.224502999999999</v>
      </c>
      <c r="R80" s="35">
        <f>'Batt Capacity and Sys Weight'!$H$4</f>
        <v>92.5</v>
      </c>
    </row>
    <row r="81" spans="1:18" x14ac:dyDescent="0.3">
      <c r="A81" s="35" t="s">
        <v>242</v>
      </c>
      <c r="B81" s="35">
        <v>6.03</v>
      </c>
      <c r="C81" s="35">
        <v>760</v>
      </c>
      <c r="D81" s="35" t="s">
        <v>70</v>
      </c>
      <c r="E81" s="36" t="str" cm="1">
        <f t="array" ref="E81">GetNumber(D81,1)</f>
        <v>11</v>
      </c>
      <c r="F81" s="36" cm="1">
        <f t="array" ref="F81">GetNumber(D81,2)+(GetNumber(D81,3)/10)</f>
        <v>5.5</v>
      </c>
      <c r="G81" s="35">
        <v>18.5</v>
      </c>
      <c r="H81" s="35">
        <v>10721</v>
      </c>
      <c r="I81" s="35">
        <f>32.55*($T$2)</f>
        <v>65.099999999999994</v>
      </c>
      <c r="J81" s="35">
        <f>602.2*($T$2)</f>
        <v>1204.4000000000001</v>
      </c>
      <c r="K81" s="35">
        <f t="shared" si="7"/>
        <v>4.6081036200597802</v>
      </c>
      <c r="L81" s="35">
        <f t="shared" si="8"/>
        <v>4.6082949308755765</v>
      </c>
      <c r="M81" s="35">
        <f>5.679*($T$2)</f>
        <v>11.358000000000001</v>
      </c>
      <c r="N81" s="35">
        <v>81.8</v>
      </c>
      <c r="O81" s="35">
        <f t="shared" si="6"/>
        <v>0.94304217867817985</v>
      </c>
      <c r="P81" s="35">
        <f t="shared" ref="P81:P144" si="9">M81*K81</f>
        <v>52.338840916638986</v>
      </c>
      <c r="Q81" s="35">
        <f>('Batt Capacity and Sys Weight'!$I$4) + (B81*$T$2)</f>
        <v>39.224502999999999</v>
      </c>
      <c r="R81" s="35">
        <f>'Batt Capacity and Sys Weight'!$H$4</f>
        <v>92.5</v>
      </c>
    </row>
    <row r="82" spans="1:18" x14ac:dyDescent="0.3">
      <c r="A82" s="35" t="s">
        <v>242</v>
      </c>
      <c r="B82" s="35">
        <v>6.03</v>
      </c>
      <c r="C82" s="35">
        <v>760</v>
      </c>
      <c r="D82" s="35" t="s">
        <v>98</v>
      </c>
      <c r="E82" s="36" t="str" cm="1">
        <f t="array" ref="E82">GetNumber(D82,1)</f>
        <v>13</v>
      </c>
      <c r="F82" s="36" t="str" cm="1">
        <f t="array" ref="F82">GetNumber(D82,2)</f>
        <v>4</v>
      </c>
      <c r="G82" s="35">
        <v>18.5</v>
      </c>
      <c r="H82" s="35">
        <v>10735</v>
      </c>
      <c r="I82" s="35">
        <f>32.16*($T$2)</f>
        <v>64.319999999999993</v>
      </c>
      <c r="J82" s="35">
        <f>594.9*($T$2)</f>
        <v>1189.8</v>
      </c>
      <c r="K82" s="35">
        <f t="shared" si="7"/>
        <v>4.6646495209278873</v>
      </c>
      <c r="L82" s="35">
        <f t="shared" si="8"/>
        <v>4.6641791044776122</v>
      </c>
      <c r="M82" s="35">
        <f>6.546*($T$2)</f>
        <v>13.092000000000001</v>
      </c>
      <c r="N82" s="35">
        <v>59.7</v>
      </c>
      <c r="O82" s="35">
        <f t="shared" si="6"/>
        <v>1.1003530005042865</v>
      </c>
      <c r="P82" s="35">
        <f t="shared" si="9"/>
        <v>61.069591527987903</v>
      </c>
      <c r="Q82" s="35">
        <f>('Batt Capacity and Sys Weight'!$I$4) + (B82*$T$2)</f>
        <v>39.224502999999999</v>
      </c>
      <c r="R82" s="35">
        <f>'Batt Capacity and Sys Weight'!$H$4</f>
        <v>92.5</v>
      </c>
    </row>
    <row r="83" spans="1:18" x14ac:dyDescent="0.3">
      <c r="A83" s="35" t="s">
        <v>242</v>
      </c>
      <c r="B83" s="35">
        <v>6.03</v>
      </c>
      <c r="C83" s="35">
        <v>760</v>
      </c>
      <c r="D83" s="35" t="s">
        <v>127</v>
      </c>
      <c r="E83" s="36" t="str" cm="1">
        <f t="array" ref="E83">GetNumber(D83,1)</f>
        <v>8</v>
      </c>
      <c r="F83" s="36" t="str" cm="1">
        <f t="array" ref="F83">GetNumber(D83,2)</f>
        <v>6</v>
      </c>
      <c r="G83" s="35">
        <v>22.2</v>
      </c>
      <c r="H83" s="35">
        <v>13670</v>
      </c>
      <c r="I83" s="35">
        <f>26.72*($T$2)</f>
        <v>53.44</v>
      </c>
      <c r="J83" s="35">
        <f>593.2*($T$2)</f>
        <v>1186.4000000000001</v>
      </c>
      <c r="K83" s="35">
        <f t="shared" si="7"/>
        <v>5.052258934592043</v>
      </c>
      <c r="L83" s="35">
        <f t="shared" si="8"/>
        <v>5.0523952095808387</v>
      </c>
      <c r="M83" s="35">
        <f>3.752*($T$2)</f>
        <v>7.5039999999999996</v>
      </c>
      <c r="N83" s="35">
        <v>114</v>
      </c>
      <c r="O83" s="35">
        <f t="shared" si="6"/>
        <v>0.63250168577208354</v>
      </c>
      <c r="P83" s="35">
        <f t="shared" si="9"/>
        <v>37.912151045178689</v>
      </c>
      <c r="Q83" s="35">
        <f>('Batt Capacity and Sys Weight'!$I$5) + (B83*$T$2)</f>
        <v>43.633752999999999</v>
      </c>
      <c r="R83" s="35">
        <f>'Batt Capacity and Sys Weight'!$H$5</f>
        <v>99.9</v>
      </c>
    </row>
    <row r="84" spans="1:18" x14ac:dyDescent="0.3">
      <c r="A84" s="35" t="s">
        <v>242</v>
      </c>
      <c r="B84" s="35">
        <v>6.03</v>
      </c>
      <c r="C84" s="35">
        <v>760</v>
      </c>
      <c r="D84" s="35" t="s">
        <v>129</v>
      </c>
      <c r="E84" s="36" t="str" cm="1">
        <f t="array" ref="E84">GetNumber(D84,1)</f>
        <v>9</v>
      </c>
      <c r="F84" s="36" cm="1">
        <f t="array" ref="F84">GetNumber(D84,2)+(GetNumber(D84,3)/10)</f>
        <v>4.5</v>
      </c>
      <c r="G84" s="35">
        <v>22.2</v>
      </c>
      <c r="H84" s="35">
        <v>13915</v>
      </c>
      <c r="I84" s="35">
        <f>23.66*($T$2)</f>
        <v>47.32</v>
      </c>
      <c r="J84" s="35">
        <f>525.3*($T$2)</f>
        <v>1050.5999999999999</v>
      </c>
      <c r="K84" s="35">
        <f t="shared" si="7"/>
        <v>5.705311250713879</v>
      </c>
      <c r="L84" s="35">
        <f t="shared" si="8"/>
        <v>5.705832628909552</v>
      </c>
      <c r="M84" s="35">
        <f>4.709*($T$2)</f>
        <v>9.4179999999999993</v>
      </c>
      <c r="N84" s="35">
        <v>87</v>
      </c>
      <c r="O84" s="35">
        <f t="shared" si="6"/>
        <v>0.89644012944983831</v>
      </c>
      <c r="P84" s="35">
        <f t="shared" si="9"/>
        <v>53.732621359223309</v>
      </c>
      <c r="Q84" s="35">
        <f>('Batt Capacity and Sys Weight'!$I$5) + (B84*$T$2)</f>
        <v>43.633752999999999</v>
      </c>
      <c r="R84" s="35">
        <f>'Batt Capacity and Sys Weight'!$H$5</f>
        <v>99.9</v>
      </c>
    </row>
    <row r="85" spans="1:18" x14ac:dyDescent="0.3">
      <c r="A85" s="35" t="s">
        <v>242</v>
      </c>
      <c r="B85" s="35">
        <v>6.03</v>
      </c>
      <c r="C85" s="35">
        <v>760</v>
      </c>
      <c r="D85" s="35" t="s">
        <v>107</v>
      </c>
      <c r="E85" s="36" t="str" cm="1">
        <f t="array" ref="E85">GetNumber(D85,1)</f>
        <v>9</v>
      </c>
      <c r="F85" s="36" t="str" cm="1">
        <f t="array" ref="F85">GetNumber(D85,2)</f>
        <v>6</v>
      </c>
      <c r="G85" s="35">
        <v>22.2</v>
      </c>
      <c r="H85" s="35">
        <v>13630</v>
      </c>
      <c r="I85" s="35">
        <f>27.29*($T$2)</f>
        <v>54.58</v>
      </c>
      <c r="J85" s="35">
        <f>605.9*($T$2)</f>
        <v>1211.8</v>
      </c>
      <c r="K85" s="35">
        <f t="shared" si="7"/>
        <v>4.9463607856081868</v>
      </c>
      <c r="L85" s="35">
        <f t="shared" si="8"/>
        <v>4.9468669842433126</v>
      </c>
      <c r="M85" s="35">
        <f>4.512*($T$2)</f>
        <v>9.0239999999999991</v>
      </c>
      <c r="N85" s="35">
        <v>113.5</v>
      </c>
      <c r="O85" s="35">
        <f t="shared" si="6"/>
        <v>0.74467733949496606</v>
      </c>
      <c r="P85" s="35">
        <f t="shared" si="9"/>
        <v>44.63595972932827</v>
      </c>
      <c r="Q85" s="35">
        <f>('Batt Capacity and Sys Weight'!$I$5) + (B85*$T$2)</f>
        <v>43.633752999999999</v>
      </c>
      <c r="R85" s="35">
        <f>'Batt Capacity and Sys Weight'!$H$5</f>
        <v>99.9</v>
      </c>
    </row>
    <row r="86" spans="1:18" x14ac:dyDescent="0.3">
      <c r="A86" s="35" t="s">
        <v>243</v>
      </c>
      <c r="B86" s="35">
        <v>8.92</v>
      </c>
      <c r="C86" s="35">
        <v>650</v>
      </c>
      <c r="D86" s="35" t="s">
        <v>57</v>
      </c>
      <c r="E86" s="36" t="str" cm="1">
        <f t="array" ref="E86">GetNumber(D86,1)</f>
        <v>11</v>
      </c>
      <c r="F86" s="36" t="str" cm="1">
        <f t="array" ref="F86">GetNumber(D86,2)</f>
        <v>10</v>
      </c>
      <c r="G86" s="35">
        <v>14.8</v>
      </c>
      <c r="H86" s="35">
        <v>7848</v>
      </c>
      <c r="I86" s="35">
        <f>29.02*($T$2)</f>
        <v>58.04</v>
      </c>
      <c r="J86" s="35">
        <f>429.5*($T$2)</f>
        <v>859</v>
      </c>
      <c r="K86" s="35">
        <f t="shared" si="7"/>
        <v>6.8228172293364384</v>
      </c>
      <c r="L86" s="35">
        <f t="shared" si="8"/>
        <v>6.8228807718814615</v>
      </c>
      <c r="M86" s="35">
        <f>3.304*($T$2)</f>
        <v>6.6079999999999997</v>
      </c>
      <c r="N86" s="35">
        <v>109</v>
      </c>
      <c r="O86" s="35">
        <f t="shared" si="6"/>
        <v>0.76926658905704304</v>
      </c>
      <c r="P86" s="35">
        <f t="shared" si="9"/>
        <v>45.085176251455181</v>
      </c>
      <c r="Q86" s="35">
        <f>('Batt Capacity and Sys Weight'!$I$3) + (B86*$T$2)</f>
        <v>44.228475000000003</v>
      </c>
      <c r="R86" s="35">
        <f>'Batt Capacity and Sys Weight'!$H$3</f>
        <v>97.68</v>
      </c>
    </row>
    <row r="87" spans="1:18" x14ac:dyDescent="0.3">
      <c r="A87" s="35" t="s">
        <v>243</v>
      </c>
      <c r="B87" s="35">
        <v>8.92</v>
      </c>
      <c r="C87" s="35">
        <v>650</v>
      </c>
      <c r="D87" s="35" t="s">
        <v>32</v>
      </c>
      <c r="E87" s="36" t="str" cm="1">
        <f t="array" ref="E87">GetNumber(D87,1)</f>
        <v>12</v>
      </c>
      <c r="F87" s="36" t="str" cm="1">
        <f t="array" ref="F87">GetNumber(D87,2)</f>
        <v>8</v>
      </c>
      <c r="G87" s="35">
        <v>14.8</v>
      </c>
      <c r="H87" s="35">
        <v>7857</v>
      </c>
      <c r="I87" s="35">
        <f>29.09*($T$2)</f>
        <v>58.18</v>
      </c>
      <c r="J87" s="35">
        <f>430.5*($T$2)</f>
        <v>861</v>
      </c>
      <c r="K87" s="35">
        <f t="shared" si="7"/>
        <v>6.8069686411149828</v>
      </c>
      <c r="L87" s="35">
        <f t="shared" si="8"/>
        <v>6.806462701959437</v>
      </c>
      <c r="M87" s="35">
        <f>3.939*($T$2)</f>
        <v>7.8780000000000001</v>
      </c>
      <c r="N87" s="35">
        <v>87.3</v>
      </c>
      <c r="O87" s="35">
        <f t="shared" si="6"/>
        <v>0.91498257839721253</v>
      </c>
      <c r="P87" s="35">
        <f t="shared" si="9"/>
        <v>53.625298954703837</v>
      </c>
      <c r="Q87" s="35">
        <f>('Batt Capacity and Sys Weight'!$I$3) + (B87*$T$2)</f>
        <v>44.228475000000003</v>
      </c>
      <c r="R87" s="35">
        <f>'Batt Capacity and Sys Weight'!$H$3</f>
        <v>97.68</v>
      </c>
    </row>
    <row r="88" spans="1:18" x14ac:dyDescent="0.3">
      <c r="A88" s="35" t="s">
        <v>243</v>
      </c>
      <c r="B88" s="35">
        <v>8.92</v>
      </c>
      <c r="C88" s="35">
        <v>650</v>
      </c>
      <c r="D88" s="35" t="s">
        <v>33</v>
      </c>
      <c r="E88" s="36" t="str" cm="1">
        <f t="array" ref="E88">GetNumber(D88,1)</f>
        <v>12</v>
      </c>
      <c r="F88" s="36" t="str" cm="1">
        <f t="array" ref="F88">GetNumber(D88,2)</f>
        <v>10</v>
      </c>
      <c r="G88" s="35">
        <v>14.8</v>
      </c>
      <c r="H88" s="35">
        <v>7535</v>
      </c>
      <c r="I88" s="35">
        <f>33.96*($T$2)</f>
        <v>67.92</v>
      </c>
      <c r="J88" s="35">
        <f>502.6*($T$2)</f>
        <v>1005.2</v>
      </c>
      <c r="K88" s="35">
        <f t="shared" si="7"/>
        <v>5.8304814962196581</v>
      </c>
      <c r="L88" s="35">
        <f t="shared" si="8"/>
        <v>5.8303886925795059</v>
      </c>
      <c r="M88" s="35">
        <f>4.193*($T$2)</f>
        <v>8.3859999999999992</v>
      </c>
      <c r="N88" s="35">
        <v>104.7</v>
      </c>
      <c r="O88" s="35">
        <f t="shared" si="6"/>
        <v>0.83426183844011126</v>
      </c>
      <c r="P88" s="35">
        <f t="shared" si="9"/>
        <v>48.894417827298049</v>
      </c>
      <c r="Q88" s="35">
        <f>('Batt Capacity and Sys Weight'!$I$3) + (B88*$T$2)</f>
        <v>44.228475000000003</v>
      </c>
      <c r="R88" s="35">
        <f>'Batt Capacity and Sys Weight'!$H$3</f>
        <v>97.68</v>
      </c>
    </row>
    <row r="89" spans="1:18" x14ac:dyDescent="0.3">
      <c r="A89" s="35" t="s">
        <v>243</v>
      </c>
      <c r="B89" s="35">
        <v>8.92</v>
      </c>
      <c r="C89" s="35">
        <v>650</v>
      </c>
      <c r="D89" s="35" t="s">
        <v>34</v>
      </c>
      <c r="E89" s="36" t="str" cm="1">
        <f t="array" ref="E89">GetNumber(D89,1)</f>
        <v>12</v>
      </c>
      <c r="F89" s="36" t="str" cm="1">
        <f t="array" ref="F89">GetNumber(D89,2)</f>
        <v>12</v>
      </c>
      <c r="G89" s="35">
        <v>14.8</v>
      </c>
      <c r="H89" s="35">
        <v>7342</v>
      </c>
      <c r="I89" s="35">
        <f>38.87*($T$2)</f>
        <v>77.739999999999995</v>
      </c>
      <c r="J89" s="35">
        <f>575.3*($T$2)</f>
        <v>1150.5999999999999</v>
      </c>
      <c r="K89" s="35">
        <f t="shared" si="7"/>
        <v>5.0936902485659665</v>
      </c>
      <c r="L89" s="35">
        <f t="shared" si="8"/>
        <v>5.0939027527656302</v>
      </c>
      <c r="M89" s="35">
        <f>3.851*($T$2)</f>
        <v>7.702</v>
      </c>
      <c r="N89" s="35">
        <v>122.3</v>
      </c>
      <c r="O89" s="35">
        <f t="shared" si="6"/>
        <v>0.66938988353902318</v>
      </c>
      <c r="P89" s="35">
        <f t="shared" si="9"/>
        <v>39.231602294455072</v>
      </c>
      <c r="Q89" s="35">
        <f>('Batt Capacity and Sys Weight'!$I$3) + (B89*$T$2)</f>
        <v>44.228475000000003</v>
      </c>
      <c r="R89" s="35">
        <f>'Batt Capacity and Sys Weight'!$H$3</f>
        <v>97.68</v>
      </c>
    </row>
    <row r="90" spans="1:18" x14ac:dyDescent="0.3">
      <c r="A90" s="35" t="s">
        <v>243</v>
      </c>
      <c r="B90" s="35">
        <v>8.92</v>
      </c>
      <c r="C90" s="35">
        <v>650</v>
      </c>
      <c r="D90" s="35" t="s">
        <v>35</v>
      </c>
      <c r="E90" s="36" t="str" cm="1">
        <f t="array" ref="E90">GetNumber(D90,1)</f>
        <v>13</v>
      </c>
      <c r="F90" s="36" cm="1">
        <f t="array" ref="F90">GetNumber(D90,2)+(GetNumber(D90,3)/10)</f>
        <v>6.5</v>
      </c>
      <c r="G90" s="35">
        <v>14.8</v>
      </c>
      <c r="H90" s="35">
        <v>7689</v>
      </c>
      <c r="I90" s="35">
        <f>32.09*($T$2)</f>
        <v>64.180000000000007</v>
      </c>
      <c r="J90" s="35">
        <f>475*($T$2)</f>
        <v>950</v>
      </c>
      <c r="K90" s="35">
        <f t="shared" si="7"/>
        <v>6.1692631578947372</v>
      </c>
      <c r="L90" s="35">
        <f t="shared" si="8"/>
        <v>6.1701464630726086</v>
      </c>
      <c r="M90" s="35">
        <f>5.397*($T$2)</f>
        <v>10.794</v>
      </c>
      <c r="N90" s="35">
        <v>69.400000000000006</v>
      </c>
      <c r="O90" s="35">
        <f t="shared" si="6"/>
        <v>1.1362105263157896</v>
      </c>
      <c r="P90" s="35">
        <f t="shared" si="9"/>
        <v>66.591026526315801</v>
      </c>
      <c r="Q90" s="35">
        <f>('Batt Capacity and Sys Weight'!$I$3) + (B90*$T$2)</f>
        <v>44.228475000000003</v>
      </c>
      <c r="R90" s="35">
        <f>'Batt Capacity and Sys Weight'!$H$3</f>
        <v>97.68</v>
      </c>
    </row>
    <row r="91" spans="1:18" x14ac:dyDescent="0.3">
      <c r="A91" s="35" t="s">
        <v>243</v>
      </c>
      <c r="B91" s="35">
        <v>8.92</v>
      </c>
      <c r="C91" s="35">
        <v>650</v>
      </c>
      <c r="D91" s="35" t="s">
        <v>36</v>
      </c>
      <c r="E91" s="36" t="str" cm="1">
        <f t="array" ref="E91">GetNumber(D91,1)</f>
        <v>13</v>
      </c>
      <c r="F91" s="36" t="str" cm="1">
        <f t="array" ref="F91">GetNumber(D91,2)</f>
        <v>8</v>
      </c>
      <c r="G91" s="35">
        <v>14.8</v>
      </c>
      <c r="H91" s="35">
        <v>7569</v>
      </c>
      <c r="I91" s="35">
        <f>34.45*($T$2)</f>
        <v>68.900000000000006</v>
      </c>
      <c r="J91" s="35">
        <f>509.8*($T$2)</f>
        <v>1019.6</v>
      </c>
      <c r="K91" s="35">
        <f t="shared" si="7"/>
        <v>5.7481365241271094</v>
      </c>
      <c r="L91" s="35">
        <f t="shared" si="8"/>
        <v>5.7474600870827288</v>
      </c>
      <c r="M91" s="35">
        <f>5.295*($T$2)</f>
        <v>10.59</v>
      </c>
      <c r="N91" s="35">
        <v>84</v>
      </c>
      <c r="O91" s="35">
        <f t="shared" si="6"/>
        <v>1.038642604943115</v>
      </c>
      <c r="P91" s="35">
        <f t="shared" si="9"/>
        <v>60.872765790506087</v>
      </c>
      <c r="Q91" s="35">
        <f>('Batt Capacity and Sys Weight'!$I$3) + (B91*$T$2)</f>
        <v>44.228475000000003</v>
      </c>
      <c r="R91" s="35">
        <f>'Batt Capacity and Sys Weight'!$H$3</f>
        <v>97.68</v>
      </c>
    </row>
    <row r="92" spans="1:18" x14ac:dyDescent="0.3">
      <c r="A92" s="35" t="s">
        <v>243</v>
      </c>
      <c r="B92" s="35">
        <v>8.92</v>
      </c>
      <c r="C92" s="35">
        <v>650</v>
      </c>
      <c r="D92" s="35" t="s">
        <v>39</v>
      </c>
      <c r="E92" s="36" t="str" cm="1">
        <f t="array" ref="E92">GetNumber(D92,1)</f>
        <v>14</v>
      </c>
      <c r="F92" s="36" t="str" cm="1">
        <f t="array" ref="F92">GetNumber(D92,2)</f>
        <v>7</v>
      </c>
      <c r="G92" s="35">
        <v>14.8</v>
      </c>
      <c r="H92" s="35">
        <v>7317</v>
      </c>
      <c r="I92" s="35">
        <f>38.48*($T$2)</f>
        <v>76.959999999999994</v>
      </c>
      <c r="J92" s="35">
        <f>569.5*($T$2)</f>
        <v>1139</v>
      </c>
      <c r="K92" s="35">
        <f t="shared" si="7"/>
        <v>5.1455662862159794</v>
      </c>
      <c r="L92" s="35">
        <f t="shared" si="8"/>
        <v>5.145530145530147</v>
      </c>
      <c r="M92" s="35">
        <f>6.175*($T$2)</f>
        <v>12.35</v>
      </c>
      <c r="N92" s="35">
        <v>71.099999999999994</v>
      </c>
      <c r="O92" s="35">
        <f t="shared" si="6"/>
        <v>1.0842844600526778</v>
      </c>
      <c r="P92" s="35">
        <f t="shared" si="9"/>
        <v>63.547743634767343</v>
      </c>
      <c r="Q92" s="35">
        <f>('Batt Capacity and Sys Weight'!$I$3) + (B92*$T$2)</f>
        <v>44.228475000000003</v>
      </c>
      <c r="R92" s="35">
        <f>'Batt Capacity and Sys Weight'!$H$3</f>
        <v>97.68</v>
      </c>
    </row>
    <row r="93" spans="1:18" x14ac:dyDescent="0.3">
      <c r="A93" s="35" t="s">
        <v>243</v>
      </c>
      <c r="B93" s="35">
        <v>8.92</v>
      </c>
      <c r="C93" s="35">
        <v>650</v>
      </c>
      <c r="D93" s="35" t="s">
        <v>40</v>
      </c>
      <c r="E93" s="36" t="str" cm="1">
        <f t="array" ref="E93">GetNumber(D93,1)</f>
        <v>14</v>
      </c>
      <c r="F93" s="36" cm="1">
        <f t="array" ref="F93">GetNumber(D93,2)+(GetNumber(D93,3)/10)</f>
        <v>8.5</v>
      </c>
      <c r="G93" s="35">
        <v>14.8</v>
      </c>
      <c r="H93" s="35">
        <v>7282</v>
      </c>
      <c r="I93" s="35">
        <f>41.01*($T$2)</f>
        <v>82.02</v>
      </c>
      <c r="J93" s="35">
        <f>606.9*($T$2)</f>
        <v>1213.8</v>
      </c>
      <c r="K93" s="35">
        <f t="shared" si="7"/>
        <v>4.8284725654967877</v>
      </c>
      <c r="L93" s="35">
        <f t="shared" si="8"/>
        <v>4.8280907095830292</v>
      </c>
      <c r="M93" s="35">
        <f>6.458*($T$2)</f>
        <v>12.916</v>
      </c>
      <c r="N93" s="35">
        <v>85.9</v>
      </c>
      <c r="O93" s="35">
        <f t="shared" si="6"/>
        <v>1.0640962267259846</v>
      </c>
      <c r="P93" s="35">
        <f t="shared" si="9"/>
        <v>62.364551655956511</v>
      </c>
      <c r="Q93" s="35">
        <f>('Batt Capacity and Sys Weight'!$I$3) + (B93*$T$2)</f>
        <v>44.228475000000003</v>
      </c>
      <c r="R93" s="35">
        <f>'Batt Capacity and Sys Weight'!$H$3</f>
        <v>97.68</v>
      </c>
    </row>
    <row r="94" spans="1:18" x14ac:dyDescent="0.3">
      <c r="A94" s="35" t="s">
        <v>243</v>
      </c>
      <c r="B94" s="35">
        <v>8.92</v>
      </c>
      <c r="C94" s="35">
        <v>650</v>
      </c>
      <c r="D94" s="35" t="s">
        <v>41</v>
      </c>
      <c r="E94" s="36" t="str" cm="1">
        <f t="array" ref="E94">GetNumber(D94,1)</f>
        <v>14</v>
      </c>
      <c r="F94" s="36" t="str" cm="1">
        <f t="array" ref="F94">GetNumber(D94,2)</f>
        <v>10</v>
      </c>
      <c r="G94" s="35">
        <v>14.8</v>
      </c>
      <c r="H94" s="35">
        <v>7294</v>
      </c>
      <c r="I94" s="35">
        <f>40.95*($T$2)</f>
        <v>81.900000000000006</v>
      </c>
      <c r="J94" s="35">
        <f>606.1*($T$2)</f>
        <v>1212.2</v>
      </c>
      <c r="K94" s="35">
        <f t="shared" si="7"/>
        <v>4.8348457350272236</v>
      </c>
      <c r="L94" s="35">
        <f t="shared" si="8"/>
        <v>4.8351648351648358</v>
      </c>
      <c r="M94" s="35">
        <f>6.286*($T$2)</f>
        <v>12.571999999999999</v>
      </c>
      <c r="N94" s="35">
        <v>101.3</v>
      </c>
      <c r="O94" s="35">
        <f t="shared" si="6"/>
        <v>1.0371225870318428</v>
      </c>
      <c r="P94" s="35">
        <f t="shared" si="9"/>
        <v>60.783680580762251</v>
      </c>
      <c r="Q94" s="35">
        <f>('Batt Capacity and Sys Weight'!$I$3) + (B94*$T$2)</f>
        <v>44.228475000000003</v>
      </c>
      <c r="R94" s="35">
        <f>'Batt Capacity and Sys Weight'!$H$3</f>
        <v>97.68</v>
      </c>
    </row>
    <row r="95" spans="1:18" x14ac:dyDescent="0.3">
      <c r="A95" s="35" t="s">
        <v>243</v>
      </c>
      <c r="B95" s="35">
        <v>8.92</v>
      </c>
      <c r="C95" s="35">
        <v>650</v>
      </c>
      <c r="D95" s="35" t="s">
        <v>60</v>
      </c>
      <c r="E95" s="36" t="str" cm="1">
        <f t="array" ref="E95">GetNumber(D95,1)</f>
        <v>15</v>
      </c>
      <c r="F95" s="36" t="str" cm="1">
        <f t="array" ref="F95">GetNumber(D95,2)</f>
        <v>4</v>
      </c>
      <c r="G95" s="35">
        <v>14.8</v>
      </c>
      <c r="H95" s="35">
        <v>7718</v>
      </c>
      <c r="I95" s="35">
        <f>31.55*($T$2)</f>
        <v>63.1</v>
      </c>
      <c r="J95" s="35">
        <f>466.9*($T$2)</f>
        <v>933.8</v>
      </c>
      <c r="K95" s="35">
        <f t="shared" si="7"/>
        <v>6.2762904262154642</v>
      </c>
      <c r="L95" s="35">
        <f t="shared" si="8"/>
        <v>6.2757527733755953</v>
      </c>
      <c r="M95" s="35">
        <f>6.239*($T$2)</f>
        <v>12.478</v>
      </c>
      <c r="N95" s="35">
        <v>42.8</v>
      </c>
      <c r="O95" s="35">
        <f t="shared" si="6"/>
        <v>1.3362604412079675</v>
      </c>
      <c r="P95" s="35">
        <f t="shared" si="9"/>
        <v>78.31555193831656</v>
      </c>
      <c r="Q95" s="35">
        <f>('Batt Capacity and Sys Weight'!$I$3) + (B95*$T$2)</f>
        <v>44.228475000000003</v>
      </c>
      <c r="R95" s="35">
        <f>'Batt Capacity and Sys Weight'!$H$3</f>
        <v>97.68</v>
      </c>
    </row>
    <row r="96" spans="1:18" x14ac:dyDescent="0.3">
      <c r="A96" s="35" t="s">
        <v>243</v>
      </c>
      <c r="B96" s="35">
        <v>8.92</v>
      </c>
      <c r="C96" s="35">
        <v>650</v>
      </c>
      <c r="D96" s="35" t="s">
        <v>43</v>
      </c>
      <c r="E96" s="36" t="str" cm="1">
        <f t="array" ref="E96">GetNumber(D96,1)</f>
        <v>15</v>
      </c>
      <c r="F96" s="36" t="str" cm="1">
        <f t="array" ref="F96">GetNumber(D96,2)</f>
        <v>6</v>
      </c>
      <c r="G96" s="35">
        <v>14.8</v>
      </c>
      <c r="H96" s="35">
        <v>7281</v>
      </c>
      <c r="I96" s="35">
        <f>40.99*($T$2)</f>
        <v>81.98</v>
      </c>
      <c r="J96" s="35">
        <f>606.7*($T$2)</f>
        <v>1213.4000000000001</v>
      </c>
      <c r="K96" s="35">
        <f t="shared" si="7"/>
        <v>4.8300642821822972</v>
      </c>
      <c r="L96" s="35">
        <f t="shared" si="8"/>
        <v>4.8304464503537456</v>
      </c>
      <c r="M96" s="35">
        <f>7.075*($T$2)</f>
        <v>14.15</v>
      </c>
      <c r="N96" s="35">
        <v>60.7</v>
      </c>
      <c r="O96" s="35">
        <f t="shared" si="6"/>
        <v>1.166144717323224</v>
      </c>
      <c r="P96" s="35">
        <f t="shared" si="9"/>
        <v>68.345409592879506</v>
      </c>
      <c r="Q96" s="35">
        <f>('Batt Capacity and Sys Weight'!$I$3) + (B96*$T$2)</f>
        <v>44.228475000000003</v>
      </c>
      <c r="R96" s="35">
        <f>'Batt Capacity and Sys Weight'!$H$3</f>
        <v>97.68</v>
      </c>
    </row>
    <row r="97" spans="1:18" x14ac:dyDescent="0.3">
      <c r="A97" s="35" t="s">
        <v>243</v>
      </c>
      <c r="B97" s="35">
        <v>8.92</v>
      </c>
      <c r="C97" s="35">
        <v>650</v>
      </c>
      <c r="D97" s="35" t="s">
        <v>54</v>
      </c>
      <c r="E97" s="36" t="str" cm="1">
        <f t="array" ref="E97">GetNumber(D97,1)</f>
        <v>12</v>
      </c>
      <c r="F97" s="36" t="str" cm="1">
        <f t="array" ref="F97">GetNumber(D97,2)</f>
        <v>8</v>
      </c>
      <c r="G97" s="35">
        <v>14.8</v>
      </c>
      <c r="H97" s="35">
        <v>7503</v>
      </c>
      <c r="I97" s="35">
        <f>34.98*($T$2)</f>
        <v>69.959999999999994</v>
      </c>
      <c r="J97" s="35">
        <f>517.7*($T$2)</f>
        <v>1035.4000000000001</v>
      </c>
      <c r="K97" s="35">
        <f t="shared" si="7"/>
        <v>5.6604210932972761</v>
      </c>
      <c r="L97" s="35">
        <f t="shared" si="8"/>
        <v>5.6603773584905674</v>
      </c>
      <c r="M97" s="35">
        <f>5.626*($T$2)</f>
        <v>11.252000000000001</v>
      </c>
      <c r="N97" s="35">
        <v>83.3</v>
      </c>
      <c r="O97" s="35">
        <f t="shared" si="6"/>
        <v>1.0867297662739037</v>
      </c>
      <c r="P97" s="35">
        <f t="shared" si="9"/>
        <v>63.691058141780957</v>
      </c>
      <c r="Q97" s="35">
        <f>('Batt Capacity and Sys Weight'!$I$3) + (B97*$T$2)</f>
        <v>44.228475000000003</v>
      </c>
      <c r="R97" s="35">
        <f>'Batt Capacity and Sys Weight'!$H$3</f>
        <v>97.68</v>
      </c>
    </row>
    <row r="98" spans="1:18" x14ac:dyDescent="0.3">
      <c r="A98" s="35" t="s">
        <v>243</v>
      </c>
      <c r="B98" s="35">
        <v>8.92</v>
      </c>
      <c r="C98" s="35">
        <v>650</v>
      </c>
      <c r="D98" s="35" t="s">
        <v>25</v>
      </c>
      <c r="E98" s="36" t="str" cm="1">
        <f t="array" ref="E98">GetNumber(D98,1)</f>
        <v>13</v>
      </c>
      <c r="F98" s="36" t="str" cm="1">
        <f t="array" ref="F98">GetNumber(D98,2)</f>
        <v>8</v>
      </c>
      <c r="G98" s="35">
        <v>14.8</v>
      </c>
      <c r="H98" s="35">
        <v>7388</v>
      </c>
      <c r="I98" s="35">
        <f>38.68*($T$2)</f>
        <v>77.36</v>
      </c>
      <c r="J98" s="35">
        <f>572.4*($T$2)</f>
        <v>1144.8</v>
      </c>
      <c r="K98" s="35">
        <f t="shared" si="7"/>
        <v>5.119496855345913</v>
      </c>
      <c r="L98" s="35">
        <f t="shared" si="8"/>
        <v>5.118924508790073</v>
      </c>
      <c r="M98" s="35">
        <f>6.193*($T$2)</f>
        <v>12.385999999999999</v>
      </c>
      <c r="N98" s="35">
        <v>82.1</v>
      </c>
      <c r="O98" s="35">
        <f t="shared" si="6"/>
        <v>1.0819357092941997</v>
      </c>
      <c r="P98" s="35">
        <f t="shared" si="9"/>
        <v>63.410088050314478</v>
      </c>
      <c r="Q98" s="35">
        <f>('Batt Capacity and Sys Weight'!$I$3) + (B98*$T$2)</f>
        <v>44.228475000000003</v>
      </c>
      <c r="R98" s="35">
        <f>'Batt Capacity and Sys Weight'!$H$3</f>
        <v>97.68</v>
      </c>
    </row>
    <row r="99" spans="1:18" x14ac:dyDescent="0.3">
      <c r="A99" s="35" t="s">
        <v>243</v>
      </c>
      <c r="B99" s="35">
        <v>8.92</v>
      </c>
      <c r="C99" s="35">
        <v>650</v>
      </c>
      <c r="D99" s="35" t="s">
        <v>55</v>
      </c>
      <c r="E99" s="36" t="str" cm="1">
        <f t="array" ref="E99">GetNumber(D99,1)</f>
        <v>10</v>
      </c>
      <c r="F99" s="36" t="str" cm="1">
        <f t="array" ref="F99">GetNumber(D99,2)</f>
        <v>10</v>
      </c>
      <c r="G99" s="35">
        <v>18.5</v>
      </c>
      <c r="H99" s="35">
        <v>9557</v>
      </c>
      <c r="I99" s="35">
        <f>34.78*($T$2)</f>
        <v>69.56</v>
      </c>
      <c r="J99" s="35">
        <f>643.4*($T$2)</f>
        <v>1286.8</v>
      </c>
      <c r="K99" s="35">
        <f t="shared" si="7"/>
        <v>4.3130245570407215</v>
      </c>
      <c r="L99" s="35">
        <f t="shared" si="8"/>
        <v>4.3128234617596313</v>
      </c>
      <c r="M99" s="35">
        <f>3.507*($T$2)</f>
        <v>7.0140000000000002</v>
      </c>
      <c r="N99" s="35">
        <v>132.69999999999999</v>
      </c>
      <c r="O99" s="35">
        <f t="shared" si="6"/>
        <v>0.54507304942493007</v>
      </c>
      <c r="P99" s="35">
        <f t="shared" si="9"/>
        <v>30.251554243083621</v>
      </c>
      <c r="Q99" s="35">
        <f>('Batt Capacity and Sys Weight'!$I$4) + (B99*$T$2)</f>
        <v>45.004503</v>
      </c>
      <c r="R99" s="35">
        <f>'Batt Capacity and Sys Weight'!$H$4</f>
        <v>92.5</v>
      </c>
    </row>
    <row r="100" spans="1:18" x14ac:dyDescent="0.3">
      <c r="A100" s="35" t="s">
        <v>243</v>
      </c>
      <c r="B100" s="35">
        <v>8.92</v>
      </c>
      <c r="C100" s="35">
        <v>650</v>
      </c>
      <c r="D100" s="35" t="s">
        <v>71</v>
      </c>
      <c r="E100" s="36" t="str" cm="1">
        <f t="array" ref="E100">GetNumber(D100,1)</f>
        <v>11</v>
      </c>
      <c r="F100" s="36" t="str" cm="1">
        <f t="array" ref="F100">GetNumber(D100,2)</f>
        <v>7</v>
      </c>
      <c r="G100" s="35">
        <v>18.5</v>
      </c>
      <c r="H100" s="35">
        <v>9782</v>
      </c>
      <c r="I100" s="35">
        <f>30.95*($T$2)</f>
        <v>61.9</v>
      </c>
      <c r="J100" s="35">
        <f>572.6*($T$2)</f>
        <v>1145.2</v>
      </c>
      <c r="K100" s="35">
        <f t="shared" si="7"/>
        <v>4.8463150541390148</v>
      </c>
      <c r="L100" s="35">
        <f t="shared" si="8"/>
        <v>4.8465266558966071</v>
      </c>
      <c r="M100" s="35">
        <f>5.238*($T$2)</f>
        <v>10.476000000000001</v>
      </c>
      <c r="N100" s="35">
        <v>95</v>
      </c>
      <c r="O100" s="35">
        <f t="shared" si="6"/>
        <v>0.91477471184072656</v>
      </c>
      <c r="P100" s="35">
        <f t="shared" si="9"/>
        <v>50.769996507160322</v>
      </c>
      <c r="Q100" s="35">
        <f>('Batt Capacity and Sys Weight'!$I$4) + (B100*$T$2)</f>
        <v>45.004503</v>
      </c>
      <c r="R100" s="35">
        <f>'Batt Capacity and Sys Weight'!$H$4</f>
        <v>92.5</v>
      </c>
    </row>
    <row r="101" spans="1:18" x14ac:dyDescent="0.3">
      <c r="A101" s="35" t="s">
        <v>243</v>
      </c>
      <c r="B101" s="35">
        <v>8.92</v>
      </c>
      <c r="C101" s="35">
        <v>650</v>
      </c>
      <c r="D101" s="35" t="s">
        <v>72</v>
      </c>
      <c r="E101" s="36" t="str" cm="1">
        <f t="array" ref="E101">GetNumber(D101,1)</f>
        <v>11</v>
      </c>
      <c r="F101" s="36" t="str" cm="1">
        <f t="array" ref="F101">GetNumber(D101,2)</f>
        <v>8</v>
      </c>
      <c r="G101" s="35">
        <v>18.5</v>
      </c>
      <c r="H101" s="35">
        <v>9648</v>
      </c>
      <c r="I101" s="35">
        <f>33.66*($T$2)</f>
        <v>67.319999999999993</v>
      </c>
      <c r="J101" s="35">
        <f>622.7*($T$2)</f>
        <v>1245.4000000000001</v>
      </c>
      <c r="K101" s="35">
        <f t="shared" si="7"/>
        <v>4.4563995503452709</v>
      </c>
      <c r="L101" s="35">
        <f t="shared" si="8"/>
        <v>4.4563279857397502</v>
      </c>
      <c r="M101" s="35">
        <f>4.978*($T$2)</f>
        <v>9.9559999999999995</v>
      </c>
      <c r="N101" s="35">
        <v>107.2</v>
      </c>
      <c r="O101" s="35">
        <f t="shared" si="6"/>
        <v>0.79942187249076591</v>
      </c>
      <c r="P101" s="35">
        <f t="shared" si="9"/>
        <v>44.367913923237516</v>
      </c>
      <c r="Q101" s="35">
        <f>('Batt Capacity and Sys Weight'!$I$4) + (B101*$T$2)</f>
        <v>45.004503</v>
      </c>
      <c r="R101" s="35">
        <f>'Batt Capacity and Sys Weight'!$H$4</f>
        <v>92.5</v>
      </c>
    </row>
    <row r="102" spans="1:18" x14ac:dyDescent="0.3">
      <c r="A102" s="35" t="s">
        <v>243</v>
      </c>
      <c r="B102" s="35">
        <v>8.92</v>
      </c>
      <c r="C102" s="35">
        <v>650</v>
      </c>
      <c r="D102" s="35" t="s">
        <v>56</v>
      </c>
      <c r="E102" s="36" t="str" cm="1">
        <f t="array" ref="E102">GetNumber(D102,1)</f>
        <v>11</v>
      </c>
      <c r="F102" s="36" cm="1">
        <f t="array" ref="F102">GetNumber(D102,2)+(GetNumber(D102,3)/10)</f>
        <v>8.5</v>
      </c>
      <c r="G102" s="35">
        <v>18.5</v>
      </c>
      <c r="H102" s="35">
        <v>9551</v>
      </c>
      <c r="I102" s="35">
        <f>36.36*($T$2)</f>
        <v>72.72</v>
      </c>
      <c r="J102" s="35">
        <f>672.6*($T$2)</f>
        <v>1345.2</v>
      </c>
      <c r="K102" s="35">
        <f t="shared" si="7"/>
        <v>4.1257805530776093</v>
      </c>
      <c r="L102" s="35">
        <f t="shared" si="8"/>
        <v>4.1254125412541258</v>
      </c>
      <c r="M102" s="35">
        <f>5.099*($T$2)</f>
        <v>10.198</v>
      </c>
      <c r="N102" s="35">
        <v>112.8</v>
      </c>
      <c r="O102" s="35">
        <f t="shared" si="6"/>
        <v>0.75810288432946771</v>
      </c>
      <c r="P102" s="35">
        <f t="shared" si="9"/>
        <v>42.074710080285463</v>
      </c>
      <c r="Q102" s="35">
        <f>('Batt Capacity and Sys Weight'!$I$4) + (B102*$T$2)</f>
        <v>45.004503</v>
      </c>
      <c r="R102" s="35">
        <f>'Batt Capacity and Sys Weight'!$H$4</f>
        <v>92.5</v>
      </c>
    </row>
    <row r="103" spans="1:18" x14ac:dyDescent="0.3">
      <c r="A103" s="35" t="s">
        <v>243</v>
      </c>
      <c r="B103" s="35">
        <v>8.92</v>
      </c>
      <c r="C103" s="35">
        <v>650</v>
      </c>
      <c r="D103" s="35" t="s">
        <v>57</v>
      </c>
      <c r="E103" s="36" t="str" cm="1">
        <f t="array" ref="E103">GetNumber(D103,1)</f>
        <v>11</v>
      </c>
      <c r="F103" s="36" t="str" cm="1">
        <f t="array" ref="F103">GetNumber(D103,2)</f>
        <v>10</v>
      </c>
      <c r="G103" s="35">
        <v>18.5</v>
      </c>
      <c r="H103" s="35">
        <v>9247</v>
      </c>
      <c r="I103" s="35">
        <f>41.07*($T$2)</f>
        <v>82.14</v>
      </c>
      <c r="J103" s="35">
        <f>759.8*($T$2)</f>
        <v>1519.6</v>
      </c>
      <c r="K103" s="35">
        <f t="shared" si="7"/>
        <v>3.6522769149776257</v>
      </c>
      <c r="L103" s="35">
        <f t="shared" si="8"/>
        <v>3.652300949598247</v>
      </c>
      <c r="M103" s="35">
        <f>4.618*($T$2)</f>
        <v>9.2360000000000007</v>
      </c>
      <c r="N103" s="35">
        <v>128.5</v>
      </c>
      <c r="O103" s="35">
        <f t="shared" si="6"/>
        <v>0.60779152408528569</v>
      </c>
      <c r="P103" s="35">
        <f t="shared" si="9"/>
        <v>33.732429586733353</v>
      </c>
      <c r="Q103" s="35">
        <f>('Batt Capacity and Sys Weight'!$I$4) + (B103*$T$2)</f>
        <v>45.004503</v>
      </c>
      <c r="R103" s="35">
        <f>'Batt Capacity and Sys Weight'!$H$4</f>
        <v>92.5</v>
      </c>
    </row>
    <row r="104" spans="1:18" x14ac:dyDescent="0.3">
      <c r="A104" s="35" t="s">
        <v>243</v>
      </c>
      <c r="B104" s="35">
        <v>8.92</v>
      </c>
      <c r="C104" s="35">
        <v>650</v>
      </c>
      <c r="D104" s="35" t="s">
        <v>58</v>
      </c>
      <c r="E104" s="36" t="str" cm="1">
        <f t="array" ref="E104">GetNumber(D104,1)</f>
        <v>12</v>
      </c>
      <c r="F104" s="36" t="str" cm="1">
        <f t="array" ref="F104">GetNumber(D104,2)</f>
        <v>6</v>
      </c>
      <c r="G104" s="35">
        <v>18.5</v>
      </c>
      <c r="H104" s="35">
        <v>9637</v>
      </c>
      <c r="I104" s="35">
        <f>34.57*($T$2)</f>
        <v>69.14</v>
      </c>
      <c r="J104" s="35">
        <f>639.6*($T$2)</f>
        <v>1279.2</v>
      </c>
      <c r="K104" s="35">
        <f t="shared" si="7"/>
        <v>4.3386491557223268</v>
      </c>
      <c r="L104" s="35">
        <f t="shared" si="8"/>
        <v>4.3390222736476716</v>
      </c>
      <c r="M104" s="35">
        <f>6.319*($T$2)</f>
        <v>12.638</v>
      </c>
      <c r="N104" s="35">
        <v>80.400000000000006</v>
      </c>
      <c r="O104" s="35">
        <f t="shared" si="6"/>
        <v>0.98796122576610379</v>
      </c>
      <c r="P104" s="35">
        <f t="shared" si="9"/>
        <v>54.831848030018769</v>
      </c>
      <c r="Q104" s="35">
        <f>('Batt Capacity and Sys Weight'!$I$4) + (B104*$T$2)</f>
        <v>45.004503</v>
      </c>
      <c r="R104" s="35">
        <f>'Batt Capacity and Sys Weight'!$H$4</f>
        <v>92.5</v>
      </c>
    </row>
    <row r="105" spans="1:18" x14ac:dyDescent="0.3">
      <c r="A105" s="35" t="s">
        <v>243</v>
      </c>
      <c r="B105" s="35">
        <v>8.92</v>
      </c>
      <c r="C105" s="35">
        <v>650</v>
      </c>
      <c r="D105" s="35" t="s">
        <v>98</v>
      </c>
      <c r="E105" s="36" t="str" cm="1">
        <f t="array" ref="E105">GetNumber(D105,1)</f>
        <v>13</v>
      </c>
      <c r="F105" s="36" t="str" cm="1">
        <f t="array" ref="F105">GetNumber(D105,2)</f>
        <v>4</v>
      </c>
      <c r="G105" s="35">
        <v>18.5</v>
      </c>
      <c r="H105" s="35">
        <v>9844</v>
      </c>
      <c r="I105" s="35">
        <f>29.03*($T$2)</f>
        <v>58.06</v>
      </c>
      <c r="J105" s="35">
        <f>537.1*($T$2)</f>
        <v>1074.2</v>
      </c>
      <c r="K105" s="35">
        <f t="shared" si="7"/>
        <v>5.1666356358220069</v>
      </c>
      <c r="L105" s="35">
        <f t="shared" si="8"/>
        <v>5.1670685497760935</v>
      </c>
      <c r="M105" s="35">
        <f>6.142*($T$2)</f>
        <v>12.284000000000001</v>
      </c>
      <c r="N105" s="35">
        <v>54.7</v>
      </c>
      <c r="O105" s="35">
        <f t="shared" si="6"/>
        <v>1.1435486873952709</v>
      </c>
      <c r="P105" s="35">
        <f t="shared" si="9"/>
        <v>63.466952150437535</v>
      </c>
      <c r="Q105" s="35">
        <f>('Batt Capacity and Sys Weight'!$I$4) + (B105*$T$2)</f>
        <v>45.004503</v>
      </c>
      <c r="R105" s="35">
        <f>'Batt Capacity and Sys Weight'!$H$4</f>
        <v>92.5</v>
      </c>
    </row>
    <row r="106" spans="1:18" x14ac:dyDescent="0.3">
      <c r="A106" s="35" t="s">
        <v>243</v>
      </c>
      <c r="B106" s="35">
        <v>8.92</v>
      </c>
      <c r="C106" s="35">
        <v>650</v>
      </c>
      <c r="D106" s="35" t="s">
        <v>80</v>
      </c>
      <c r="E106" s="36" t="str" cm="1">
        <f t="array" ref="E106">GetNumber(D106,1)</f>
        <v>10</v>
      </c>
      <c r="F106" s="36" t="str" cm="1">
        <f t="array" ref="F106">GetNumber(D106,2)</f>
        <v>7</v>
      </c>
      <c r="G106" s="35">
        <v>18.5</v>
      </c>
      <c r="H106" s="35">
        <v>10064</v>
      </c>
      <c r="I106" s="35">
        <f>26.62*($T$2)</f>
        <v>53.24</v>
      </c>
      <c r="J106" s="35">
        <f>492.4*($T$2)</f>
        <v>984.8</v>
      </c>
      <c r="K106" s="35">
        <f t="shared" si="7"/>
        <v>5.63566206336312</v>
      </c>
      <c r="L106" s="35">
        <f t="shared" si="8"/>
        <v>5.6348610067618328</v>
      </c>
      <c r="M106" s="35">
        <f>4.806*($T$2)</f>
        <v>9.6120000000000001</v>
      </c>
      <c r="N106" s="35">
        <v>97.8</v>
      </c>
      <c r="O106" s="35">
        <f t="shared" si="6"/>
        <v>0.9760357432981317</v>
      </c>
      <c r="P106" s="35">
        <f t="shared" si="9"/>
        <v>54.16998375304631</v>
      </c>
      <c r="Q106" s="35">
        <f>('Batt Capacity and Sys Weight'!$I$4) + (B106*$T$2)</f>
        <v>45.004503</v>
      </c>
      <c r="R106" s="35">
        <f>'Batt Capacity and Sys Weight'!$H$4</f>
        <v>92.5</v>
      </c>
    </row>
    <row r="107" spans="1:18" x14ac:dyDescent="0.3">
      <c r="A107" s="35" t="s">
        <v>243</v>
      </c>
      <c r="B107" s="35">
        <v>8.92</v>
      </c>
      <c r="C107" s="35">
        <v>650</v>
      </c>
      <c r="D107" s="35" t="s">
        <v>81</v>
      </c>
      <c r="E107" s="36" t="str" cm="1">
        <f t="array" ref="E107">GetNumber(D107,1)</f>
        <v>11</v>
      </c>
      <c r="F107" s="36" t="str" cm="1">
        <f t="array" ref="F107">GetNumber(D107,2)</f>
        <v>7</v>
      </c>
      <c r="G107" s="35">
        <v>18.5</v>
      </c>
      <c r="H107" s="35">
        <v>9711</v>
      </c>
      <c r="I107" s="35">
        <f>32.34*($T$2)</f>
        <v>64.680000000000007</v>
      </c>
      <c r="J107" s="35">
        <f>598.3*($T$2)</f>
        <v>1196.5999999999999</v>
      </c>
      <c r="K107" s="35">
        <f t="shared" si="7"/>
        <v>4.6381414006351331</v>
      </c>
      <c r="L107" s="35">
        <f t="shared" si="8"/>
        <v>4.6382189239332092</v>
      </c>
      <c r="M107" s="35">
        <f>5.679*($T$2)</f>
        <v>11.358000000000001</v>
      </c>
      <c r="N107" s="35">
        <v>94.5</v>
      </c>
      <c r="O107" s="35">
        <f t="shared" si="6"/>
        <v>0.94918936988133051</v>
      </c>
      <c r="P107" s="35">
        <f t="shared" si="9"/>
        <v>52.680010028413847</v>
      </c>
      <c r="Q107" s="35">
        <f>('Batt Capacity and Sys Weight'!$I$4) + (B107*$T$2)</f>
        <v>45.004503</v>
      </c>
      <c r="R107" s="35">
        <f>'Batt Capacity and Sys Weight'!$H$4</f>
        <v>92.5</v>
      </c>
    </row>
    <row r="108" spans="1:18" x14ac:dyDescent="0.3">
      <c r="A108" s="35" t="s">
        <v>243</v>
      </c>
      <c r="B108" s="35">
        <v>8.92</v>
      </c>
      <c r="C108" s="35">
        <v>650</v>
      </c>
      <c r="D108" s="35" t="s">
        <v>66</v>
      </c>
      <c r="E108" s="36" t="str" cm="1">
        <f t="array" ref="E108">GetNumber(D108,1)</f>
        <v>11</v>
      </c>
      <c r="F108" s="36" t="str" cm="1">
        <f t="array" ref="F108">GetNumber(D108,2)</f>
        <v>8</v>
      </c>
      <c r="G108" s="35">
        <v>18.5</v>
      </c>
      <c r="H108" s="35">
        <v>9580</v>
      </c>
      <c r="I108" s="35">
        <f>35.14*($T$2)</f>
        <v>70.28</v>
      </c>
      <c r="J108" s="35">
        <f>650.1*($T$2)</f>
        <v>1300.2</v>
      </c>
      <c r="K108" s="35">
        <f t="shared" si="7"/>
        <v>4.2685740655283801</v>
      </c>
      <c r="L108" s="35">
        <f t="shared" si="8"/>
        <v>4.2686397268070575</v>
      </c>
      <c r="M108" s="35">
        <f>5.831*($T$2)</f>
        <v>11.662000000000001</v>
      </c>
      <c r="N108" s="35">
        <v>106.5</v>
      </c>
      <c r="O108" s="35">
        <f t="shared" si="6"/>
        <v>0.89693893247192735</v>
      </c>
      <c r="P108" s="35">
        <f t="shared" si="9"/>
        <v>49.780110752191973</v>
      </c>
      <c r="Q108" s="35">
        <f>('Batt Capacity and Sys Weight'!$I$4) + (B108*$T$2)</f>
        <v>45.004503</v>
      </c>
      <c r="R108" s="35">
        <f>'Batt Capacity and Sys Weight'!$H$4</f>
        <v>92.5</v>
      </c>
    </row>
    <row r="109" spans="1:18" x14ac:dyDescent="0.3">
      <c r="A109" s="35" t="s">
        <v>243</v>
      </c>
      <c r="B109" s="35">
        <v>8.92</v>
      </c>
      <c r="C109" s="35">
        <v>650</v>
      </c>
      <c r="D109" s="35" t="s">
        <v>53</v>
      </c>
      <c r="E109" s="36" t="str" cm="1">
        <f t="array" ref="E109">GetNumber(D109,1)</f>
        <v>12</v>
      </c>
      <c r="F109" s="36" t="str" cm="1">
        <f t="array" ref="F109">GetNumber(D109,2)</f>
        <v>6</v>
      </c>
      <c r="G109" s="35">
        <v>18.5</v>
      </c>
      <c r="H109" s="35">
        <v>9509</v>
      </c>
      <c r="I109" s="35">
        <f>36.17*($T$2)</f>
        <v>72.34</v>
      </c>
      <c r="J109" s="35">
        <f>669.2*($T$2)</f>
        <v>1338.4</v>
      </c>
      <c r="K109" s="35">
        <f t="shared" si="7"/>
        <v>4.146742378959952</v>
      </c>
      <c r="L109" s="35">
        <f t="shared" si="8"/>
        <v>4.1470832181365775</v>
      </c>
      <c r="M109" s="35">
        <f>6.473*($T$2)</f>
        <v>12.946</v>
      </c>
      <c r="N109" s="35">
        <v>79.2</v>
      </c>
      <c r="O109" s="35">
        <f t="shared" si="6"/>
        <v>0.96727435744172141</v>
      </c>
      <c r="P109" s="35">
        <f t="shared" si="9"/>
        <v>53.683726838015538</v>
      </c>
      <c r="Q109" s="35">
        <f>('Batt Capacity and Sys Weight'!$I$4) + (B109*$T$2)</f>
        <v>45.004503</v>
      </c>
      <c r="R109" s="35">
        <f>'Batt Capacity and Sys Weight'!$H$4</f>
        <v>92.5</v>
      </c>
    </row>
    <row r="110" spans="1:18" x14ac:dyDescent="0.3">
      <c r="A110" s="35" t="s">
        <v>243</v>
      </c>
      <c r="B110" s="35">
        <v>8.92</v>
      </c>
      <c r="C110" s="35">
        <v>650</v>
      </c>
      <c r="D110" s="35" t="s">
        <v>104</v>
      </c>
      <c r="E110" s="36" t="str" cm="1">
        <f t="array" ref="E110">GetNumber(D110,1)</f>
        <v>9</v>
      </c>
      <c r="F110" s="36" cm="1">
        <f t="array" ref="F110">GetNumber(D110,2)+(GetNumber(D110,3)/10)</f>
        <v>7.5</v>
      </c>
      <c r="G110" s="35">
        <v>22.2</v>
      </c>
      <c r="H110" s="35">
        <v>11849</v>
      </c>
      <c r="I110" s="35">
        <f>32.3*($T$2)</f>
        <v>64.599999999999994</v>
      </c>
      <c r="J110" s="35">
        <f>717.1*($T$2)</f>
        <v>1434.2</v>
      </c>
      <c r="K110" s="35">
        <f t="shared" si="7"/>
        <v>4.1793334263003761</v>
      </c>
      <c r="L110" s="35">
        <f t="shared" si="8"/>
        <v>4.1795665634674926</v>
      </c>
      <c r="M110" s="35">
        <f>4.032*($T$2)</f>
        <v>8.0640000000000001</v>
      </c>
      <c r="N110" s="35">
        <v>123.5</v>
      </c>
      <c r="O110" s="35">
        <f t="shared" si="6"/>
        <v>0.56226467717194251</v>
      </c>
      <c r="P110" s="35">
        <f t="shared" si="9"/>
        <v>33.702144749686234</v>
      </c>
      <c r="Q110" s="35">
        <f>('Batt Capacity and Sys Weight'!$I$5) + (B110*$T$2)</f>
        <v>49.413753</v>
      </c>
      <c r="R110" s="35">
        <f>'Batt Capacity and Sys Weight'!$H$5</f>
        <v>99.9</v>
      </c>
    </row>
    <row r="111" spans="1:18" x14ac:dyDescent="0.3">
      <c r="A111" s="35" t="s">
        <v>243</v>
      </c>
      <c r="B111" s="35">
        <v>8.92</v>
      </c>
      <c r="C111" s="35">
        <v>650</v>
      </c>
      <c r="D111" s="35" t="s">
        <v>103</v>
      </c>
      <c r="E111" s="36" t="str" cm="1">
        <f t="array" ref="E111">GetNumber(D111,1)</f>
        <v>9</v>
      </c>
      <c r="F111" s="36" t="str" cm="1">
        <f t="array" ref="F111">GetNumber(D111,2)</f>
        <v>9</v>
      </c>
      <c r="G111" s="35">
        <v>22.2</v>
      </c>
      <c r="H111" s="35">
        <v>11673</v>
      </c>
      <c r="I111" s="35">
        <f>35.62*($T$2)</f>
        <v>71.239999999999995</v>
      </c>
      <c r="J111" s="35">
        <f>790.7*($T$2)</f>
        <v>1581.4</v>
      </c>
      <c r="K111" s="35">
        <f t="shared" si="7"/>
        <v>3.7903123814341724</v>
      </c>
      <c r="L111" s="35">
        <f t="shared" si="8"/>
        <v>3.7900056148231336</v>
      </c>
      <c r="M111" s="35">
        <f>4.12*($T$2)</f>
        <v>8.24</v>
      </c>
      <c r="N111" s="35">
        <v>145.9</v>
      </c>
      <c r="O111" s="35">
        <f t="shared" si="6"/>
        <v>0.5210572910079676</v>
      </c>
      <c r="P111" s="35">
        <f t="shared" si="9"/>
        <v>31.232174023017581</v>
      </c>
      <c r="Q111" s="35">
        <f>('Batt Capacity and Sys Weight'!$I$5) + (B111*$T$2)</f>
        <v>49.413753</v>
      </c>
      <c r="R111" s="35">
        <f>'Batt Capacity and Sys Weight'!$H$5</f>
        <v>99.9</v>
      </c>
    </row>
    <row r="112" spans="1:18" x14ac:dyDescent="0.3">
      <c r="A112" s="35" t="s">
        <v>243</v>
      </c>
      <c r="B112" s="35">
        <v>8.92</v>
      </c>
      <c r="C112" s="35">
        <v>650</v>
      </c>
      <c r="D112" s="35" t="s">
        <v>67</v>
      </c>
      <c r="E112" s="36" t="str" cm="1">
        <f t="array" ref="E112">GetNumber(D112,1)</f>
        <v>10</v>
      </c>
      <c r="F112" s="36" t="str" cm="1">
        <f t="array" ref="F112">GetNumber(D112,2)</f>
        <v>6</v>
      </c>
      <c r="G112" s="35">
        <v>22.2</v>
      </c>
      <c r="H112" s="35">
        <v>12110</v>
      </c>
      <c r="I112" s="35">
        <f>27.92*($T$2)</f>
        <v>55.84</v>
      </c>
      <c r="J112" s="35">
        <f>619.8*($T$2)</f>
        <v>1239.5999999999999</v>
      </c>
      <c r="K112" s="35">
        <f t="shared" si="7"/>
        <v>4.8354307841239113</v>
      </c>
      <c r="L112" s="35">
        <f t="shared" si="8"/>
        <v>4.8352435530085955</v>
      </c>
      <c r="M112" s="35">
        <f>4.896*($T$2)</f>
        <v>9.7919999999999998</v>
      </c>
      <c r="N112" s="35">
        <v>100.9</v>
      </c>
      <c r="O112" s="35">
        <f t="shared" si="6"/>
        <v>0.78993223620522757</v>
      </c>
      <c r="P112" s="35">
        <f t="shared" si="9"/>
        <v>47.348538238141337</v>
      </c>
      <c r="Q112" s="35">
        <f>('Batt Capacity and Sys Weight'!$I$5) + (B112*$T$2)</f>
        <v>49.413753</v>
      </c>
      <c r="R112" s="35">
        <f>'Batt Capacity and Sys Weight'!$H$5</f>
        <v>99.9</v>
      </c>
    </row>
    <row r="113" spans="1:18" x14ac:dyDescent="0.3">
      <c r="A113" s="35" t="s">
        <v>243</v>
      </c>
      <c r="B113" s="35">
        <v>8.92</v>
      </c>
      <c r="C113" s="35">
        <v>650</v>
      </c>
      <c r="D113" s="35" t="s">
        <v>68</v>
      </c>
      <c r="E113" s="36" t="str" cm="1">
        <f t="array" ref="E113">GetNumber(D113,1)</f>
        <v>10</v>
      </c>
      <c r="F113" s="36" t="str" cm="1">
        <f t="array" ref="F113">GetNumber(D113,2)</f>
        <v>7</v>
      </c>
      <c r="G113" s="35">
        <v>22.2</v>
      </c>
      <c r="H113" s="35">
        <v>11816</v>
      </c>
      <c r="I113" s="35">
        <f>32.84*($T$2)</f>
        <v>65.680000000000007</v>
      </c>
      <c r="J113" s="35">
        <f>729*($T$2)</f>
        <v>1458</v>
      </c>
      <c r="K113" s="35">
        <f t="shared" si="7"/>
        <v>4.1111111111111116</v>
      </c>
      <c r="L113" s="35">
        <f t="shared" si="8"/>
        <v>4.1108404384896469</v>
      </c>
      <c r="M113" s="35">
        <f>5.212*($T$2)</f>
        <v>10.423999999999999</v>
      </c>
      <c r="N113" s="35">
        <v>114.8</v>
      </c>
      <c r="O113" s="35">
        <f t="shared" si="6"/>
        <v>0.71495198902606305</v>
      </c>
      <c r="P113" s="35">
        <f t="shared" si="9"/>
        <v>42.854222222222226</v>
      </c>
      <c r="Q113" s="35">
        <f>('Batt Capacity and Sys Weight'!$I$5) + (B113*$T$2)</f>
        <v>49.413753</v>
      </c>
      <c r="R113" s="35">
        <f>'Batt Capacity and Sys Weight'!$H$5</f>
        <v>99.9</v>
      </c>
    </row>
    <row r="114" spans="1:18" x14ac:dyDescent="0.3">
      <c r="A114" s="35" t="s">
        <v>243</v>
      </c>
      <c r="B114" s="35">
        <v>8.92</v>
      </c>
      <c r="C114" s="35">
        <v>650</v>
      </c>
      <c r="D114" s="35" t="s">
        <v>70</v>
      </c>
      <c r="E114" s="36" t="str" cm="1">
        <f t="array" ref="E114">GetNumber(D114,1)</f>
        <v>11</v>
      </c>
      <c r="F114" s="36" cm="1">
        <f t="array" ref="F114">GetNumber(D114,2)+(GetNumber(D114,3)/10)</f>
        <v>5.5</v>
      </c>
      <c r="G114" s="35">
        <v>22.2</v>
      </c>
      <c r="H114" s="35">
        <v>11639</v>
      </c>
      <c r="I114" s="35">
        <f>35.91*($T$2)</f>
        <v>71.819999999999993</v>
      </c>
      <c r="J114" s="35">
        <f>797.3*($T$2)</f>
        <v>1594.6</v>
      </c>
      <c r="K114" s="35">
        <f t="shared" si="7"/>
        <v>3.7589364103850502</v>
      </c>
      <c r="L114" s="35">
        <f t="shared" si="8"/>
        <v>3.759398496240602</v>
      </c>
      <c r="M114" s="35">
        <f>6.859*($T$2)</f>
        <v>13.718</v>
      </c>
      <c r="N114" s="35">
        <v>88.9</v>
      </c>
      <c r="O114" s="35">
        <f t="shared" si="6"/>
        <v>0.86027843973410267</v>
      </c>
      <c r="P114" s="35">
        <f t="shared" si="9"/>
        <v>51.565089677662115</v>
      </c>
      <c r="Q114" s="35">
        <f>('Batt Capacity and Sys Weight'!$I$5) + (B114*$T$2)</f>
        <v>49.413753</v>
      </c>
      <c r="R114" s="35">
        <f>'Batt Capacity and Sys Weight'!$H$5</f>
        <v>99.9</v>
      </c>
    </row>
    <row r="115" spans="1:18" x14ac:dyDescent="0.3">
      <c r="A115" s="35" t="s">
        <v>243</v>
      </c>
      <c r="B115" s="35">
        <v>8.92</v>
      </c>
      <c r="C115" s="35">
        <v>650</v>
      </c>
      <c r="D115" s="35" t="s">
        <v>98</v>
      </c>
      <c r="E115" s="36" t="str" cm="1">
        <f t="array" ref="E115">GetNumber(D115,1)</f>
        <v>13</v>
      </c>
      <c r="F115" s="36" t="str" cm="1">
        <f t="array" ref="F115">GetNumber(D115,2)</f>
        <v>4</v>
      </c>
      <c r="G115" s="35">
        <v>22.2</v>
      </c>
      <c r="H115" s="35">
        <v>11392</v>
      </c>
      <c r="I115" s="35">
        <f>40.13*($T$2)</f>
        <v>80.260000000000005</v>
      </c>
      <c r="J115" s="35">
        <f>891*($T$2)</f>
        <v>1782</v>
      </c>
      <c r="K115" s="35">
        <f t="shared" si="7"/>
        <v>3.3636363636363638</v>
      </c>
      <c r="L115" s="35">
        <f t="shared" si="8"/>
        <v>3.3640667829553945</v>
      </c>
      <c r="M115" s="35">
        <f>8.612*($T$2)</f>
        <v>17.224</v>
      </c>
      <c r="N115" s="35">
        <v>63.4</v>
      </c>
      <c r="O115" s="35">
        <f t="shared" si="6"/>
        <v>0.9665544332210998</v>
      </c>
      <c r="P115" s="35">
        <f t="shared" si="9"/>
        <v>57.935272727272732</v>
      </c>
      <c r="Q115" s="35">
        <f>('Batt Capacity and Sys Weight'!$I$5) + (B115*$T$2)</f>
        <v>49.413753</v>
      </c>
      <c r="R115" s="35">
        <f>'Batt Capacity and Sys Weight'!$H$5</f>
        <v>99.9</v>
      </c>
    </row>
    <row r="116" spans="1:18" x14ac:dyDescent="0.3">
      <c r="A116" s="35" t="s">
        <v>243</v>
      </c>
      <c r="B116" s="35">
        <v>8.92</v>
      </c>
      <c r="C116" s="35">
        <v>650</v>
      </c>
      <c r="D116" s="35" t="s">
        <v>101</v>
      </c>
      <c r="E116" s="36" t="str" cm="1">
        <f t="array" ref="E116">GetNumber(D116,1)</f>
        <v>9</v>
      </c>
      <c r="F116" s="36" t="str" cm="1">
        <f t="array" ref="F116">GetNumber(D116,2)</f>
        <v>7</v>
      </c>
      <c r="G116" s="35">
        <v>22.2</v>
      </c>
      <c r="H116" s="35">
        <v>12179</v>
      </c>
      <c r="I116" s="35">
        <f>26.95*($T$2)</f>
        <v>53.9</v>
      </c>
      <c r="J116" s="35">
        <f>598.2*($T$2)</f>
        <v>1196.4000000000001</v>
      </c>
      <c r="K116" s="35">
        <f t="shared" si="7"/>
        <v>5.0100300902708117</v>
      </c>
      <c r="L116" s="35">
        <f t="shared" si="8"/>
        <v>5.0092764378478662</v>
      </c>
      <c r="M116" s="35">
        <f>5.112*($T$2)</f>
        <v>10.224</v>
      </c>
      <c r="N116" s="35">
        <v>118.4</v>
      </c>
      <c r="O116" s="35">
        <f t="shared" si="6"/>
        <v>0.85456369107321972</v>
      </c>
      <c r="P116" s="35">
        <f t="shared" si="9"/>
        <v>51.222547642928781</v>
      </c>
      <c r="Q116" s="35">
        <f>('Batt Capacity and Sys Weight'!$I$5) + (B116*$T$2)</f>
        <v>49.413753</v>
      </c>
      <c r="R116" s="35">
        <f>'Batt Capacity and Sys Weight'!$H$5</f>
        <v>99.9</v>
      </c>
    </row>
    <row r="117" spans="1:18" x14ac:dyDescent="0.3">
      <c r="A117" s="35" t="s">
        <v>243</v>
      </c>
      <c r="B117" s="35">
        <v>8.92</v>
      </c>
      <c r="C117" s="35">
        <v>650</v>
      </c>
      <c r="D117" s="35" t="s">
        <v>80</v>
      </c>
      <c r="E117" s="36" t="str" cm="1">
        <f t="array" ref="E117">GetNumber(D117,1)</f>
        <v>10</v>
      </c>
      <c r="F117" s="36" t="str" cm="1">
        <f t="array" ref="F117">GetNumber(D117,2)</f>
        <v>7</v>
      </c>
      <c r="G117" s="35">
        <v>22.2</v>
      </c>
      <c r="H117" s="35">
        <v>11698</v>
      </c>
      <c r="I117" s="35">
        <f>35*($T$2)</f>
        <v>70</v>
      </c>
      <c r="J117" s="35">
        <f>777.1*($T$2)</f>
        <v>1554.2</v>
      </c>
      <c r="K117" s="35">
        <f t="shared" si="7"/>
        <v>3.856646506241153</v>
      </c>
      <c r="L117" s="35">
        <f t="shared" si="8"/>
        <v>3.8571428571428568</v>
      </c>
      <c r="M117" s="35">
        <f>6.594*($T$2)</f>
        <v>13.188000000000001</v>
      </c>
      <c r="N117" s="35">
        <v>113.7</v>
      </c>
      <c r="O117" s="35">
        <f t="shared" si="6"/>
        <v>0.84853944151331873</v>
      </c>
      <c r="P117" s="35">
        <f t="shared" si="9"/>
        <v>50.861454124308331</v>
      </c>
      <c r="Q117" s="35">
        <f>('Batt Capacity and Sys Weight'!$I$5) + (B117*$T$2)</f>
        <v>49.413753</v>
      </c>
      <c r="R117" s="35">
        <f>'Batt Capacity and Sys Weight'!$H$5</f>
        <v>99.9</v>
      </c>
    </row>
    <row r="118" spans="1:18" x14ac:dyDescent="0.3">
      <c r="A118" s="35" t="s">
        <v>244</v>
      </c>
      <c r="B118" s="35">
        <v>10.23</v>
      </c>
      <c r="C118" s="35">
        <v>610</v>
      </c>
      <c r="D118" s="35" t="s">
        <v>33</v>
      </c>
      <c r="E118" s="36" t="str" cm="1">
        <f t="array" ref="E118">GetNumber(D118,1)</f>
        <v>12</v>
      </c>
      <c r="F118" s="36" t="str" cm="1">
        <f t="array" ref="F118">GetNumber(D118,2)</f>
        <v>10</v>
      </c>
      <c r="G118" s="35">
        <v>14.8</v>
      </c>
      <c r="H118" s="35">
        <v>7615</v>
      </c>
      <c r="I118" s="35">
        <f>33.96*($T$2)</f>
        <v>67.92</v>
      </c>
      <c r="J118" s="35">
        <f>502.6*($T$2)</f>
        <v>1005.2</v>
      </c>
      <c r="K118" s="35">
        <f t="shared" si="7"/>
        <v>5.8304814962196581</v>
      </c>
      <c r="L118" s="35">
        <f t="shared" si="8"/>
        <v>5.8303886925795059</v>
      </c>
      <c r="M118" s="35">
        <f>4.38*($T$2)</f>
        <v>8.76</v>
      </c>
      <c r="N118" s="35">
        <v>105.7</v>
      </c>
      <c r="O118" s="35">
        <f t="shared" si="6"/>
        <v>0.8714683645045761</v>
      </c>
      <c r="P118" s="35">
        <f t="shared" si="9"/>
        <v>51.075017906884206</v>
      </c>
      <c r="Q118" s="35">
        <f>('Batt Capacity and Sys Weight'!$I$3) + (B118*$T$2)</f>
        <v>46.848475000000001</v>
      </c>
      <c r="R118" s="35">
        <f>'Batt Capacity and Sys Weight'!$H$3</f>
        <v>97.68</v>
      </c>
    </row>
    <row r="119" spans="1:18" x14ac:dyDescent="0.3">
      <c r="A119" s="35" t="s">
        <v>244</v>
      </c>
      <c r="B119" s="35">
        <v>10.23</v>
      </c>
      <c r="C119" s="35">
        <v>610</v>
      </c>
      <c r="D119" s="35" t="s">
        <v>34</v>
      </c>
      <c r="E119" s="36" t="str" cm="1">
        <f t="array" ref="E119">GetNumber(D119,1)</f>
        <v>12</v>
      </c>
      <c r="F119" s="36" t="str" cm="1">
        <f t="array" ref="F119">GetNumber(D119,2)</f>
        <v>12</v>
      </c>
      <c r="G119" s="35">
        <v>14.8</v>
      </c>
      <c r="H119" s="35">
        <v>7506</v>
      </c>
      <c r="I119" s="35">
        <f>40.24*($T$2)</f>
        <v>80.48</v>
      </c>
      <c r="J119" s="35">
        <f>595.6*($T$2)</f>
        <v>1191.2</v>
      </c>
      <c r="K119" s="35">
        <f t="shared" si="7"/>
        <v>4.9200805910006711</v>
      </c>
      <c r="L119" s="35">
        <f t="shared" si="8"/>
        <v>4.9204771371769391</v>
      </c>
      <c r="M119" s="35">
        <f>4.107*($T$2)</f>
        <v>8.2140000000000004</v>
      </c>
      <c r="N119" s="35">
        <v>125.1</v>
      </c>
      <c r="O119" s="35">
        <f t="shared" si="6"/>
        <v>0.6895567494963063</v>
      </c>
      <c r="P119" s="35">
        <f t="shared" si="9"/>
        <v>40.413541974479514</v>
      </c>
      <c r="Q119" s="35">
        <f>('Batt Capacity and Sys Weight'!$I$3) + (B119*$T$2)</f>
        <v>46.848475000000001</v>
      </c>
      <c r="R119" s="35">
        <f>'Batt Capacity and Sys Weight'!$H$3</f>
        <v>97.68</v>
      </c>
    </row>
    <row r="120" spans="1:18" x14ac:dyDescent="0.3">
      <c r="A120" s="35" t="s">
        <v>244</v>
      </c>
      <c r="B120" s="35">
        <v>10.23</v>
      </c>
      <c r="C120" s="35">
        <v>610</v>
      </c>
      <c r="D120" s="35" t="s">
        <v>35</v>
      </c>
      <c r="E120" s="36" t="str" cm="1">
        <f t="array" ref="E120">GetNumber(D120,1)</f>
        <v>13</v>
      </c>
      <c r="F120" s="36" cm="1">
        <f t="array" ref="F120">GetNumber(D120,2)+(GetNumber(D120,3)/10)</f>
        <v>6.5</v>
      </c>
      <c r="G120" s="35">
        <v>14.8</v>
      </c>
      <c r="H120" s="35">
        <v>7777</v>
      </c>
      <c r="I120" s="35">
        <f>32.52*($T$2)</f>
        <v>65.040000000000006</v>
      </c>
      <c r="J120" s="35">
        <f>481.3*($T$2)</f>
        <v>962.6</v>
      </c>
      <c r="K120" s="35">
        <f t="shared" si="7"/>
        <v>6.0885102846457517</v>
      </c>
      <c r="L120" s="35">
        <f t="shared" si="8"/>
        <v>6.0885608856088558</v>
      </c>
      <c r="M120" s="35">
        <f>5.606*($T$2)</f>
        <v>11.212</v>
      </c>
      <c r="N120" s="35">
        <v>70.3</v>
      </c>
      <c r="O120" s="35">
        <f t="shared" si="6"/>
        <v>1.164762102638687</v>
      </c>
      <c r="P120" s="35">
        <f t="shared" si="9"/>
        <v>68.264377311448172</v>
      </c>
      <c r="Q120" s="35">
        <f>('Batt Capacity and Sys Weight'!$I$3) + (B120*$T$2)</f>
        <v>46.848475000000001</v>
      </c>
      <c r="R120" s="35">
        <f>'Batt Capacity and Sys Weight'!$H$3</f>
        <v>97.68</v>
      </c>
    </row>
    <row r="121" spans="1:18" x14ac:dyDescent="0.3">
      <c r="A121" s="35" t="s">
        <v>244</v>
      </c>
      <c r="B121" s="35">
        <v>10.23</v>
      </c>
      <c r="C121" s="35">
        <v>610</v>
      </c>
      <c r="D121" s="35" t="s">
        <v>36</v>
      </c>
      <c r="E121" s="36" t="str" cm="1">
        <f t="array" ref="E121">GetNumber(D121,1)</f>
        <v>13</v>
      </c>
      <c r="F121" s="36" t="str" cm="1">
        <f t="array" ref="F121">GetNumber(D121,2)</f>
        <v>8</v>
      </c>
      <c r="G121" s="35">
        <v>14.8</v>
      </c>
      <c r="H121" s="35">
        <v>7676</v>
      </c>
      <c r="I121" s="35">
        <f>35.56*($T$2)</f>
        <v>71.12</v>
      </c>
      <c r="J121" s="35">
        <f>526.3*($T$2)</f>
        <v>1052.5999999999999</v>
      </c>
      <c r="K121" s="35">
        <f t="shared" si="7"/>
        <v>5.5679270378111347</v>
      </c>
      <c r="L121" s="35">
        <f t="shared" si="8"/>
        <v>5.5680539932508442</v>
      </c>
      <c r="M121" s="35">
        <f>5.562*($T$2)</f>
        <v>11.124000000000001</v>
      </c>
      <c r="N121" s="35">
        <v>85.4</v>
      </c>
      <c r="O121" s="35">
        <f t="shared" si="6"/>
        <v>1.0568117043511307</v>
      </c>
      <c r="P121" s="35">
        <f t="shared" si="9"/>
        <v>61.937620368611064</v>
      </c>
      <c r="Q121" s="35">
        <f>('Batt Capacity and Sys Weight'!$I$3) + (B121*$T$2)</f>
        <v>46.848475000000001</v>
      </c>
      <c r="R121" s="35">
        <f>'Batt Capacity and Sys Weight'!$H$3</f>
        <v>97.68</v>
      </c>
    </row>
    <row r="122" spans="1:18" x14ac:dyDescent="0.3">
      <c r="A122" s="35" t="s">
        <v>244</v>
      </c>
      <c r="B122" s="35">
        <v>10.23</v>
      </c>
      <c r="C122" s="35">
        <v>610</v>
      </c>
      <c r="D122" s="35" t="s">
        <v>37</v>
      </c>
      <c r="E122" s="36" t="str" cm="1">
        <f t="array" ref="E122">GetNumber(D122,1)</f>
        <v>13</v>
      </c>
      <c r="F122" s="36" t="str" cm="1">
        <f t="array" ref="F122">GetNumber(D122,2)</f>
        <v>10</v>
      </c>
      <c r="G122" s="35">
        <v>14.8</v>
      </c>
      <c r="H122" s="35">
        <v>7253</v>
      </c>
      <c r="I122" s="35">
        <f>47.24*($T$2)</f>
        <v>94.48</v>
      </c>
      <c r="J122" s="35">
        <f>699.2*($T$2)</f>
        <v>1398.4</v>
      </c>
      <c r="K122" s="35">
        <f t="shared" si="7"/>
        <v>4.1910755148741421</v>
      </c>
      <c r="L122" s="35">
        <f t="shared" si="8"/>
        <v>4.1913632514817953</v>
      </c>
      <c r="M122" s="35">
        <f>5.165*($T$2)</f>
        <v>10.33</v>
      </c>
      <c r="N122" s="35">
        <v>100.8</v>
      </c>
      <c r="O122" s="35">
        <f t="shared" si="6"/>
        <v>0.73870137299771166</v>
      </c>
      <c r="P122" s="35">
        <f t="shared" si="9"/>
        <v>43.29381006864989</v>
      </c>
      <c r="Q122" s="35">
        <f>('Batt Capacity and Sys Weight'!$I$3) + (B122*$T$2)</f>
        <v>46.848475000000001</v>
      </c>
      <c r="R122" s="35">
        <f>'Batt Capacity and Sys Weight'!$H$3</f>
        <v>97.68</v>
      </c>
    </row>
    <row r="123" spans="1:18" x14ac:dyDescent="0.3">
      <c r="A123" s="35" t="s">
        <v>244</v>
      </c>
      <c r="B123" s="35">
        <v>10.23</v>
      </c>
      <c r="C123" s="35">
        <v>610</v>
      </c>
      <c r="D123" s="35" t="s">
        <v>39</v>
      </c>
      <c r="E123" s="36" t="str" cm="1">
        <f t="array" ref="E123">GetNumber(D123,1)</f>
        <v>14</v>
      </c>
      <c r="F123" s="36" t="str" cm="1">
        <f t="array" ref="F123">GetNumber(D123,2)</f>
        <v>7</v>
      </c>
      <c r="G123" s="35">
        <v>14.8</v>
      </c>
      <c r="H123" s="35">
        <v>7493</v>
      </c>
      <c r="I123" s="35">
        <f>40.69*($T$2)</f>
        <v>81.38</v>
      </c>
      <c r="J123" s="35">
        <f>602.2*($T$2)</f>
        <v>1204.4000000000001</v>
      </c>
      <c r="K123" s="35">
        <f t="shared" si="7"/>
        <v>4.8661574227831288</v>
      </c>
      <c r="L123" s="35">
        <f t="shared" si="8"/>
        <v>4.866060457114771</v>
      </c>
      <c r="M123" s="35">
        <f>6.612*($T$2)</f>
        <v>13.224</v>
      </c>
      <c r="N123" s="35">
        <v>72.900000000000006</v>
      </c>
      <c r="O123" s="35">
        <f t="shared" si="6"/>
        <v>1.0979740949850547</v>
      </c>
      <c r="P123" s="35">
        <f t="shared" si="9"/>
        <v>64.350065758884099</v>
      </c>
      <c r="Q123" s="35">
        <f>('Batt Capacity and Sys Weight'!$I$3) + (B123*$T$2)</f>
        <v>46.848475000000001</v>
      </c>
      <c r="R123" s="35">
        <f>'Batt Capacity and Sys Weight'!$H$3</f>
        <v>97.68</v>
      </c>
    </row>
    <row r="124" spans="1:18" x14ac:dyDescent="0.3">
      <c r="A124" s="35" t="s">
        <v>244</v>
      </c>
      <c r="B124" s="35">
        <v>10.23</v>
      </c>
      <c r="C124" s="35">
        <v>610</v>
      </c>
      <c r="D124" s="35" t="s">
        <v>40</v>
      </c>
      <c r="E124" s="36" t="str" cm="1">
        <f t="array" ref="E124">GetNumber(D124,1)</f>
        <v>14</v>
      </c>
      <c r="F124" s="36" cm="1">
        <f t="array" ref="F124">GetNumber(D124,2)+(GetNumber(D124,3)/10)</f>
        <v>8.5</v>
      </c>
      <c r="G124" s="35">
        <v>14.8</v>
      </c>
      <c r="H124" s="35">
        <v>7338</v>
      </c>
      <c r="I124" s="35">
        <f>41.43*($T$2)</f>
        <v>82.86</v>
      </c>
      <c r="J124" s="35">
        <f>613.1*($T$2)</f>
        <v>1226.2</v>
      </c>
      <c r="K124" s="35">
        <f t="shared" si="7"/>
        <v>4.7796444299461749</v>
      </c>
      <c r="L124" s="35">
        <f t="shared" si="8"/>
        <v>4.7791455467052861</v>
      </c>
      <c r="M124" s="35">
        <f>6.694*($T$2)</f>
        <v>13.388</v>
      </c>
      <c r="N124" s="35">
        <v>86.7</v>
      </c>
      <c r="O124" s="35">
        <f t="shared" si="6"/>
        <v>1.0918284129832001</v>
      </c>
      <c r="P124" s="35">
        <f t="shared" si="9"/>
        <v>63.98987962811939</v>
      </c>
      <c r="Q124" s="35">
        <f>('Batt Capacity and Sys Weight'!$I$3) + (B124*$T$2)</f>
        <v>46.848475000000001</v>
      </c>
      <c r="R124" s="35">
        <f>'Batt Capacity and Sys Weight'!$H$3</f>
        <v>97.68</v>
      </c>
    </row>
    <row r="125" spans="1:18" x14ac:dyDescent="0.3">
      <c r="A125" s="35" t="s">
        <v>244</v>
      </c>
      <c r="B125" s="35">
        <v>10.23</v>
      </c>
      <c r="C125" s="35">
        <v>610</v>
      </c>
      <c r="D125" s="35" t="s">
        <v>41</v>
      </c>
      <c r="E125" s="36" t="str" cm="1">
        <f t="array" ref="E125">GetNumber(D125,1)</f>
        <v>14</v>
      </c>
      <c r="F125" s="36" t="str" cm="1">
        <f t="array" ref="F125">GetNumber(D125,2)</f>
        <v>10</v>
      </c>
      <c r="G125" s="35">
        <v>14.8</v>
      </c>
      <c r="H125" s="35">
        <v>7433</v>
      </c>
      <c r="I125" s="35">
        <f>42.33*($T$2)</f>
        <v>84.66</v>
      </c>
      <c r="J125" s="35">
        <f>626.5*($T$2)</f>
        <v>1253</v>
      </c>
      <c r="K125" s="35">
        <f t="shared" si="7"/>
        <v>4.6774142059058263</v>
      </c>
      <c r="L125" s="35">
        <f t="shared" si="8"/>
        <v>4.6775336640680374</v>
      </c>
      <c r="M125" s="35">
        <f>6.669*($T$2)</f>
        <v>13.337999999999999</v>
      </c>
      <c r="N125" s="35">
        <v>103.3</v>
      </c>
      <c r="O125" s="35">
        <f t="shared" si="6"/>
        <v>1.0644852354349559</v>
      </c>
      <c r="P125" s="35">
        <f t="shared" si="9"/>
        <v>62.387350678371909</v>
      </c>
      <c r="Q125" s="35">
        <f>('Batt Capacity and Sys Weight'!$I$3) + (B125*$T$2)</f>
        <v>46.848475000000001</v>
      </c>
      <c r="R125" s="35">
        <f>'Batt Capacity and Sys Weight'!$H$3</f>
        <v>97.68</v>
      </c>
    </row>
    <row r="126" spans="1:18" x14ac:dyDescent="0.3">
      <c r="A126" s="35" t="s">
        <v>244</v>
      </c>
      <c r="B126" s="35">
        <v>10.23</v>
      </c>
      <c r="C126" s="35">
        <v>610</v>
      </c>
      <c r="D126" s="35" t="s">
        <v>60</v>
      </c>
      <c r="E126" s="36" t="str" cm="1">
        <f t="array" ref="E126">GetNumber(D126,1)</f>
        <v>15</v>
      </c>
      <c r="F126" s="36" t="str" cm="1">
        <f t="array" ref="F126">GetNumber(D126,2)</f>
        <v>4</v>
      </c>
      <c r="G126" s="35">
        <v>14.8</v>
      </c>
      <c r="H126" s="35">
        <v>7794</v>
      </c>
      <c r="I126" s="35">
        <f>32.18*($T$2)</f>
        <v>64.36</v>
      </c>
      <c r="J126" s="35">
        <f>476.2*($T$2)</f>
        <v>952.4</v>
      </c>
      <c r="K126" s="35">
        <f t="shared" si="7"/>
        <v>6.1537169256614872</v>
      </c>
      <c r="L126" s="35">
        <f t="shared" si="8"/>
        <v>6.1528899937849602</v>
      </c>
      <c r="M126" s="35">
        <f>6.482*($T$2)</f>
        <v>12.964</v>
      </c>
      <c r="N126" s="35">
        <v>43.3</v>
      </c>
      <c r="O126" s="35">
        <f t="shared" si="6"/>
        <v>1.3611927761444771</v>
      </c>
      <c r="P126" s="35">
        <f t="shared" si="9"/>
        <v>79.776786224275526</v>
      </c>
      <c r="Q126" s="35">
        <f>('Batt Capacity and Sys Weight'!$I$3) + (B126*$T$2)</f>
        <v>46.848475000000001</v>
      </c>
      <c r="R126" s="35">
        <f>'Batt Capacity and Sys Weight'!$H$3</f>
        <v>97.68</v>
      </c>
    </row>
    <row r="127" spans="1:18" x14ac:dyDescent="0.3">
      <c r="A127" s="35" t="s">
        <v>244</v>
      </c>
      <c r="B127" s="35">
        <v>10.23</v>
      </c>
      <c r="C127" s="35">
        <v>610</v>
      </c>
      <c r="D127" s="35" t="s">
        <v>43</v>
      </c>
      <c r="E127" s="36" t="str" cm="1">
        <f t="array" ref="E127">GetNumber(D127,1)</f>
        <v>15</v>
      </c>
      <c r="F127" s="36" t="str" cm="1">
        <f t="array" ref="F127">GetNumber(D127,2)</f>
        <v>6</v>
      </c>
      <c r="G127" s="35">
        <v>14.8</v>
      </c>
      <c r="H127" s="35">
        <v>7411</v>
      </c>
      <c r="I127" s="35">
        <f>42.91*($T$2)</f>
        <v>85.82</v>
      </c>
      <c r="J127" s="35">
        <f>635.1*($T$2)</f>
        <v>1270.2</v>
      </c>
      <c r="K127" s="35">
        <f t="shared" si="7"/>
        <v>4.6140765233821446</v>
      </c>
      <c r="L127" s="35">
        <f t="shared" si="8"/>
        <v>4.6143090188767193</v>
      </c>
      <c r="M127" s="35">
        <f>7.543*($T$2)</f>
        <v>15.086</v>
      </c>
      <c r="N127" s="35">
        <v>61.7</v>
      </c>
      <c r="O127" s="35">
        <f t="shared" si="6"/>
        <v>1.1876869784285937</v>
      </c>
      <c r="P127" s="35">
        <f t="shared" si="9"/>
        <v>69.607958431743029</v>
      </c>
      <c r="Q127" s="35">
        <f>('Batt Capacity and Sys Weight'!$I$3) + (B127*$T$2)</f>
        <v>46.848475000000001</v>
      </c>
      <c r="R127" s="35">
        <f>'Batt Capacity and Sys Weight'!$H$3</f>
        <v>97.68</v>
      </c>
    </row>
    <row r="128" spans="1:18" x14ac:dyDescent="0.3">
      <c r="A128" s="35" t="s">
        <v>244</v>
      </c>
      <c r="B128" s="35">
        <v>10.23</v>
      </c>
      <c r="C128" s="35">
        <v>610</v>
      </c>
      <c r="D128" s="35" t="s">
        <v>0</v>
      </c>
      <c r="E128" s="36" t="str" cm="1">
        <f t="array" ref="E128">GetNumber(D128,1)</f>
        <v>15</v>
      </c>
      <c r="F128" s="36" t="str" cm="1">
        <f t="array" ref="F128">GetNumber(D128,2)</f>
        <v>8</v>
      </c>
      <c r="G128" s="35">
        <v>14.8</v>
      </c>
      <c r="H128" s="35">
        <v>7339</v>
      </c>
      <c r="I128" s="35">
        <f>44.73*($T$2)</f>
        <v>89.46</v>
      </c>
      <c r="J128" s="35">
        <f>662.1*($T$2)</f>
        <v>1324.2</v>
      </c>
      <c r="K128" s="35">
        <f t="shared" si="7"/>
        <v>4.4259175351155422</v>
      </c>
      <c r="L128" s="35">
        <f t="shared" si="8"/>
        <v>4.4265593561368215</v>
      </c>
      <c r="M128" s="35">
        <f>7.395*($T$2)</f>
        <v>14.79</v>
      </c>
      <c r="N128" s="35">
        <v>81.5</v>
      </c>
      <c r="O128" s="35">
        <f t="shared" si="6"/>
        <v>1.1169007702763931</v>
      </c>
      <c r="P128" s="35">
        <f t="shared" si="9"/>
        <v>65.459320344358872</v>
      </c>
      <c r="Q128" s="35">
        <f>('Batt Capacity and Sys Weight'!$I$3) + (B128*$T$2)</f>
        <v>46.848475000000001</v>
      </c>
      <c r="R128" s="35">
        <f>'Batt Capacity and Sys Weight'!$H$3</f>
        <v>97.68</v>
      </c>
    </row>
    <row r="129" spans="1:18" x14ac:dyDescent="0.3">
      <c r="A129" s="35" t="s">
        <v>244</v>
      </c>
      <c r="B129" s="35">
        <v>10.23</v>
      </c>
      <c r="C129" s="35">
        <v>610</v>
      </c>
      <c r="D129" s="35" t="s">
        <v>54</v>
      </c>
      <c r="E129" s="36" t="str" cm="1">
        <f t="array" ref="E129">GetNumber(D129,1)</f>
        <v>12</v>
      </c>
      <c r="F129" s="36" t="str" cm="1">
        <f t="array" ref="F129">GetNumber(D129,2)</f>
        <v>8</v>
      </c>
      <c r="G129" s="35">
        <v>14.8</v>
      </c>
      <c r="H129" s="35">
        <v>7646</v>
      </c>
      <c r="I129" s="35">
        <f>36.6*($T$2)</f>
        <v>73.2</v>
      </c>
      <c r="J129" s="35">
        <f>541.6*($T$2)</f>
        <v>1083.2</v>
      </c>
      <c r="K129" s="35">
        <f t="shared" si="7"/>
        <v>5.4106351550960117</v>
      </c>
      <c r="L129" s="35">
        <f t="shared" si="8"/>
        <v>5.4098360655737707</v>
      </c>
      <c r="M129" s="35">
        <f>6.001*($T$2)</f>
        <v>12.002000000000001</v>
      </c>
      <c r="N129" s="35">
        <v>84.9</v>
      </c>
      <c r="O129" s="35">
        <f t="shared" si="6"/>
        <v>1.10801329394387</v>
      </c>
      <c r="P129" s="35">
        <f t="shared" si="9"/>
        <v>64.938443131462336</v>
      </c>
      <c r="Q129" s="35">
        <f>('Batt Capacity and Sys Weight'!$I$3) + (B129*$T$2)</f>
        <v>46.848475000000001</v>
      </c>
      <c r="R129" s="35">
        <f>'Batt Capacity and Sys Weight'!$H$3</f>
        <v>97.68</v>
      </c>
    </row>
    <row r="130" spans="1:18" x14ac:dyDescent="0.3">
      <c r="A130" s="35" t="s">
        <v>244</v>
      </c>
      <c r="B130" s="35">
        <v>10.23</v>
      </c>
      <c r="C130" s="35">
        <v>610</v>
      </c>
      <c r="D130" s="35" t="s">
        <v>25</v>
      </c>
      <c r="E130" s="36" t="str" cm="1">
        <f t="array" ref="E130">GetNumber(D130,1)</f>
        <v>13</v>
      </c>
      <c r="F130" s="36" t="str" cm="1">
        <f t="array" ref="F130">GetNumber(D130,2)</f>
        <v>8</v>
      </c>
      <c r="G130" s="35">
        <v>14.8</v>
      </c>
      <c r="H130" s="35">
        <v>7511</v>
      </c>
      <c r="I130" s="35">
        <f>40.49*($T$2)</f>
        <v>80.98</v>
      </c>
      <c r="J130" s="35">
        <f>599.3*($T$2)</f>
        <v>1198.5999999999999</v>
      </c>
      <c r="K130" s="35">
        <f t="shared" si="7"/>
        <v>4.8897046554313368</v>
      </c>
      <c r="L130" s="35">
        <f t="shared" si="8"/>
        <v>4.8900963200790324</v>
      </c>
      <c r="M130" s="35">
        <f>6.561*($T$2)</f>
        <v>13.122</v>
      </c>
      <c r="N130" s="35">
        <v>83.5</v>
      </c>
      <c r="O130" s="35">
        <f t="shared" ref="O130:O193" si="10" xml:space="preserve"> (M130/J130)*100</f>
        <v>1.0947772401134659</v>
      </c>
      <c r="P130" s="35">
        <f t="shared" si="9"/>
        <v>64.16270448857</v>
      </c>
      <c r="Q130" s="35">
        <f>('Batt Capacity and Sys Weight'!$I$3) + (B130*$T$2)</f>
        <v>46.848475000000001</v>
      </c>
      <c r="R130" s="35">
        <f>'Batt Capacity and Sys Weight'!$H$3</f>
        <v>97.68</v>
      </c>
    </row>
    <row r="131" spans="1:18" x14ac:dyDescent="0.3">
      <c r="A131" s="35" t="s">
        <v>244</v>
      </c>
      <c r="B131" s="35">
        <v>10.23</v>
      </c>
      <c r="C131" s="35">
        <v>610</v>
      </c>
      <c r="D131" s="35" t="s">
        <v>26</v>
      </c>
      <c r="E131" s="36" t="str" cm="1">
        <f t="array" ref="E131">GetNumber(D131,1)</f>
        <v>14</v>
      </c>
      <c r="F131" s="36" t="str" cm="1">
        <f t="array" ref="F131">GetNumber(D131,2)</f>
        <v>7</v>
      </c>
      <c r="G131" s="35">
        <v>14.8</v>
      </c>
      <c r="H131" s="35">
        <v>7277</v>
      </c>
      <c r="I131" s="35">
        <f>46.94*($T$2)</f>
        <v>93.88</v>
      </c>
      <c r="J131" s="35">
        <f>694.7*($T$2)</f>
        <v>1389.4</v>
      </c>
      <c r="K131" s="35">
        <f t="shared" ref="K131:K194" si="11" xml:space="preserve"> (R131/J131)*60</f>
        <v>4.2182236936807254</v>
      </c>
      <c r="L131" s="35">
        <f t="shared" ref="L131:L194" si="12">( (R131/G131)/I131)*60</f>
        <v>4.2181508308478914</v>
      </c>
      <c r="M131" s="35">
        <f>7.691*($T$2)</f>
        <v>15.382</v>
      </c>
      <c r="N131" s="35">
        <v>70.7</v>
      </c>
      <c r="O131" s="35">
        <f t="shared" si="10"/>
        <v>1.1070965884554484</v>
      </c>
      <c r="P131" s="35">
        <f t="shared" si="9"/>
        <v>64.884716856196917</v>
      </c>
      <c r="Q131" s="35">
        <f>('Batt Capacity and Sys Weight'!$I$3) + (B131*$T$2)</f>
        <v>46.848475000000001</v>
      </c>
      <c r="R131" s="35">
        <f>'Batt Capacity and Sys Weight'!$H$3</f>
        <v>97.68</v>
      </c>
    </row>
    <row r="132" spans="1:18" x14ac:dyDescent="0.3">
      <c r="A132" s="35" t="s">
        <v>244</v>
      </c>
      <c r="B132" s="35">
        <v>10.23</v>
      </c>
      <c r="C132" s="35">
        <v>610</v>
      </c>
      <c r="D132" s="35" t="s">
        <v>72</v>
      </c>
      <c r="E132" s="36" t="str" cm="1">
        <f t="array" ref="E132">GetNumber(D132,1)</f>
        <v>11</v>
      </c>
      <c r="F132" s="36" t="str" cm="1">
        <f t="array" ref="F132">GetNumber(D132,2)</f>
        <v>8</v>
      </c>
      <c r="G132" s="35">
        <v>18.5</v>
      </c>
      <c r="H132" s="35">
        <v>9801</v>
      </c>
      <c r="I132" s="35">
        <f>34.38*($T$2)</f>
        <v>68.760000000000005</v>
      </c>
      <c r="J132" s="35">
        <f>636*($T$2)</f>
        <v>1272</v>
      </c>
      <c r="K132" s="35">
        <f t="shared" si="11"/>
        <v>4.3632075471698109</v>
      </c>
      <c r="L132" s="35">
        <f t="shared" si="12"/>
        <v>4.3630017452006982</v>
      </c>
      <c r="M132" s="35">
        <f>5.201*($T$2)</f>
        <v>10.401999999999999</v>
      </c>
      <c r="N132" s="35">
        <v>109</v>
      </c>
      <c r="O132" s="35">
        <f t="shared" si="10"/>
        <v>0.81776729559748418</v>
      </c>
      <c r="P132" s="35">
        <f t="shared" si="9"/>
        <v>45.386084905660368</v>
      </c>
      <c r="Q132" s="35">
        <f>('Batt Capacity and Sys Weight'!$I$4) + (B132*$T$2)</f>
        <v>47.624503000000004</v>
      </c>
      <c r="R132" s="35">
        <f>'Batt Capacity and Sys Weight'!$H$4</f>
        <v>92.5</v>
      </c>
    </row>
    <row r="133" spans="1:18" x14ac:dyDescent="0.3">
      <c r="A133" s="35" t="s">
        <v>244</v>
      </c>
      <c r="B133" s="35">
        <v>10.23</v>
      </c>
      <c r="C133" s="35">
        <v>610</v>
      </c>
      <c r="D133" s="35" t="s">
        <v>56</v>
      </c>
      <c r="E133" s="36" t="str" cm="1">
        <f t="array" ref="E133">GetNumber(D133,1)</f>
        <v>11</v>
      </c>
      <c r="F133" s="36" cm="1">
        <f t="array" ref="F133">GetNumber(D133,2)+(GetNumber(D133,3)/10)</f>
        <v>8.5</v>
      </c>
      <c r="G133" s="35">
        <v>18.5</v>
      </c>
      <c r="H133" s="35">
        <v>9673</v>
      </c>
      <c r="I133" s="35">
        <f>37.36*($T$2)</f>
        <v>74.72</v>
      </c>
      <c r="J133" s="35">
        <f>691.1*($T$2)</f>
        <v>1382.2</v>
      </c>
      <c r="K133" s="35">
        <f t="shared" si="11"/>
        <v>4.0153378671682818</v>
      </c>
      <c r="L133" s="35">
        <f t="shared" si="12"/>
        <v>4.0149892933618849</v>
      </c>
      <c r="M133" s="35">
        <f>5.386*($T$2)</f>
        <v>10.772</v>
      </c>
      <c r="N133" s="35">
        <v>114.3</v>
      </c>
      <c r="O133" s="35">
        <f t="shared" si="10"/>
        <v>0.77933728838084215</v>
      </c>
      <c r="P133" s="35">
        <f t="shared" si="9"/>
        <v>43.253219505136734</v>
      </c>
      <c r="Q133" s="35">
        <f>('Batt Capacity and Sys Weight'!$I$4) + (B133*$T$2)</f>
        <v>47.624503000000004</v>
      </c>
      <c r="R133" s="35">
        <f>'Batt Capacity and Sys Weight'!$H$4</f>
        <v>92.5</v>
      </c>
    </row>
    <row r="134" spans="1:18" x14ac:dyDescent="0.3">
      <c r="A134" s="35" t="s">
        <v>244</v>
      </c>
      <c r="B134" s="35">
        <v>10.23</v>
      </c>
      <c r="C134" s="35">
        <v>610</v>
      </c>
      <c r="D134" s="35" t="s">
        <v>57</v>
      </c>
      <c r="E134" s="36" t="str" cm="1">
        <f t="array" ref="E134">GetNumber(D134,1)</f>
        <v>11</v>
      </c>
      <c r="F134" s="36" t="str" cm="1">
        <f t="array" ref="F134">GetNumber(D134,2)</f>
        <v>10</v>
      </c>
      <c r="G134" s="35">
        <v>18.5</v>
      </c>
      <c r="H134" s="35">
        <v>9465</v>
      </c>
      <c r="I134" s="35">
        <f>43.27*($T$2)</f>
        <v>86.54</v>
      </c>
      <c r="J134" s="35">
        <f>800.5*($T$2)</f>
        <v>1601</v>
      </c>
      <c r="K134" s="35">
        <f t="shared" si="11"/>
        <v>3.4665833853841352</v>
      </c>
      <c r="L134" s="35">
        <f t="shared" si="12"/>
        <v>3.4666050381326552</v>
      </c>
      <c r="M134" s="35">
        <f>4.947*($T$2)</f>
        <v>9.8940000000000001</v>
      </c>
      <c r="N134" s="35">
        <v>131.4</v>
      </c>
      <c r="O134" s="35">
        <f t="shared" si="10"/>
        <v>0.61798875702685829</v>
      </c>
      <c r="P134" s="35">
        <f t="shared" si="9"/>
        <v>34.298376014990637</v>
      </c>
      <c r="Q134" s="35">
        <f>('Batt Capacity and Sys Weight'!$I$4) + (B134*$T$2)</f>
        <v>47.624503000000004</v>
      </c>
      <c r="R134" s="35">
        <f>'Batt Capacity and Sys Weight'!$H$4</f>
        <v>92.5</v>
      </c>
    </row>
    <row r="135" spans="1:18" x14ac:dyDescent="0.3">
      <c r="A135" s="35" t="s">
        <v>244</v>
      </c>
      <c r="B135" s="35">
        <v>10.23</v>
      </c>
      <c r="C135" s="35">
        <v>610</v>
      </c>
      <c r="D135" s="35" t="s">
        <v>58</v>
      </c>
      <c r="E135" s="36" t="str" cm="1">
        <f t="array" ref="E135">GetNumber(D135,1)</f>
        <v>12</v>
      </c>
      <c r="F135" s="36" t="str" cm="1">
        <f t="array" ref="F135">GetNumber(D135,2)</f>
        <v>6</v>
      </c>
      <c r="G135" s="35">
        <v>18.5</v>
      </c>
      <c r="H135" s="35">
        <v>9763</v>
      </c>
      <c r="I135" s="35">
        <f>35.34*($T$2)</f>
        <v>70.680000000000007</v>
      </c>
      <c r="J135" s="35">
        <f>653.9*($T$2)</f>
        <v>1307.8</v>
      </c>
      <c r="K135" s="35">
        <f t="shared" si="11"/>
        <v>4.2437681602691537</v>
      </c>
      <c r="L135" s="35">
        <f t="shared" si="12"/>
        <v>4.2444821731748723</v>
      </c>
      <c r="M135" s="35">
        <f>6.597*($T$2)</f>
        <v>13.194000000000001</v>
      </c>
      <c r="N135" s="35">
        <v>81.400000000000006</v>
      </c>
      <c r="O135" s="35">
        <f t="shared" si="10"/>
        <v>1.0088698577764186</v>
      </c>
      <c r="P135" s="35">
        <f t="shared" si="9"/>
        <v>55.992277106591217</v>
      </c>
      <c r="Q135" s="35">
        <f>('Batt Capacity and Sys Weight'!$I$4) + (B135*$T$2)</f>
        <v>47.624503000000004</v>
      </c>
      <c r="R135" s="35">
        <f>'Batt Capacity and Sys Weight'!$H$4</f>
        <v>92.5</v>
      </c>
    </row>
    <row r="136" spans="1:18" x14ac:dyDescent="0.3">
      <c r="A136" s="35" t="s">
        <v>244</v>
      </c>
      <c r="B136" s="35">
        <v>10.23</v>
      </c>
      <c r="C136" s="35">
        <v>610</v>
      </c>
      <c r="D136" s="35" t="s">
        <v>32</v>
      </c>
      <c r="E136" s="36" t="str" cm="1">
        <f t="array" ref="E136">GetNumber(D136,1)</f>
        <v>12</v>
      </c>
      <c r="F136" s="36" t="str" cm="1">
        <f t="array" ref="F136">GetNumber(D136,2)</f>
        <v>8</v>
      </c>
      <c r="G136" s="35">
        <v>18.5</v>
      </c>
      <c r="H136" s="35">
        <v>9451</v>
      </c>
      <c r="I136" s="35">
        <f>43.7*($T$2)</f>
        <v>87.4</v>
      </c>
      <c r="J136" s="35">
        <f>808.5*($T$2)</f>
        <v>1617</v>
      </c>
      <c r="K136" s="35">
        <f t="shared" si="11"/>
        <v>3.4322820037105748</v>
      </c>
      <c r="L136" s="35">
        <f t="shared" si="12"/>
        <v>3.432494279176201</v>
      </c>
      <c r="M136" s="35">
        <f>5.99*($T$2)</f>
        <v>11.98</v>
      </c>
      <c r="N136" s="35">
        <v>105</v>
      </c>
      <c r="O136" s="35">
        <f t="shared" si="10"/>
        <v>0.74087816944959806</v>
      </c>
      <c r="P136" s="35">
        <f t="shared" si="9"/>
        <v>41.118738404452685</v>
      </c>
      <c r="Q136" s="35">
        <f>('Batt Capacity and Sys Weight'!$I$4) + (B136*$T$2)</f>
        <v>47.624503000000004</v>
      </c>
      <c r="R136" s="35">
        <f>'Batt Capacity and Sys Weight'!$H$4</f>
        <v>92.5</v>
      </c>
    </row>
    <row r="137" spans="1:18" x14ac:dyDescent="0.3">
      <c r="A137" s="35" t="s">
        <v>244</v>
      </c>
      <c r="B137" s="35">
        <v>10.23</v>
      </c>
      <c r="C137" s="35">
        <v>610</v>
      </c>
      <c r="D137" s="35" t="s">
        <v>60</v>
      </c>
      <c r="E137" s="36" t="str" cm="1">
        <f t="array" ref="E137">GetNumber(D137,1)</f>
        <v>15</v>
      </c>
      <c r="F137" s="36" t="str" cm="1">
        <f t="array" ref="F137">GetNumber(D137,2)</f>
        <v>4</v>
      </c>
      <c r="G137" s="35">
        <v>18.5</v>
      </c>
      <c r="H137" s="35">
        <v>9226</v>
      </c>
      <c r="I137" s="35">
        <f>49.31*($T$2)</f>
        <v>98.62</v>
      </c>
      <c r="J137" s="35">
        <f>912.3*($T$2)</f>
        <v>1824.6</v>
      </c>
      <c r="K137" s="35">
        <f t="shared" si="11"/>
        <v>3.0417625780993096</v>
      </c>
      <c r="L137" s="35">
        <f t="shared" si="12"/>
        <v>3.0419793145406611</v>
      </c>
      <c r="M137" s="35">
        <f>9.698*($T$2)</f>
        <v>19.396000000000001</v>
      </c>
      <c r="N137" s="35">
        <v>51.2</v>
      </c>
      <c r="O137" s="35">
        <f t="shared" si="10"/>
        <v>1.0630275128795352</v>
      </c>
      <c r="P137" s="35">
        <f t="shared" si="9"/>
        <v>58.998026964814208</v>
      </c>
      <c r="Q137" s="35">
        <f>('Batt Capacity and Sys Weight'!$I$4) + (B137*$T$2)</f>
        <v>47.624503000000004</v>
      </c>
      <c r="R137" s="35">
        <f>'Batt Capacity and Sys Weight'!$H$4</f>
        <v>92.5</v>
      </c>
    </row>
    <row r="138" spans="1:18" x14ac:dyDescent="0.3">
      <c r="A138" s="35" t="s">
        <v>244</v>
      </c>
      <c r="B138" s="35">
        <v>10.23</v>
      </c>
      <c r="C138" s="35">
        <v>610</v>
      </c>
      <c r="D138" s="35" t="s">
        <v>81</v>
      </c>
      <c r="E138" s="36" t="str" cm="1">
        <f t="array" ref="E138">GetNumber(D138,1)</f>
        <v>11</v>
      </c>
      <c r="F138" s="36" t="str" cm="1">
        <f t="array" ref="F138">GetNumber(D138,2)</f>
        <v>7</v>
      </c>
      <c r="G138" s="35">
        <v>18.5</v>
      </c>
      <c r="H138" s="35">
        <v>9867</v>
      </c>
      <c r="I138" s="35">
        <f>32.51*($T$2)</f>
        <v>65.02</v>
      </c>
      <c r="J138" s="35">
        <f>601.4*($T$2)</f>
        <v>1202.8</v>
      </c>
      <c r="K138" s="35">
        <f t="shared" si="11"/>
        <v>4.6142334552710347</v>
      </c>
      <c r="L138" s="35">
        <f t="shared" si="12"/>
        <v>4.6139649338665025</v>
      </c>
      <c r="M138" s="35">
        <f>5.935*($T$2)</f>
        <v>11.87</v>
      </c>
      <c r="N138" s="35">
        <v>95.9</v>
      </c>
      <c r="O138" s="35">
        <f t="shared" si="10"/>
        <v>0.9868639840372464</v>
      </c>
      <c r="P138" s="35">
        <f t="shared" si="9"/>
        <v>54.770951114067181</v>
      </c>
      <c r="Q138" s="35">
        <f>('Batt Capacity and Sys Weight'!$I$4) + (B138*$T$2)</f>
        <v>47.624503000000004</v>
      </c>
      <c r="R138" s="35">
        <f>'Batt Capacity and Sys Weight'!$H$4</f>
        <v>92.5</v>
      </c>
    </row>
    <row r="139" spans="1:18" x14ac:dyDescent="0.3">
      <c r="A139" s="35" t="s">
        <v>244</v>
      </c>
      <c r="B139" s="35">
        <v>10.23</v>
      </c>
      <c r="C139" s="35">
        <v>610</v>
      </c>
      <c r="D139" s="35" t="s">
        <v>66</v>
      </c>
      <c r="E139" s="36" t="str" cm="1">
        <f t="array" ref="E139">GetNumber(D139,1)</f>
        <v>11</v>
      </c>
      <c r="F139" s="36" t="str" cm="1">
        <f t="array" ref="F139">GetNumber(D139,2)</f>
        <v>8</v>
      </c>
      <c r="G139" s="35">
        <v>18.5</v>
      </c>
      <c r="H139" s="35">
        <v>9744</v>
      </c>
      <c r="I139" s="35">
        <f>35.65*($T$2)</f>
        <v>71.3</v>
      </c>
      <c r="J139" s="35">
        <f>659.5*($T$2)</f>
        <v>1319</v>
      </c>
      <c r="K139" s="35">
        <f t="shared" si="11"/>
        <v>4.2077331311599693</v>
      </c>
      <c r="L139" s="35">
        <f t="shared" si="12"/>
        <v>4.2075736325385691</v>
      </c>
      <c r="M139" s="35">
        <f>6.167*($T$2)</f>
        <v>12.334</v>
      </c>
      <c r="N139" s="35">
        <v>108.2</v>
      </c>
      <c r="O139" s="35">
        <f t="shared" si="10"/>
        <v>0.93510235026535249</v>
      </c>
      <c r="P139" s="35">
        <f t="shared" si="9"/>
        <v>51.898180439727057</v>
      </c>
      <c r="Q139" s="35">
        <f>('Batt Capacity and Sys Weight'!$I$4) + (B139*$T$2)</f>
        <v>47.624503000000004</v>
      </c>
      <c r="R139" s="35">
        <f>'Batt Capacity and Sys Weight'!$H$4</f>
        <v>92.5</v>
      </c>
    </row>
    <row r="140" spans="1:18" x14ac:dyDescent="0.3">
      <c r="A140" s="35" t="s">
        <v>244</v>
      </c>
      <c r="B140" s="35">
        <v>10.23</v>
      </c>
      <c r="C140" s="35">
        <v>610</v>
      </c>
      <c r="D140" s="35" t="s">
        <v>53</v>
      </c>
      <c r="E140" s="36" t="str" cm="1">
        <f t="array" ref="E140">GetNumber(D140,1)</f>
        <v>12</v>
      </c>
      <c r="F140" s="36" t="str" cm="1">
        <f t="array" ref="F140">GetNumber(D140,2)</f>
        <v>6</v>
      </c>
      <c r="G140" s="35">
        <v>18.5</v>
      </c>
      <c r="H140" s="35">
        <v>9696</v>
      </c>
      <c r="I140" s="35">
        <f>36.66*($T$2)</f>
        <v>73.319999999999993</v>
      </c>
      <c r="J140" s="35">
        <f>678.1*($T$2)</f>
        <v>1356.2</v>
      </c>
      <c r="K140" s="35">
        <f t="shared" si="11"/>
        <v>4.0923167674384313</v>
      </c>
      <c r="L140" s="35">
        <f t="shared" si="12"/>
        <v>4.0916530278232415</v>
      </c>
      <c r="M140" s="35">
        <f>6.85*($T$2)</f>
        <v>13.7</v>
      </c>
      <c r="N140" s="35">
        <v>80.8</v>
      </c>
      <c r="O140" s="35">
        <f t="shared" si="10"/>
        <v>1.0101754903406577</v>
      </c>
      <c r="P140" s="35">
        <f t="shared" si="9"/>
        <v>56.064739713906505</v>
      </c>
      <c r="Q140" s="35">
        <f>('Batt Capacity and Sys Weight'!$I$4) + (B140*$T$2)</f>
        <v>47.624503000000004</v>
      </c>
      <c r="R140" s="35">
        <f>'Batt Capacity and Sys Weight'!$H$4</f>
        <v>92.5</v>
      </c>
    </row>
    <row r="141" spans="1:18" x14ac:dyDescent="0.3">
      <c r="A141" s="35" t="s">
        <v>244</v>
      </c>
      <c r="B141" s="35">
        <v>10.23</v>
      </c>
      <c r="C141" s="35">
        <v>610</v>
      </c>
      <c r="D141" s="35" t="s">
        <v>68</v>
      </c>
      <c r="E141" s="36" t="str" cm="1">
        <f t="array" ref="E141">GetNumber(D141,1)</f>
        <v>10</v>
      </c>
      <c r="F141" s="36" t="str" cm="1">
        <f t="array" ref="F141">GetNumber(D141,2)</f>
        <v>7</v>
      </c>
      <c r="G141" s="35">
        <v>22.2</v>
      </c>
      <c r="H141" s="35">
        <v>11893</v>
      </c>
      <c r="I141" s="35">
        <f>33.5*($T$2)</f>
        <v>67</v>
      </c>
      <c r="J141" s="35">
        <f>743.7*($T$2)</f>
        <v>1487.4</v>
      </c>
      <c r="K141" s="35">
        <f t="shared" si="11"/>
        <v>4.0298507462686564</v>
      </c>
      <c r="L141" s="35">
        <f t="shared" si="12"/>
        <v>4.0298507462686564</v>
      </c>
      <c r="M141" s="35">
        <f>5.324*($T$2)</f>
        <v>10.648</v>
      </c>
      <c r="N141" s="35">
        <v>115.6</v>
      </c>
      <c r="O141" s="35">
        <f t="shared" si="10"/>
        <v>0.71588005916364117</v>
      </c>
      <c r="P141" s="35">
        <f t="shared" si="9"/>
        <v>42.909850746268653</v>
      </c>
      <c r="Q141" s="35">
        <f>('Batt Capacity and Sys Weight'!$I$5) + (B141*$T$2)</f>
        <v>52.033753000000004</v>
      </c>
      <c r="R141" s="35">
        <f>'Batt Capacity and Sys Weight'!$H$5</f>
        <v>99.9</v>
      </c>
    </row>
    <row r="142" spans="1:18" x14ac:dyDescent="0.3">
      <c r="A142" s="35" t="s">
        <v>244</v>
      </c>
      <c r="B142" s="35">
        <v>10.23</v>
      </c>
      <c r="C142" s="35">
        <v>610</v>
      </c>
      <c r="D142" s="35" t="s">
        <v>55</v>
      </c>
      <c r="E142" s="36" t="str" cm="1">
        <f t="array" ref="E142">GetNumber(D142,1)</f>
        <v>10</v>
      </c>
      <c r="F142" s="36" t="str" cm="1">
        <f t="array" ref="F142">GetNumber(D142,2)</f>
        <v>10</v>
      </c>
      <c r="G142" s="35">
        <v>22.2</v>
      </c>
      <c r="H142" s="35">
        <v>11262</v>
      </c>
      <c r="I142" s="35">
        <f>49.2*($T$2)</f>
        <v>98.4</v>
      </c>
      <c r="J142" s="35">
        <f>1092.3*($T$2)</f>
        <v>2184.6</v>
      </c>
      <c r="K142" s="35">
        <f t="shared" si="11"/>
        <v>2.7437517165613845</v>
      </c>
      <c r="L142" s="35">
        <f t="shared" si="12"/>
        <v>2.74390243902439</v>
      </c>
      <c r="M142" s="35">
        <f>5.011*($T$2)</f>
        <v>10.022</v>
      </c>
      <c r="N142" s="35">
        <v>156.30000000000001</v>
      </c>
      <c r="O142" s="35">
        <f t="shared" si="10"/>
        <v>0.45875675180811137</v>
      </c>
      <c r="P142" s="35">
        <f t="shared" si="9"/>
        <v>27.497879703378196</v>
      </c>
      <c r="Q142" s="35">
        <f>('Batt Capacity and Sys Weight'!$I$5) + (B142*$T$2)</f>
        <v>52.033753000000004</v>
      </c>
      <c r="R142" s="35">
        <f>'Batt Capacity and Sys Weight'!$H$5</f>
        <v>99.9</v>
      </c>
    </row>
    <row r="143" spans="1:18" x14ac:dyDescent="0.3">
      <c r="A143" s="35" t="s">
        <v>244</v>
      </c>
      <c r="B143" s="35">
        <v>10.23</v>
      </c>
      <c r="C143" s="35">
        <v>610</v>
      </c>
      <c r="D143" s="35" t="s">
        <v>70</v>
      </c>
      <c r="E143" s="36" t="str" cm="1">
        <f t="array" ref="E143">GetNumber(D143,1)</f>
        <v>11</v>
      </c>
      <c r="F143" s="36" cm="1">
        <f t="array" ref="F143">GetNumber(D143,2)+(GetNumber(D143,3)/10)</f>
        <v>5.5</v>
      </c>
      <c r="G143" s="35">
        <v>22.2</v>
      </c>
      <c r="H143" s="35">
        <v>11741</v>
      </c>
      <c r="I143" s="35">
        <f>36.9*($T$2)</f>
        <v>73.8</v>
      </c>
      <c r="J143" s="35">
        <f>819.2*($T$2)</f>
        <v>1638.4</v>
      </c>
      <c r="K143" s="35">
        <f t="shared" si="11"/>
        <v>3.658447265625</v>
      </c>
      <c r="L143" s="35">
        <f t="shared" si="12"/>
        <v>3.6585365853658538</v>
      </c>
      <c r="M143" s="35">
        <f>7.108*($T$2)</f>
        <v>14.215999999999999</v>
      </c>
      <c r="N143" s="35">
        <v>89.8</v>
      </c>
      <c r="O143" s="35">
        <f t="shared" si="10"/>
        <v>0.86767578125</v>
      </c>
      <c r="P143" s="35">
        <f t="shared" si="9"/>
        <v>52.008486328124995</v>
      </c>
      <c r="Q143" s="35">
        <f>('Batt Capacity and Sys Weight'!$I$5) + (B143*$T$2)</f>
        <v>52.033753000000004</v>
      </c>
      <c r="R143" s="35">
        <f>'Batt Capacity and Sys Weight'!$H$5</f>
        <v>99.9</v>
      </c>
    </row>
    <row r="144" spans="1:18" x14ac:dyDescent="0.3">
      <c r="A144" s="35" t="s">
        <v>244</v>
      </c>
      <c r="B144" s="35">
        <v>10.23</v>
      </c>
      <c r="C144" s="35">
        <v>610</v>
      </c>
      <c r="D144" s="35" t="s">
        <v>71</v>
      </c>
      <c r="E144" s="36" t="str" cm="1">
        <f t="array" ref="E144">GetNumber(D144,1)</f>
        <v>11</v>
      </c>
      <c r="F144" s="36" t="str" cm="1">
        <f t="array" ref="F144">GetNumber(D144,2)</f>
        <v>7</v>
      </c>
      <c r="G144" s="35">
        <v>22.2</v>
      </c>
      <c r="H144" s="35">
        <v>11336</v>
      </c>
      <c r="I144" s="35">
        <f>42.99*($T$2)</f>
        <v>85.98</v>
      </c>
      <c r="J144" s="35">
        <f>954.3*($T$2)</f>
        <v>1908.6</v>
      </c>
      <c r="K144" s="35">
        <f t="shared" si="11"/>
        <v>3.1405218484753226</v>
      </c>
      <c r="L144" s="35">
        <f t="shared" si="12"/>
        <v>3.1402651779483599</v>
      </c>
      <c r="M144" s="35">
        <f>7.26*($T$2)</f>
        <v>14.52</v>
      </c>
      <c r="N144" s="35">
        <v>110.1</v>
      </c>
      <c r="O144" s="35">
        <f t="shared" si="10"/>
        <v>0.76076705438541337</v>
      </c>
      <c r="P144" s="35">
        <f t="shared" si="9"/>
        <v>45.600377239861679</v>
      </c>
      <c r="Q144" s="35">
        <f>('Batt Capacity and Sys Weight'!$I$5) + (B144*$T$2)</f>
        <v>52.033753000000004</v>
      </c>
      <c r="R144" s="35">
        <f>'Batt Capacity and Sys Weight'!$H$5</f>
        <v>99.9</v>
      </c>
    </row>
    <row r="145" spans="1:18" x14ac:dyDescent="0.3">
      <c r="A145" s="35" t="s">
        <v>244</v>
      </c>
      <c r="B145" s="35">
        <v>10.23</v>
      </c>
      <c r="C145" s="35">
        <v>610</v>
      </c>
      <c r="D145" s="35" t="s">
        <v>72</v>
      </c>
      <c r="E145" s="36" t="str" cm="1">
        <f t="array" ref="E145">GetNumber(D145,1)</f>
        <v>11</v>
      </c>
      <c r="F145" s="36" t="str" cm="1">
        <f t="array" ref="F145">GetNumber(D145,2)</f>
        <v>8</v>
      </c>
      <c r="G145" s="35">
        <v>22.2</v>
      </c>
      <c r="H145" s="35">
        <v>11266</v>
      </c>
      <c r="I145" s="35">
        <f>49.24*($T$2)</f>
        <v>98.48</v>
      </c>
      <c r="J145" s="35">
        <f>1093.1*($T$2)</f>
        <v>2186.1999999999998</v>
      </c>
      <c r="K145" s="35">
        <f t="shared" si="11"/>
        <v>2.7417436648065139</v>
      </c>
      <c r="L145" s="35">
        <f t="shared" si="12"/>
        <v>2.7416734362307067</v>
      </c>
      <c r="M145" s="35">
        <f>6.958*($T$2)</f>
        <v>13.916</v>
      </c>
      <c r="N145" s="35">
        <v>125.1</v>
      </c>
      <c r="O145" s="35">
        <f t="shared" si="10"/>
        <v>0.6365382856097338</v>
      </c>
      <c r="P145" s="35">
        <f t="shared" ref="P145:P208" si="13">M145*K145</f>
        <v>38.154104839447449</v>
      </c>
      <c r="Q145" s="35">
        <f>('Batt Capacity and Sys Weight'!$I$5) + (B145*$T$2)</f>
        <v>52.033753000000004</v>
      </c>
      <c r="R145" s="35">
        <f>'Batt Capacity and Sys Weight'!$H$5</f>
        <v>99.9</v>
      </c>
    </row>
    <row r="146" spans="1:18" x14ac:dyDescent="0.3">
      <c r="A146" s="35" t="s">
        <v>244</v>
      </c>
      <c r="B146" s="35">
        <v>10.23</v>
      </c>
      <c r="C146" s="35">
        <v>610</v>
      </c>
      <c r="D146" s="35" t="s">
        <v>98</v>
      </c>
      <c r="E146" s="36" t="str" cm="1">
        <f t="array" ref="E146">GetNumber(D146,1)</f>
        <v>13</v>
      </c>
      <c r="F146" s="36" t="str" cm="1">
        <f t="array" ref="F146">GetNumber(D146,2)</f>
        <v>4</v>
      </c>
      <c r="G146" s="35">
        <v>22.2</v>
      </c>
      <c r="H146" s="35">
        <v>11444</v>
      </c>
      <c r="I146" s="35">
        <f>40.32*($T$2)</f>
        <v>80.64</v>
      </c>
      <c r="J146" s="35">
        <f>895.1*($T$2)</f>
        <v>1790.2</v>
      </c>
      <c r="K146" s="35">
        <f t="shared" si="11"/>
        <v>3.348229248128701</v>
      </c>
      <c r="L146" s="35">
        <f t="shared" si="12"/>
        <v>3.348214285714286</v>
      </c>
      <c r="M146" s="35">
        <f>8.804*($T$2)</f>
        <v>17.608000000000001</v>
      </c>
      <c r="N146" s="35">
        <v>63.5</v>
      </c>
      <c r="O146" s="35">
        <f t="shared" si="10"/>
        <v>0.98357725393810735</v>
      </c>
      <c r="P146" s="35">
        <f t="shared" si="13"/>
        <v>58.955620601050171</v>
      </c>
      <c r="Q146" s="35">
        <f>('Batt Capacity and Sys Weight'!$I$5) + (B146*$T$2)</f>
        <v>52.033753000000004</v>
      </c>
      <c r="R146" s="35">
        <f>'Batt Capacity and Sys Weight'!$H$5</f>
        <v>99.9</v>
      </c>
    </row>
    <row r="147" spans="1:18" x14ac:dyDescent="0.3">
      <c r="A147" s="35" t="s">
        <v>244</v>
      </c>
      <c r="B147" s="35">
        <v>10.23</v>
      </c>
      <c r="C147" s="35">
        <v>610</v>
      </c>
      <c r="D147" s="35" t="s">
        <v>80</v>
      </c>
      <c r="E147" s="36" t="str" cm="1">
        <f t="array" ref="E147">GetNumber(D147,1)</f>
        <v>10</v>
      </c>
      <c r="F147" s="36" t="str" cm="1">
        <f t="array" ref="F147">GetNumber(D147,2)</f>
        <v>7</v>
      </c>
      <c r="G147" s="35">
        <v>22.2</v>
      </c>
      <c r="H147" s="35">
        <v>11783</v>
      </c>
      <c r="I147" s="35">
        <f>35.8*($T$2)</f>
        <v>71.599999999999994</v>
      </c>
      <c r="J147" s="35">
        <f>794.7*($T$2)</f>
        <v>1589.4</v>
      </c>
      <c r="K147" s="35">
        <f t="shared" si="11"/>
        <v>3.7712344280860703</v>
      </c>
      <c r="L147" s="35">
        <f t="shared" si="12"/>
        <v>3.7709497206703912</v>
      </c>
      <c r="M147" s="35">
        <f>6.755*($T$2)</f>
        <v>13.51</v>
      </c>
      <c r="N147" s="35">
        <v>114.5</v>
      </c>
      <c r="O147" s="35">
        <f t="shared" si="10"/>
        <v>0.85000629168239583</v>
      </c>
      <c r="P147" s="35">
        <f t="shared" si="13"/>
        <v>50.949377123442808</v>
      </c>
      <c r="Q147" s="35">
        <f>('Batt Capacity and Sys Weight'!$I$5) + (B147*$T$2)</f>
        <v>52.033753000000004</v>
      </c>
      <c r="R147" s="35">
        <f>'Batt Capacity and Sys Weight'!$H$5</f>
        <v>99.9</v>
      </c>
    </row>
    <row r="148" spans="1:18" x14ac:dyDescent="0.3">
      <c r="A148" s="35" t="s">
        <v>244</v>
      </c>
      <c r="B148" s="35">
        <v>10.23</v>
      </c>
      <c r="C148" s="35">
        <v>610</v>
      </c>
      <c r="D148" s="35" t="s">
        <v>81</v>
      </c>
      <c r="E148" s="36" t="str" cm="1">
        <f t="array" ref="E148">GetNumber(D148,1)</f>
        <v>11</v>
      </c>
      <c r="F148" s="36" t="str" cm="1">
        <f t="array" ref="F148">GetNumber(D148,2)</f>
        <v>7</v>
      </c>
      <c r="G148" s="35">
        <v>22.2</v>
      </c>
      <c r="H148" s="35">
        <v>11481</v>
      </c>
      <c r="I148" s="35">
        <f>43.78*($T$2)</f>
        <v>87.56</v>
      </c>
      <c r="J148" s="35">
        <f>971.8*($T$2)</f>
        <v>1943.6</v>
      </c>
      <c r="K148" s="35">
        <f t="shared" si="11"/>
        <v>3.0839678946285245</v>
      </c>
      <c r="L148" s="35">
        <f t="shared" si="12"/>
        <v>3.0835998172681589</v>
      </c>
      <c r="M148" s="35">
        <f>8.085*($T$2)</f>
        <v>16.170000000000002</v>
      </c>
      <c r="N148" s="35">
        <v>111.6</v>
      </c>
      <c r="O148" s="35">
        <f t="shared" si="10"/>
        <v>0.83196130891129882</v>
      </c>
      <c r="P148" s="35">
        <f t="shared" si="13"/>
        <v>49.867760856143249</v>
      </c>
      <c r="Q148" s="35">
        <f>('Batt Capacity and Sys Weight'!$I$5) + (B148*$T$2)</f>
        <v>52.033753000000004</v>
      </c>
      <c r="R148" s="35">
        <f>'Batt Capacity and Sys Weight'!$H$5</f>
        <v>99.9</v>
      </c>
    </row>
    <row r="149" spans="1:18" x14ac:dyDescent="0.3">
      <c r="A149" s="35" t="s">
        <v>244</v>
      </c>
      <c r="B149" s="35">
        <v>10.23</v>
      </c>
      <c r="C149" s="35">
        <v>610</v>
      </c>
      <c r="D149" s="35" t="s">
        <v>66</v>
      </c>
      <c r="E149" s="36" t="str" cm="1">
        <f t="array" ref="E149">GetNumber(D149,1)</f>
        <v>11</v>
      </c>
      <c r="F149" s="36" t="str" cm="1">
        <f t="array" ref="F149">GetNumber(D149,2)</f>
        <v>8</v>
      </c>
      <c r="G149" s="35">
        <v>22.2</v>
      </c>
      <c r="H149" s="35">
        <v>11276</v>
      </c>
      <c r="I149" s="35">
        <f>48.75*($T$2)</f>
        <v>97.5</v>
      </c>
      <c r="J149" s="35">
        <f>1082.3*($T$2)</f>
        <v>2164.6</v>
      </c>
      <c r="K149" s="35">
        <f t="shared" si="11"/>
        <v>2.769102836551788</v>
      </c>
      <c r="L149" s="35">
        <f t="shared" si="12"/>
        <v>2.7692307692307692</v>
      </c>
      <c r="M149" s="35">
        <f>8.233*($T$2)</f>
        <v>16.466000000000001</v>
      </c>
      <c r="N149" s="35">
        <v>125.3</v>
      </c>
      <c r="O149" s="35">
        <f t="shared" si="10"/>
        <v>0.76069481659429006</v>
      </c>
      <c r="P149" s="35">
        <f t="shared" si="13"/>
        <v>45.596047306661745</v>
      </c>
      <c r="Q149" s="35">
        <f>('Batt Capacity and Sys Weight'!$I$5) + (B149*$T$2)</f>
        <v>52.033753000000004</v>
      </c>
      <c r="R149" s="35">
        <f>'Batt Capacity and Sys Weight'!$H$5</f>
        <v>99.9</v>
      </c>
    </row>
    <row r="150" spans="1:18" x14ac:dyDescent="0.3">
      <c r="A150" s="35" t="s">
        <v>244</v>
      </c>
      <c r="B150" s="35">
        <v>10.23</v>
      </c>
      <c r="C150" s="35">
        <v>610</v>
      </c>
      <c r="D150" s="35" t="s">
        <v>53</v>
      </c>
      <c r="E150" s="36" t="str" cm="1">
        <f t="array" ref="E150">GetNumber(D150,1)</f>
        <v>12</v>
      </c>
      <c r="F150" s="36" t="str" cm="1">
        <f t="array" ref="F150">GetNumber(D150,2)</f>
        <v>6</v>
      </c>
      <c r="G150" s="35">
        <v>22.2</v>
      </c>
      <c r="H150" s="35">
        <v>11253</v>
      </c>
      <c r="I150" s="35">
        <f>49.43*($T$2)</f>
        <v>98.86</v>
      </c>
      <c r="J150" s="35">
        <f>1097.4*($T$2)</f>
        <v>2194.8000000000002</v>
      </c>
      <c r="K150" s="35">
        <f t="shared" si="11"/>
        <v>2.7310005467468561</v>
      </c>
      <c r="L150" s="35">
        <f t="shared" si="12"/>
        <v>2.7311349382965808</v>
      </c>
      <c r="M150" s="35">
        <f>9.353*($T$2)</f>
        <v>18.706</v>
      </c>
      <c r="N150" s="35">
        <v>93.7</v>
      </c>
      <c r="O150" s="35">
        <f t="shared" si="10"/>
        <v>0.85228722434845994</v>
      </c>
      <c r="P150" s="35">
        <f t="shared" si="13"/>
        <v>51.086096227446689</v>
      </c>
      <c r="Q150" s="35">
        <f>('Batt Capacity and Sys Weight'!$I$5) + (B150*$T$2)</f>
        <v>52.033753000000004</v>
      </c>
      <c r="R150" s="35">
        <f>'Batt Capacity and Sys Weight'!$H$5</f>
        <v>99.9</v>
      </c>
    </row>
    <row r="151" spans="1:18" x14ac:dyDescent="0.3">
      <c r="A151" s="35" t="s">
        <v>245</v>
      </c>
      <c r="B151" s="35">
        <v>13.97</v>
      </c>
      <c r="C151" s="35">
        <v>300</v>
      </c>
      <c r="D151" s="35" t="s">
        <v>5</v>
      </c>
      <c r="E151" s="36" t="str" cm="1">
        <f t="array" ref="E151">GetNumber(D151,1)</f>
        <v>16</v>
      </c>
      <c r="F151" s="36" t="str" cm="1">
        <f t="array" ref="F151">GetNumber(D151,2)</f>
        <v>12</v>
      </c>
      <c r="G151" s="35">
        <v>22.2</v>
      </c>
      <c r="H151" s="35">
        <v>5426</v>
      </c>
      <c r="I151" s="35">
        <f>31.51*($T$2)</f>
        <v>63.02</v>
      </c>
      <c r="J151" s="35">
        <f>699.5*($T$2)</f>
        <v>1399</v>
      </c>
      <c r="K151" s="35">
        <f t="shared" si="11"/>
        <v>4.2844889206576129</v>
      </c>
      <c r="L151" s="35">
        <f t="shared" si="12"/>
        <v>4.2843541732783237</v>
      </c>
      <c r="M151" s="35">
        <f>5.803*($T$2)</f>
        <v>11.606</v>
      </c>
      <c r="N151" s="35">
        <v>90.5</v>
      </c>
      <c r="O151" s="35">
        <f t="shared" si="10"/>
        <v>0.82959256611865617</v>
      </c>
      <c r="P151" s="35">
        <f t="shared" si="13"/>
        <v>49.725778413152256</v>
      </c>
      <c r="Q151" s="35">
        <f>('Batt Capacity and Sys Weight'!$I$5) + (B151*$T$2)</f>
        <v>59.513753000000001</v>
      </c>
      <c r="R151" s="35">
        <f>'Batt Capacity and Sys Weight'!$H$5</f>
        <v>99.9</v>
      </c>
    </row>
    <row r="152" spans="1:18" x14ac:dyDescent="0.3">
      <c r="A152" s="35" t="s">
        <v>245</v>
      </c>
      <c r="B152" s="35">
        <v>13.97</v>
      </c>
      <c r="C152" s="35">
        <v>300</v>
      </c>
      <c r="D152" s="35" t="s">
        <v>8</v>
      </c>
      <c r="E152" s="36" t="str" cm="1">
        <f t="array" ref="E152">GetNumber(D152,1)</f>
        <v>17</v>
      </c>
      <c r="F152" s="36" t="str" cm="1">
        <f t="array" ref="F152">GetNumber(D152,2)</f>
        <v>10</v>
      </c>
      <c r="G152" s="35">
        <v>22.2</v>
      </c>
      <c r="H152" s="35">
        <v>5474</v>
      </c>
      <c r="I152" s="35">
        <f>30.12*($T$2)</f>
        <v>60.24</v>
      </c>
      <c r="J152" s="35">
        <f>668.7*($T$2)</f>
        <v>1337.4</v>
      </c>
      <c r="K152" s="35">
        <f t="shared" si="11"/>
        <v>4.4818304172274566</v>
      </c>
      <c r="L152" s="35">
        <f t="shared" si="12"/>
        <v>4.4820717131474108</v>
      </c>
      <c r="M152" s="35">
        <f>7.704*($T$2)</f>
        <v>15.407999999999999</v>
      </c>
      <c r="N152" s="35">
        <v>76</v>
      </c>
      <c r="O152" s="35">
        <f t="shared" si="10"/>
        <v>1.1520861372812921</v>
      </c>
      <c r="P152" s="35">
        <f t="shared" si="13"/>
        <v>69.056043068640648</v>
      </c>
      <c r="Q152" s="35">
        <f>('Batt Capacity and Sys Weight'!$I$5) + (B152*$T$2)</f>
        <v>59.513753000000001</v>
      </c>
      <c r="R152" s="35">
        <f>'Batt Capacity and Sys Weight'!$H$5</f>
        <v>99.9</v>
      </c>
    </row>
    <row r="153" spans="1:18" x14ac:dyDescent="0.3">
      <c r="A153" s="35" t="s">
        <v>245</v>
      </c>
      <c r="B153" s="35">
        <v>13.97</v>
      </c>
      <c r="C153" s="35">
        <v>300</v>
      </c>
      <c r="D153" s="35" t="s">
        <v>9</v>
      </c>
      <c r="E153" s="36" t="str" cm="1">
        <f t="array" ref="E153">GetNumber(D153,1)</f>
        <v>17</v>
      </c>
      <c r="F153" s="36" t="str" cm="1">
        <f t="array" ref="F153">GetNumber(D153,2)</f>
        <v>12</v>
      </c>
      <c r="G153" s="35">
        <v>22.2</v>
      </c>
      <c r="H153" s="35">
        <v>5344</v>
      </c>
      <c r="I153" s="35">
        <f>33.84*($T$2)</f>
        <v>67.680000000000007</v>
      </c>
      <c r="J153" s="35">
        <f>751.2*($T$2)</f>
        <v>1502.4</v>
      </c>
      <c r="K153" s="35">
        <f t="shared" si="11"/>
        <v>3.98961661341853</v>
      </c>
      <c r="L153" s="35">
        <f t="shared" si="12"/>
        <v>3.9893617021276597</v>
      </c>
      <c r="M153" s="35">
        <f>7.552*($T$2)</f>
        <v>15.103999999999999</v>
      </c>
      <c r="N153" s="35">
        <v>89</v>
      </c>
      <c r="O153" s="35">
        <f t="shared" si="10"/>
        <v>1.0053248136315227</v>
      </c>
      <c r="P153" s="35">
        <f t="shared" si="13"/>
        <v>60.259169329073472</v>
      </c>
      <c r="Q153" s="35">
        <f>('Batt Capacity and Sys Weight'!$I$5) + (B153*$T$2)</f>
        <v>59.513753000000001</v>
      </c>
      <c r="R153" s="35">
        <f>'Batt Capacity and Sys Weight'!$H$5</f>
        <v>99.9</v>
      </c>
    </row>
    <row r="154" spans="1:18" x14ac:dyDescent="0.3">
      <c r="A154" s="35" t="s">
        <v>245</v>
      </c>
      <c r="B154" s="35">
        <v>13.97</v>
      </c>
      <c r="C154" s="35">
        <v>300</v>
      </c>
      <c r="D154" s="35" t="s">
        <v>10</v>
      </c>
      <c r="E154" s="36" t="str" cm="1">
        <f t="array" ref="E154">GetNumber(D154,1)</f>
        <v>18</v>
      </c>
      <c r="F154" s="36" t="str" cm="1">
        <f t="array" ref="F154">GetNumber(D154,2)</f>
        <v>8</v>
      </c>
      <c r="G154" s="35">
        <v>22.2</v>
      </c>
      <c r="H154" s="35">
        <v>5622</v>
      </c>
      <c r="I154" s="35">
        <f>25.98*($T$2)</f>
        <v>51.96</v>
      </c>
      <c r="J154" s="35">
        <f>576.8*($T$2)</f>
        <v>1153.5999999999999</v>
      </c>
      <c r="K154" s="35">
        <f t="shared" si="11"/>
        <v>5.1959084604715686</v>
      </c>
      <c r="L154" s="35">
        <f t="shared" si="12"/>
        <v>5.1963048498845268</v>
      </c>
      <c r="M154" s="35">
        <f>8.319*($T$2)</f>
        <v>16.638000000000002</v>
      </c>
      <c r="N154" s="35">
        <v>62.5</v>
      </c>
      <c r="O154" s="35">
        <f t="shared" si="10"/>
        <v>1.4422676837725383</v>
      </c>
      <c r="P154" s="35">
        <f t="shared" si="13"/>
        <v>86.449524965325963</v>
      </c>
      <c r="Q154" s="35">
        <f>('Batt Capacity and Sys Weight'!$I$5) + (B154*$T$2)</f>
        <v>59.513753000000001</v>
      </c>
      <c r="R154" s="35">
        <f>'Batt Capacity and Sys Weight'!$H$5</f>
        <v>99.9</v>
      </c>
    </row>
    <row r="155" spans="1:18" x14ac:dyDescent="0.3">
      <c r="A155" s="35" t="s">
        <v>245</v>
      </c>
      <c r="B155" s="35">
        <v>13.97</v>
      </c>
      <c r="C155" s="35">
        <v>300</v>
      </c>
      <c r="D155" s="35" t="s">
        <v>11</v>
      </c>
      <c r="E155" s="36" t="str" cm="1">
        <f t="array" ref="E155">GetNumber(D155,1)</f>
        <v>18</v>
      </c>
      <c r="F155" s="36" t="str" cm="1">
        <f t="array" ref="F155">GetNumber(D155,2)</f>
        <v>10</v>
      </c>
      <c r="G155" s="35">
        <v>22.2</v>
      </c>
      <c r="H155" s="35">
        <v>5459</v>
      </c>
      <c r="I155" s="35">
        <f>30.62*($T$2)</f>
        <v>61.24</v>
      </c>
      <c r="J155" s="35">
        <f>679.9*($T$2)</f>
        <v>1359.8</v>
      </c>
      <c r="K155" s="35">
        <f t="shared" si="11"/>
        <v>4.4080011766436238</v>
      </c>
      <c r="L155" s="35">
        <f t="shared" si="12"/>
        <v>4.4088830829523191</v>
      </c>
      <c r="M155" s="35">
        <f>8.824*($T$2)</f>
        <v>17.648</v>
      </c>
      <c r="N155" s="35">
        <v>75.8</v>
      </c>
      <c r="O155" s="35">
        <f t="shared" si="10"/>
        <v>1.2978379173407855</v>
      </c>
      <c r="P155" s="35">
        <f t="shared" si="13"/>
        <v>77.792404765406673</v>
      </c>
      <c r="Q155" s="35">
        <f>('Batt Capacity and Sys Weight'!$I$5) + (B155*$T$2)</f>
        <v>59.513753000000001</v>
      </c>
      <c r="R155" s="35">
        <f>'Batt Capacity and Sys Weight'!$H$5</f>
        <v>99.9</v>
      </c>
    </row>
    <row r="156" spans="1:18" x14ac:dyDescent="0.3">
      <c r="A156" s="35" t="s">
        <v>245</v>
      </c>
      <c r="B156" s="35">
        <v>13.97</v>
      </c>
      <c r="C156" s="35">
        <v>300</v>
      </c>
      <c r="D156" s="35" t="s">
        <v>13</v>
      </c>
      <c r="E156" s="36" t="str" cm="1">
        <f t="array" ref="E156">GetNumber(D156,1)</f>
        <v>19</v>
      </c>
      <c r="F156" s="36" t="str" cm="1">
        <f t="array" ref="F156">GetNumber(D156,2)</f>
        <v>8</v>
      </c>
      <c r="G156" s="35">
        <v>22.2</v>
      </c>
      <c r="H156" s="35">
        <v>5294</v>
      </c>
      <c r="I156" s="35">
        <f>35.28*($T$2)</f>
        <v>70.56</v>
      </c>
      <c r="J156" s="35">
        <f>783.3*($T$2)</f>
        <v>1566.6</v>
      </c>
      <c r="K156" s="35">
        <f t="shared" si="11"/>
        <v>3.8261202604366149</v>
      </c>
      <c r="L156" s="35">
        <f t="shared" si="12"/>
        <v>3.8265306122448979</v>
      </c>
      <c r="M156" s="35">
        <f>10.048*($T$2)</f>
        <v>20.096</v>
      </c>
      <c r="N156" s="35">
        <v>58.8</v>
      </c>
      <c r="O156" s="35">
        <f t="shared" si="10"/>
        <v>1.2827779905527894</v>
      </c>
      <c r="P156" s="35">
        <f t="shared" si="13"/>
        <v>76.889712753734216</v>
      </c>
      <c r="Q156" s="35">
        <f>('Batt Capacity and Sys Weight'!$I$5) + (B156*$T$2)</f>
        <v>59.513753000000001</v>
      </c>
      <c r="R156" s="35">
        <f>'Batt Capacity and Sys Weight'!$H$5</f>
        <v>99.9</v>
      </c>
    </row>
    <row r="157" spans="1:18" x14ac:dyDescent="0.3">
      <c r="A157" s="35" t="s">
        <v>245</v>
      </c>
      <c r="B157" s="35">
        <v>13.97</v>
      </c>
      <c r="C157" s="35">
        <v>300</v>
      </c>
      <c r="D157" s="35" t="s">
        <v>14</v>
      </c>
      <c r="E157" s="36" t="str" cm="1">
        <f t="array" ref="E157">GetNumber(D157,1)</f>
        <v>19</v>
      </c>
      <c r="F157" s="36" t="str" cm="1">
        <f t="array" ref="F157">GetNumber(D157,2)</f>
        <v>10</v>
      </c>
      <c r="G157" s="35">
        <v>22.2</v>
      </c>
      <c r="H157" s="35">
        <v>5317</v>
      </c>
      <c r="I157" s="35">
        <f>34.7*($T$2)</f>
        <v>69.400000000000006</v>
      </c>
      <c r="J157" s="35">
        <f>770.3*($T$2)</f>
        <v>1540.6</v>
      </c>
      <c r="K157" s="35">
        <f t="shared" si="11"/>
        <v>3.8906919382058942</v>
      </c>
      <c r="L157" s="35">
        <f t="shared" si="12"/>
        <v>3.8904899135446684</v>
      </c>
      <c r="M157" s="35">
        <f>10.092*($T$2)</f>
        <v>20.184000000000001</v>
      </c>
      <c r="N157" s="35">
        <v>73.900000000000006</v>
      </c>
      <c r="O157" s="35">
        <f t="shared" si="10"/>
        <v>1.3101389069193823</v>
      </c>
      <c r="P157" s="35">
        <f t="shared" si="13"/>
        <v>78.529726080747778</v>
      </c>
      <c r="Q157" s="35">
        <f>('Batt Capacity and Sys Weight'!$I$5) + (B157*$T$2)</f>
        <v>59.513753000000001</v>
      </c>
      <c r="R157" s="35">
        <f>'Batt Capacity and Sys Weight'!$H$5</f>
        <v>99.9</v>
      </c>
    </row>
    <row r="158" spans="1:18" x14ac:dyDescent="0.3">
      <c r="A158" s="35" t="s">
        <v>245</v>
      </c>
      <c r="B158" s="35">
        <v>13.97</v>
      </c>
      <c r="C158" s="35">
        <v>300</v>
      </c>
      <c r="D158" s="35" t="s">
        <v>109</v>
      </c>
      <c r="E158" s="36" t="str" cm="1">
        <f t="array" ref="E158">GetNumber(D158,1)</f>
        <v>19</v>
      </c>
      <c r="F158" s="36" t="str" cm="1">
        <f t="array" ref="F158">GetNumber(D158,2)</f>
        <v>12</v>
      </c>
      <c r="G158" s="35">
        <v>22.2</v>
      </c>
      <c r="H158" s="35">
        <v>5126</v>
      </c>
      <c r="I158" s="35">
        <f>40.42*($T$2)</f>
        <v>80.84</v>
      </c>
      <c r="J158" s="35">
        <f>897.3*($T$2)</f>
        <v>1794.6</v>
      </c>
      <c r="K158" s="35">
        <f t="shared" si="11"/>
        <v>3.3400200601805419</v>
      </c>
      <c r="L158" s="35">
        <f t="shared" si="12"/>
        <v>3.3399307273626917</v>
      </c>
      <c r="M158" s="35">
        <f>10.732*($T$2)</f>
        <v>21.463999999999999</v>
      </c>
      <c r="N158" s="35">
        <v>85.5</v>
      </c>
      <c r="O158" s="35">
        <f t="shared" si="10"/>
        <v>1.1960325420706563</v>
      </c>
      <c r="P158" s="35">
        <f t="shared" si="13"/>
        <v>71.690190571715149</v>
      </c>
      <c r="Q158" s="35">
        <f>('Batt Capacity and Sys Weight'!$I$5) + (B158*$T$2)</f>
        <v>59.513753000000001</v>
      </c>
      <c r="R158" s="35">
        <f>'Batt Capacity and Sys Weight'!$H$5</f>
        <v>99.9</v>
      </c>
    </row>
    <row r="159" spans="1:18" x14ac:dyDescent="0.3">
      <c r="A159" s="35" t="s">
        <v>245</v>
      </c>
      <c r="B159" s="35">
        <v>13.97</v>
      </c>
      <c r="C159" s="35">
        <v>300</v>
      </c>
      <c r="D159" s="35" t="s">
        <v>15</v>
      </c>
      <c r="E159" s="36" t="str" cm="1">
        <f t="array" ref="E159">GetNumber(D159,1)</f>
        <v>20</v>
      </c>
      <c r="F159" s="36" t="str" cm="1">
        <f t="array" ref="F159">GetNumber(D159,2)</f>
        <v>8</v>
      </c>
      <c r="G159" s="35">
        <v>22.2</v>
      </c>
      <c r="H159" s="35">
        <v>5228</v>
      </c>
      <c r="I159" s="35">
        <f>37.37*($T$2)</f>
        <v>74.739999999999995</v>
      </c>
      <c r="J159" s="35">
        <f>829.5*($T$2)</f>
        <v>1659</v>
      </c>
      <c r="K159" s="35">
        <f t="shared" si="11"/>
        <v>3.6130198915009046</v>
      </c>
      <c r="L159" s="35">
        <f t="shared" si="12"/>
        <v>3.6125234145036127</v>
      </c>
      <c r="M159" s="35">
        <f>11.129*($T$2)</f>
        <v>22.257999999999999</v>
      </c>
      <c r="N159" s="35">
        <v>58.1</v>
      </c>
      <c r="O159" s="35">
        <f t="shared" si="10"/>
        <v>1.3416515973477998</v>
      </c>
      <c r="P159" s="35">
        <f t="shared" si="13"/>
        <v>80.418596745027131</v>
      </c>
      <c r="Q159" s="35">
        <f>('Batt Capacity and Sys Weight'!$I$5) + (B159*$T$2)</f>
        <v>59.513753000000001</v>
      </c>
      <c r="R159" s="35">
        <f>'Batt Capacity and Sys Weight'!$H$5</f>
        <v>99.9</v>
      </c>
    </row>
    <row r="160" spans="1:18" x14ac:dyDescent="0.3">
      <c r="A160" s="35" t="s">
        <v>245</v>
      </c>
      <c r="B160" s="35">
        <v>13.97</v>
      </c>
      <c r="C160" s="35">
        <v>300</v>
      </c>
      <c r="D160" s="35" t="s">
        <v>114</v>
      </c>
      <c r="E160" s="36" t="str" cm="1">
        <f t="array" ref="E160">GetNumber(D160,1)</f>
        <v>20</v>
      </c>
      <c r="F160" s="36" t="str" cm="1">
        <f t="array" ref="F160">GetNumber(D160,2)</f>
        <v>10</v>
      </c>
      <c r="G160" s="35">
        <v>22.2</v>
      </c>
      <c r="H160" s="35">
        <v>5021</v>
      </c>
      <c r="I160" s="35">
        <f>41.52*($T$2)</f>
        <v>83.04</v>
      </c>
      <c r="J160" s="35">
        <f>921.7*($T$2)</f>
        <v>1843.4</v>
      </c>
      <c r="K160" s="35">
        <f t="shared" si="11"/>
        <v>3.2516003037864816</v>
      </c>
      <c r="L160" s="35">
        <f t="shared" si="12"/>
        <v>3.251445086705202</v>
      </c>
      <c r="M160" s="35">
        <f>11.528*($T$2)</f>
        <v>23.056000000000001</v>
      </c>
      <c r="N160" s="35">
        <v>69.7</v>
      </c>
      <c r="O160" s="35">
        <f t="shared" si="10"/>
        <v>1.2507323424107626</v>
      </c>
      <c r="P160" s="35">
        <f t="shared" si="13"/>
        <v>74.968896604101118</v>
      </c>
      <c r="Q160" s="35">
        <f>('Batt Capacity and Sys Weight'!$I$5) + (B160*$T$2)</f>
        <v>59.513753000000001</v>
      </c>
      <c r="R160" s="35">
        <f>'Batt Capacity and Sys Weight'!$H$5</f>
        <v>99.9</v>
      </c>
    </row>
    <row r="161" spans="1:18" x14ac:dyDescent="0.3">
      <c r="A161" s="35" t="s">
        <v>245</v>
      </c>
      <c r="B161" s="35">
        <v>13.97</v>
      </c>
      <c r="C161" s="35">
        <v>300</v>
      </c>
      <c r="D161" s="35" t="s">
        <v>30</v>
      </c>
      <c r="E161" s="36" t="str" cm="1">
        <f t="array" ref="E161">GetNumber(D161,1)</f>
        <v>16</v>
      </c>
      <c r="F161" s="36" t="str" cm="1">
        <f t="array" ref="F161">GetNumber(D161,2)</f>
        <v>10</v>
      </c>
      <c r="G161" s="35">
        <v>22.2</v>
      </c>
      <c r="H161" s="35">
        <v>5415</v>
      </c>
      <c r="I161" s="35">
        <f>29.07*($T$2)</f>
        <v>58.14</v>
      </c>
      <c r="J161" s="35">
        <f>645.2*($T$2)</f>
        <v>1290.4000000000001</v>
      </c>
      <c r="K161" s="35">
        <f t="shared" si="11"/>
        <v>4.6450712957222562</v>
      </c>
      <c r="L161" s="35">
        <f t="shared" si="12"/>
        <v>4.643962848297214</v>
      </c>
      <c r="M161" s="35">
        <f>8.257*($T$2)</f>
        <v>16.513999999999999</v>
      </c>
      <c r="N161" s="35">
        <v>75.2</v>
      </c>
      <c r="O161" s="35">
        <f t="shared" si="10"/>
        <v>1.2797582145071293</v>
      </c>
      <c r="P161" s="35">
        <f t="shared" si="13"/>
        <v>76.708707377557332</v>
      </c>
      <c r="Q161" s="35">
        <f>('Batt Capacity and Sys Weight'!$I$5) + (B161*$T$2)</f>
        <v>59.513753000000001</v>
      </c>
      <c r="R161" s="35">
        <f>'Batt Capacity and Sys Weight'!$H$5</f>
        <v>99.9</v>
      </c>
    </row>
    <row r="162" spans="1:18" x14ac:dyDescent="0.3">
      <c r="A162" s="35" t="s">
        <v>245</v>
      </c>
      <c r="B162" s="35">
        <v>13.97</v>
      </c>
      <c r="C162" s="35">
        <v>300</v>
      </c>
      <c r="D162" s="35" t="s">
        <v>42</v>
      </c>
      <c r="E162" s="36" t="str" cm="1">
        <f t="array" ref="E162">GetNumber(D162,1)</f>
        <v>14</v>
      </c>
      <c r="F162" s="36" t="str" cm="1">
        <f t="array" ref="F162">GetNumber(D162,2)</f>
        <v>12</v>
      </c>
      <c r="G162" s="35">
        <v>29.6</v>
      </c>
      <c r="H162" s="35">
        <v>7318</v>
      </c>
      <c r="I162" s="35">
        <f>32.49*($T$2)</f>
        <v>64.98</v>
      </c>
      <c r="J162" s="35">
        <f>961.6*($T$2)</f>
        <v>1923.2</v>
      </c>
      <c r="K162" s="35">
        <f t="shared" si="11"/>
        <v>3.1198003327787021</v>
      </c>
      <c r="L162" s="35">
        <f t="shared" si="12"/>
        <v>3.1194629532579667</v>
      </c>
      <c r="M162" s="35">
        <f>6.669*($T$2)</f>
        <v>13.337999999999999</v>
      </c>
      <c r="N162" s="35">
        <v>122</v>
      </c>
      <c r="O162" s="35">
        <f t="shared" si="10"/>
        <v>0.69353161397670537</v>
      </c>
      <c r="P162" s="35">
        <f t="shared" si="13"/>
        <v>41.611896838602327</v>
      </c>
      <c r="Q162" s="35">
        <v>0</v>
      </c>
      <c r="R162" s="35">
        <f t="shared" ref="R162:R181" si="14">$T$1</f>
        <v>100</v>
      </c>
    </row>
    <row r="163" spans="1:18" x14ac:dyDescent="0.3">
      <c r="A163" s="35" t="s">
        <v>245</v>
      </c>
      <c r="B163" s="35">
        <v>13.97</v>
      </c>
      <c r="C163" s="35">
        <v>300</v>
      </c>
      <c r="D163" s="35" t="s">
        <v>1</v>
      </c>
      <c r="E163" s="36" t="str" cm="1">
        <f t="array" ref="E163">GetNumber(D163,1)</f>
        <v>15</v>
      </c>
      <c r="F163" s="36" t="str" cm="1">
        <f t="array" ref="F163">GetNumber(D163,2)</f>
        <v>10</v>
      </c>
      <c r="G163" s="35">
        <v>29.6</v>
      </c>
      <c r="H163" s="35">
        <v>7131</v>
      </c>
      <c r="I163" s="35">
        <f>34.79*($T$2)</f>
        <v>69.58</v>
      </c>
      <c r="J163" s="35">
        <f>1029.7*($T$2)</f>
        <v>2059.4</v>
      </c>
      <c r="K163" s="35">
        <f t="shared" si="11"/>
        <v>2.9134699427017576</v>
      </c>
      <c r="L163" s="35">
        <f t="shared" si="12"/>
        <v>2.9132322894898346</v>
      </c>
      <c r="M163" s="35">
        <f>8.663*($T$2)</f>
        <v>17.326000000000001</v>
      </c>
      <c r="N163" s="35">
        <v>99</v>
      </c>
      <c r="O163" s="35">
        <f t="shared" si="10"/>
        <v>0.84131300378751084</v>
      </c>
      <c r="P163" s="35">
        <f t="shared" si="13"/>
        <v>50.478780227250653</v>
      </c>
      <c r="Q163" s="35">
        <v>0</v>
      </c>
      <c r="R163" s="35">
        <f t="shared" si="14"/>
        <v>100</v>
      </c>
    </row>
    <row r="164" spans="1:18" x14ac:dyDescent="0.3">
      <c r="A164" s="35" t="s">
        <v>245</v>
      </c>
      <c r="B164" s="35">
        <v>13.97</v>
      </c>
      <c r="C164" s="35">
        <v>300</v>
      </c>
      <c r="D164" s="35" t="s">
        <v>3</v>
      </c>
      <c r="E164" s="36" t="str" cm="1">
        <f t="array" ref="E164">GetNumber(D164,1)</f>
        <v>16</v>
      </c>
      <c r="F164" s="36" t="str" cm="1">
        <f t="array" ref="F164">GetNumber(D164,2)</f>
        <v>8</v>
      </c>
      <c r="G164" s="35">
        <v>29.6</v>
      </c>
      <c r="H164" s="35">
        <v>7084</v>
      </c>
      <c r="I164" s="35">
        <f>38.61*($T$2)</f>
        <v>77.22</v>
      </c>
      <c r="J164" s="35">
        <f>1142.9*($T$2)</f>
        <v>2285.8000000000002</v>
      </c>
      <c r="K164" s="35">
        <f t="shared" si="11"/>
        <v>2.6249015661912676</v>
      </c>
      <c r="L164" s="35">
        <f t="shared" si="12"/>
        <v>2.6250026250026246</v>
      </c>
      <c r="M164" s="35">
        <f>10.218*($T$2)</f>
        <v>20.436</v>
      </c>
      <c r="N164" s="35">
        <v>78.8</v>
      </c>
      <c r="O164" s="35">
        <f t="shared" si="10"/>
        <v>0.89404147344474572</v>
      </c>
      <c r="P164" s="35">
        <f t="shared" si="13"/>
        <v>53.642488406684741</v>
      </c>
      <c r="Q164" s="35">
        <v>0</v>
      </c>
      <c r="R164" s="35">
        <f t="shared" si="14"/>
        <v>100</v>
      </c>
    </row>
    <row r="165" spans="1:18" x14ac:dyDescent="0.3">
      <c r="A165" s="35" t="s">
        <v>245</v>
      </c>
      <c r="B165" s="35">
        <v>13.97</v>
      </c>
      <c r="C165" s="35">
        <v>300</v>
      </c>
      <c r="D165" s="35" t="s">
        <v>7</v>
      </c>
      <c r="E165" s="36" t="str" cm="1">
        <f t="array" ref="E165">GetNumber(D165,1)</f>
        <v>17</v>
      </c>
      <c r="F165" s="36" t="str" cm="1">
        <f t="array" ref="F165">GetNumber(D165,2)</f>
        <v>8</v>
      </c>
      <c r="G165" s="35">
        <v>29.6</v>
      </c>
      <c r="H165" s="35">
        <v>6994</v>
      </c>
      <c r="I165" s="35">
        <f>40.91*($T$2)</f>
        <v>81.819999999999993</v>
      </c>
      <c r="J165" s="35">
        <f>1210.9*($T$2)</f>
        <v>2421.8000000000002</v>
      </c>
      <c r="K165" s="35">
        <f t="shared" si="11"/>
        <v>2.4774960772978774</v>
      </c>
      <c r="L165" s="35">
        <f t="shared" si="12"/>
        <v>2.4774224236458409</v>
      </c>
      <c r="M165" s="35">
        <f>11.83*($T$2)</f>
        <v>23.66</v>
      </c>
      <c r="N165" s="35">
        <v>77.7</v>
      </c>
      <c r="O165" s="35">
        <f t="shared" si="10"/>
        <v>0.97695928648112962</v>
      </c>
      <c r="P165" s="35">
        <f t="shared" si="13"/>
        <v>58.617557188867778</v>
      </c>
      <c r="Q165" s="35">
        <v>0</v>
      </c>
      <c r="R165" s="35">
        <f t="shared" si="14"/>
        <v>100</v>
      </c>
    </row>
    <row r="166" spans="1:18" x14ac:dyDescent="0.3">
      <c r="A166" s="35" t="s">
        <v>245</v>
      </c>
      <c r="B166" s="35">
        <v>13.97</v>
      </c>
      <c r="C166" s="35">
        <v>300</v>
      </c>
      <c r="D166" s="35" t="s">
        <v>27</v>
      </c>
      <c r="E166" s="36" t="str" cm="1">
        <f t="array" ref="E166">GetNumber(D166,1)</f>
        <v>14</v>
      </c>
      <c r="F166" s="36" t="str" cm="1">
        <f t="array" ref="F166">GetNumber(D166,2)</f>
        <v>9</v>
      </c>
      <c r="G166" s="35">
        <v>29.6</v>
      </c>
      <c r="H166" s="35">
        <v>7366</v>
      </c>
      <c r="I166" s="35">
        <f>29.21*($T$2)</f>
        <v>58.42</v>
      </c>
      <c r="J166" s="35">
        <f>864.7*($T$2)</f>
        <v>1729.4</v>
      </c>
      <c r="K166" s="35">
        <f t="shared" si="11"/>
        <v>3.4694113565398399</v>
      </c>
      <c r="L166" s="35">
        <f t="shared" si="12"/>
        <v>3.4697484201078854</v>
      </c>
      <c r="M166" s="35">
        <f>9.382*($T$2)</f>
        <v>18.763999999999999</v>
      </c>
      <c r="N166" s="35">
        <v>92.1</v>
      </c>
      <c r="O166" s="35">
        <f t="shared" si="10"/>
        <v>1.0850005782352261</v>
      </c>
      <c r="P166" s="35">
        <f t="shared" si="13"/>
        <v>65.10003469411356</v>
      </c>
      <c r="Q166" s="35">
        <v>0</v>
      </c>
      <c r="R166" s="35">
        <f t="shared" si="14"/>
        <v>100</v>
      </c>
    </row>
    <row r="167" spans="1:18" x14ac:dyDescent="0.3">
      <c r="A167" s="35" t="s">
        <v>245</v>
      </c>
      <c r="B167" s="35">
        <v>13.97</v>
      </c>
      <c r="C167" s="35">
        <v>300</v>
      </c>
      <c r="D167" s="35" t="s">
        <v>28</v>
      </c>
      <c r="E167" s="36" t="str" cm="1">
        <f t="array" ref="E167">GetNumber(D167,1)</f>
        <v>15</v>
      </c>
      <c r="F167" s="36" t="str" cm="1">
        <f t="array" ref="F167">GetNumber(D167,2)</f>
        <v>7</v>
      </c>
      <c r="G167" s="35">
        <v>29.6</v>
      </c>
      <c r="H167" s="35">
        <v>7315</v>
      </c>
      <c r="I167" s="35">
        <f>30.33*($T$2)</f>
        <v>60.66</v>
      </c>
      <c r="J167" s="35">
        <f>897.7*($T$2)</f>
        <v>1795.4</v>
      </c>
      <c r="K167" s="35">
        <f t="shared" si="11"/>
        <v>3.3418736771750024</v>
      </c>
      <c r="L167" s="35">
        <f t="shared" si="12"/>
        <v>3.3416205523030449</v>
      </c>
      <c r="M167" s="35">
        <f>10*($T$2)</f>
        <v>20</v>
      </c>
      <c r="N167" s="35">
        <v>71.099999999999994</v>
      </c>
      <c r="O167" s="35">
        <f t="shared" si="10"/>
        <v>1.1139578923916675</v>
      </c>
      <c r="P167" s="35">
        <f t="shared" si="13"/>
        <v>66.837473543500053</v>
      </c>
      <c r="Q167" s="35">
        <v>0</v>
      </c>
      <c r="R167" s="35">
        <f t="shared" si="14"/>
        <v>100</v>
      </c>
    </row>
    <row r="168" spans="1:18" x14ac:dyDescent="0.3">
      <c r="A168" s="35" t="s">
        <v>245</v>
      </c>
      <c r="B168" s="35">
        <v>13.97</v>
      </c>
      <c r="C168" s="35">
        <v>300</v>
      </c>
      <c r="D168" s="35" t="s">
        <v>29</v>
      </c>
      <c r="E168" s="36" t="str" cm="1">
        <f t="array" ref="E168">GetNumber(D168,1)</f>
        <v>16</v>
      </c>
      <c r="F168" s="36" t="str" cm="1">
        <f t="array" ref="F168">GetNumber(D168,2)</f>
        <v>8</v>
      </c>
      <c r="G168" s="35">
        <v>29.6</v>
      </c>
      <c r="H168" s="35">
        <v>7203</v>
      </c>
      <c r="I168" s="35">
        <f>35.91*($T$2)</f>
        <v>71.819999999999993</v>
      </c>
      <c r="J168" s="35">
        <f>1063*($T$2)</f>
        <v>2126</v>
      </c>
      <c r="K168" s="35">
        <f t="shared" si="11"/>
        <v>2.8222013170272811</v>
      </c>
      <c r="L168" s="35">
        <f t="shared" si="12"/>
        <v>2.8223712434238748</v>
      </c>
      <c r="M168" s="35">
        <f>11.495*($T$2)</f>
        <v>22.99</v>
      </c>
      <c r="N168" s="35">
        <v>80.099999999999994</v>
      </c>
      <c r="O168" s="35">
        <f t="shared" si="10"/>
        <v>1.08137347130762</v>
      </c>
      <c r="P168" s="35">
        <f t="shared" si="13"/>
        <v>64.882408278457191</v>
      </c>
      <c r="Q168" s="35">
        <v>0</v>
      </c>
      <c r="R168" s="35">
        <f t="shared" si="14"/>
        <v>100</v>
      </c>
    </row>
    <row r="169" spans="1:18" x14ac:dyDescent="0.3">
      <c r="A169" s="35" t="s">
        <v>245</v>
      </c>
      <c r="B169" s="35">
        <v>13.97</v>
      </c>
      <c r="C169" s="35">
        <v>300</v>
      </c>
      <c r="D169" s="35" t="s">
        <v>33</v>
      </c>
      <c r="E169" s="36" t="str" cm="1">
        <f t="array" ref="E169">GetNumber(D169,1)</f>
        <v>12</v>
      </c>
      <c r="F169" s="36" t="str" cm="1">
        <f t="array" ref="F169">GetNumber(D169,2)</f>
        <v>10</v>
      </c>
      <c r="G169" s="35">
        <v>37</v>
      </c>
      <c r="H169" s="35">
        <v>9472</v>
      </c>
      <c r="I169" s="35">
        <f>28.64*($T$2)</f>
        <v>57.28</v>
      </c>
      <c r="J169" s="35">
        <f>1059.8*($T$2)</f>
        <v>2119.6</v>
      </c>
      <c r="K169" s="35">
        <f t="shared" si="11"/>
        <v>2.8307227778826194</v>
      </c>
      <c r="L169" s="35">
        <f t="shared" si="12"/>
        <v>2.8310433338366301</v>
      </c>
      <c r="M169" s="35">
        <f>6.793*($T$2)</f>
        <v>13.586</v>
      </c>
      <c r="N169" s="35">
        <v>131.6</v>
      </c>
      <c r="O169" s="35">
        <f t="shared" si="10"/>
        <v>0.64096999433855451</v>
      </c>
      <c r="P169" s="35">
        <f t="shared" si="13"/>
        <v>38.458199660313269</v>
      </c>
      <c r="Q169" s="35">
        <v>0</v>
      </c>
      <c r="R169" s="35">
        <f t="shared" si="14"/>
        <v>100</v>
      </c>
    </row>
    <row r="170" spans="1:18" x14ac:dyDescent="0.3">
      <c r="A170" s="35" t="s">
        <v>245</v>
      </c>
      <c r="B170" s="35">
        <v>13.97</v>
      </c>
      <c r="C170" s="35">
        <v>300</v>
      </c>
      <c r="D170" s="35" t="s">
        <v>35</v>
      </c>
      <c r="E170" s="36" t="str" cm="1">
        <f t="array" ref="E170">GetNumber(D170,1)</f>
        <v>13</v>
      </c>
      <c r="F170" s="36" cm="1">
        <f t="array" ref="F170">GetNumber(D170,2)+(GetNumber(D170,3)/10)</f>
        <v>6.5</v>
      </c>
      <c r="G170" s="35">
        <v>37</v>
      </c>
      <c r="H170" s="35">
        <v>9590</v>
      </c>
      <c r="I170" s="35">
        <f>26.34*($T$2)</f>
        <v>52.68</v>
      </c>
      <c r="J170" s="35">
        <f>974.4*($T$2)</f>
        <v>1948.8</v>
      </c>
      <c r="K170" s="35">
        <f t="shared" si="11"/>
        <v>3.0788177339901477</v>
      </c>
      <c r="L170" s="35">
        <f t="shared" si="12"/>
        <v>3.0782490919165175</v>
      </c>
      <c r="M170" s="35">
        <f>8.65*($T$2)</f>
        <v>17.3</v>
      </c>
      <c r="N170" s="35">
        <v>86.5</v>
      </c>
      <c r="O170" s="35">
        <f t="shared" si="10"/>
        <v>0.8877257799671594</v>
      </c>
      <c r="P170" s="35">
        <f t="shared" si="13"/>
        <v>53.263546798029559</v>
      </c>
      <c r="Q170" s="35">
        <v>0</v>
      </c>
      <c r="R170" s="35">
        <f t="shared" si="14"/>
        <v>100</v>
      </c>
    </row>
    <row r="171" spans="1:18" x14ac:dyDescent="0.3">
      <c r="A171" s="35" t="s">
        <v>245</v>
      </c>
      <c r="B171" s="35">
        <v>13.97</v>
      </c>
      <c r="C171" s="35">
        <v>300</v>
      </c>
      <c r="D171" s="35" t="s">
        <v>36</v>
      </c>
      <c r="E171" s="36" t="str" cm="1">
        <f t="array" ref="E171">GetNumber(D171,1)</f>
        <v>13</v>
      </c>
      <c r="F171" s="36" t="str" cm="1">
        <f t="array" ref="F171">GetNumber(D171,2)</f>
        <v>8</v>
      </c>
      <c r="G171" s="35">
        <v>37</v>
      </c>
      <c r="H171" s="35">
        <v>9477</v>
      </c>
      <c r="I171" s="35">
        <f>28.65*($T$2)</f>
        <v>57.3</v>
      </c>
      <c r="J171" s="35">
        <f>1060*($T$2)</f>
        <v>2120</v>
      </c>
      <c r="K171" s="35">
        <f t="shared" si="11"/>
        <v>2.8301886792452833</v>
      </c>
      <c r="L171" s="35">
        <f t="shared" si="12"/>
        <v>2.8300551860761285</v>
      </c>
      <c r="M171" s="35">
        <f>8.533*($T$2)</f>
        <v>17.065999999999999</v>
      </c>
      <c r="N171" s="35">
        <v>105.3</v>
      </c>
      <c r="O171" s="35">
        <f t="shared" si="10"/>
        <v>0.80499999999999994</v>
      </c>
      <c r="P171" s="35">
        <f t="shared" si="13"/>
        <v>48.300000000000004</v>
      </c>
      <c r="Q171" s="35">
        <v>0</v>
      </c>
      <c r="R171" s="35">
        <f t="shared" si="14"/>
        <v>100</v>
      </c>
    </row>
    <row r="172" spans="1:18" x14ac:dyDescent="0.3">
      <c r="A172" s="35" t="s">
        <v>245</v>
      </c>
      <c r="B172" s="35">
        <v>13.97</v>
      </c>
      <c r="C172" s="35">
        <v>300</v>
      </c>
      <c r="D172" s="35" t="s">
        <v>37</v>
      </c>
      <c r="E172" s="36" t="str" cm="1">
        <f t="array" ref="E172">GetNumber(D172,1)</f>
        <v>13</v>
      </c>
      <c r="F172" s="36" t="str" cm="1">
        <f t="array" ref="F172">GetNumber(D172,2)</f>
        <v>10</v>
      </c>
      <c r="G172" s="35">
        <v>37</v>
      </c>
      <c r="H172" s="35">
        <v>8999</v>
      </c>
      <c r="I172" s="35">
        <f>38.52*($T$2)</f>
        <v>77.040000000000006</v>
      </c>
      <c r="J172" s="35">
        <f>1425.3*($T$2)</f>
        <v>2850.6</v>
      </c>
      <c r="K172" s="35">
        <f t="shared" si="11"/>
        <v>2.1048200378867605</v>
      </c>
      <c r="L172" s="35">
        <f t="shared" si="12"/>
        <v>2.1049086469647218</v>
      </c>
      <c r="M172" s="35">
        <f>8.096*($T$2)</f>
        <v>16.192</v>
      </c>
      <c r="N172" s="35">
        <v>125</v>
      </c>
      <c r="O172" s="35">
        <f t="shared" si="10"/>
        <v>0.56802076755770714</v>
      </c>
      <c r="P172" s="35">
        <f t="shared" si="13"/>
        <v>34.081246053462429</v>
      </c>
      <c r="Q172" s="35">
        <v>0</v>
      </c>
      <c r="R172" s="35">
        <f t="shared" si="14"/>
        <v>100</v>
      </c>
    </row>
    <row r="173" spans="1:18" x14ac:dyDescent="0.3">
      <c r="A173" s="35" t="s">
        <v>245</v>
      </c>
      <c r="B173" s="35">
        <v>13.97</v>
      </c>
      <c r="C173" s="35">
        <v>300</v>
      </c>
      <c r="D173" s="35" t="s">
        <v>39</v>
      </c>
      <c r="E173" s="36" t="str" cm="1">
        <f t="array" ref="E173">GetNumber(D173,1)</f>
        <v>14</v>
      </c>
      <c r="F173" s="36" t="str" cm="1">
        <f t="array" ref="F173">GetNumber(D173,2)</f>
        <v>7</v>
      </c>
      <c r="G173" s="35">
        <v>37</v>
      </c>
      <c r="H173" s="35">
        <v>9134</v>
      </c>
      <c r="I173" s="35">
        <f>33.09*($T$2)</f>
        <v>66.180000000000007</v>
      </c>
      <c r="J173" s="35">
        <f>1224.3*($T$2)</f>
        <v>2448.6</v>
      </c>
      <c r="K173" s="35">
        <f t="shared" si="11"/>
        <v>2.450379808870375</v>
      </c>
      <c r="L173" s="35">
        <f t="shared" si="12"/>
        <v>2.450319766729558</v>
      </c>
      <c r="M173" s="35">
        <f>10.053*($T$2)</f>
        <v>20.106000000000002</v>
      </c>
      <c r="N173" s="35">
        <v>88.7</v>
      </c>
      <c r="O173" s="35">
        <f t="shared" si="10"/>
        <v>0.82112227395246284</v>
      </c>
      <c r="P173" s="35">
        <f t="shared" si="13"/>
        <v>49.267336437147762</v>
      </c>
      <c r="Q173" s="35">
        <v>0</v>
      </c>
      <c r="R173" s="35">
        <f t="shared" si="14"/>
        <v>100</v>
      </c>
    </row>
    <row r="174" spans="1:18" x14ac:dyDescent="0.3">
      <c r="A174" s="35" t="s">
        <v>245</v>
      </c>
      <c r="B174" s="35">
        <v>13.97</v>
      </c>
      <c r="C174" s="35">
        <v>300</v>
      </c>
      <c r="D174" s="35" t="s">
        <v>40</v>
      </c>
      <c r="E174" s="36" t="str" cm="1">
        <f t="array" ref="E174">GetNumber(D174,1)</f>
        <v>14</v>
      </c>
      <c r="F174" s="36" cm="1">
        <f t="array" ref="F174">GetNumber(D174,2)+(GetNumber(D174,3)/10)</f>
        <v>8.5</v>
      </c>
      <c r="G174" s="35">
        <v>37</v>
      </c>
      <c r="H174" s="35">
        <v>9158</v>
      </c>
      <c r="I174" s="35">
        <f>35.1*($T$2)</f>
        <v>70.2</v>
      </c>
      <c r="J174" s="35">
        <f>1298.6*($T$2)</f>
        <v>2597.1999999999998</v>
      </c>
      <c r="K174" s="35">
        <f t="shared" si="11"/>
        <v>2.3101801940551363</v>
      </c>
      <c r="L174" s="35">
        <f t="shared" si="12"/>
        <v>2.3100023100023099</v>
      </c>
      <c r="M174" s="35">
        <f>10.125*($T$2)</f>
        <v>20.25</v>
      </c>
      <c r="N174" s="35">
        <v>108.1</v>
      </c>
      <c r="O174" s="35">
        <f t="shared" si="10"/>
        <v>0.7796858154936086</v>
      </c>
      <c r="P174" s="35">
        <f t="shared" si="13"/>
        <v>46.781148929616513</v>
      </c>
      <c r="Q174" s="35">
        <v>0</v>
      </c>
      <c r="R174" s="35">
        <f t="shared" si="14"/>
        <v>100</v>
      </c>
    </row>
    <row r="175" spans="1:18" x14ac:dyDescent="0.3">
      <c r="A175" s="35" t="s">
        <v>245</v>
      </c>
      <c r="B175" s="35">
        <v>13.97</v>
      </c>
      <c r="C175" s="35">
        <v>300</v>
      </c>
      <c r="D175" s="35" t="s">
        <v>41</v>
      </c>
      <c r="E175" s="36" t="str" cm="1">
        <f t="array" ref="E175">GetNumber(D175,1)</f>
        <v>14</v>
      </c>
      <c r="F175" s="36" t="str" cm="1">
        <f t="array" ref="F175">GetNumber(D175,2)</f>
        <v>10</v>
      </c>
      <c r="G175" s="35">
        <v>37</v>
      </c>
      <c r="H175" s="35">
        <v>9211</v>
      </c>
      <c r="I175" s="35">
        <f>34.63*($T$2)</f>
        <v>69.260000000000005</v>
      </c>
      <c r="J175" s="35">
        <f>1281.3*($T$2)</f>
        <v>2562.6</v>
      </c>
      <c r="K175" s="35">
        <f t="shared" si="11"/>
        <v>2.3413720440177945</v>
      </c>
      <c r="L175" s="35">
        <f t="shared" si="12"/>
        <v>2.3413537707502474</v>
      </c>
      <c r="M175" s="35">
        <f>9.852*($T$2)</f>
        <v>19.704000000000001</v>
      </c>
      <c r="N175" s="35">
        <v>127.9</v>
      </c>
      <c r="O175" s="35">
        <f t="shared" si="10"/>
        <v>0.7689065792554437</v>
      </c>
      <c r="P175" s="35">
        <f t="shared" si="13"/>
        <v>46.134394755326625</v>
      </c>
      <c r="Q175" s="35">
        <v>0</v>
      </c>
      <c r="R175" s="35">
        <f t="shared" si="14"/>
        <v>100</v>
      </c>
    </row>
    <row r="176" spans="1:18" x14ac:dyDescent="0.3">
      <c r="A176" s="35" t="s">
        <v>245</v>
      </c>
      <c r="B176" s="35">
        <v>13.97</v>
      </c>
      <c r="C176" s="35">
        <v>300</v>
      </c>
      <c r="D176" s="35" t="s">
        <v>60</v>
      </c>
      <c r="E176" s="36" t="str" cm="1">
        <f t="array" ref="E176">GetNumber(D176,1)</f>
        <v>15</v>
      </c>
      <c r="F176" s="36" t="str" cm="1">
        <f t="array" ref="F176">GetNumber(D176,2)</f>
        <v>4</v>
      </c>
      <c r="G176" s="35">
        <v>37</v>
      </c>
      <c r="H176" s="35">
        <v>9594</v>
      </c>
      <c r="I176" s="35">
        <f>26.28*($T$2)</f>
        <v>52.56</v>
      </c>
      <c r="J176" s="35">
        <f>972.5*($T$2)</f>
        <v>1945</v>
      </c>
      <c r="K176" s="35">
        <f t="shared" si="11"/>
        <v>3.084832904884319</v>
      </c>
      <c r="L176" s="35">
        <f t="shared" si="12"/>
        <v>3.0852770578797974</v>
      </c>
      <c r="M176" s="35">
        <f>10.657*($T$2)</f>
        <v>21.314</v>
      </c>
      <c r="N176" s="35">
        <v>53.2</v>
      </c>
      <c r="O176" s="35">
        <f t="shared" si="10"/>
        <v>1.0958354755784061</v>
      </c>
      <c r="P176" s="35">
        <f t="shared" si="13"/>
        <v>65.750128534704373</v>
      </c>
      <c r="Q176" s="35">
        <v>0</v>
      </c>
      <c r="R176" s="35">
        <f t="shared" si="14"/>
        <v>100</v>
      </c>
    </row>
    <row r="177" spans="1:18" x14ac:dyDescent="0.3">
      <c r="A177" s="35" t="s">
        <v>245</v>
      </c>
      <c r="B177" s="35">
        <v>13.97</v>
      </c>
      <c r="C177" s="35">
        <v>300</v>
      </c>
      <c r="D177" s="35" t="s">
        <v>43</v>
      </c>
      <c r="E177" s="36" t="str" cm="1">
        <f t="array" ref="E177">GetNumber(D177,1)</f>
        <v>15</v>
      </c>
      <c r="F177" s="36" t="str" cm="1">
        <f t="array" ref="F177">GetNumber(D177,2)</f>
        <v>6</v>
      </c>
      <c r="G177" s="35">
        <v>37</v>
      </c>
      <c r="H177" s="35">
        <v>9063</v>
      </c>
      <c r="I177" s="35">
        <f>34.45*($T$2)</f>
        <v>68.900000000000006</v>
      </c>
      <c r="J177" s="35">
        <f>1274.5*($T$2)</f>
        <v>2549</v>
      </c>
      <c r="K177" s="35">
        <f t="shared" si="11"/>
        <v>2.3538642604943116</v>
      </c>
      <c r="L177" s="35">
        <f t="shared" si="12"/>
        <v>2.3535872592476363</v>
      </c>
      <c r="M177" s="35">
        <f>11.638*($T$2)</f>
        <v>23.276</v>
      </c>
      <c r="N177" s="35">
        <v>75.5</v>
      </c>
      <c r="O177" s="35">
        <f t="shared" si="10"/>
        <v>0.91314240878775987</v>
      </c>
      <c r="P177" s="35">
        <f t="shared" si="13"/>
        <v>54.7885445272656</v>
      </c>
      <c r="Q177" s="35">
        <v>0</v>
      </c>
      <c r="R177" s="35">
        <f t="shared" si="14"/>
        <v>100</v>
      </c>
    </row>
    <row r="178" spans="1:18" x14ac:dyDescent="0.3">
      <c r="A178" s="35" t="s">
        <v>245</v>
      </c>
      <c r="B178" s="35">
        <v>13.97</v>
      </c>
      <c r="C178" s="35">
        <v>300</v>
      </c>
      <c r="D178" s="35" t="s">
        <v>0</v>
      </c>
      <c r="E178" s="36" t="str" cm="1">
        <f t="array" ref="E178">GetNumber(D178,1)</f>
        <v>15</v>
      </c>
      <c r="F178" s="36" t="str" cm="1">
        <f t="array" ref="F178">GetNumber(D178,2)</f>
        <v>8</v>
      </c>
      <c r="G178" s="35">
        <v>37</v>
      </c>
      <c r="H178" s="35">
        <v>9121</v>
      </c>
      <c r="I178" s="35">
        <f>36.37*($T$2)</f>
        <v>72.739999999999995</v>
      </c>
      <c r="J178" s="35">
        <f>1345.8*($T$2)</f>
        <v>2691.6</v>
      </c>
      <c r="K178" s="35">
        <f t="shared" si="11"/>
        <v>2.2291573785109229</v>
      </c>
      <c r="L178" s="35">
        <f t="shared" si="12"/>
        <v>2.2293395953005519</v>
      </c>
      <c r="M178" s="35">
        <f>11.541*($T$2)</f>
        <v>23.082000000000001</v>
      </c>
      <c r="N178" s="35">
        <v>101.3</v>
      </c>
      <c r="O178" s="35">
        <f t="shared" si="10"/>
        <v>0.8575568435131522</v>
      </c>
      <c r="P178" s="35">
        <f t="shared" si="13"/>
        <v>51.45341061078912</v>
      </c>
      <c r="Q178" s="35">
        <v>0</v>
      </c>
      <c r="R178" s="35">
        <f t="shared" si="14"/>
        <v>100</v>
      </c>
    </row>
    <row r="179" spans="1:18" x14ac:dyDescent="0.3">
      <c r="A179" s="35" t="s">
        <v>245</v>
      </c>
      <c r="B179" s="35">
        <v>13.97</v>
      </c>
      <c r="C179" s="35">
        <v>300</v>
      </c>
      <c r="D179" s="35" t="s">
        <v>54</v>
      </c>
      <c r="E179" s="36" t="str" cm="1">
        <f t="array" ref="E179">GetNumber(D179,1)</f>
        <v>12</v>
      </c>
      <c r="F179" s="36" t="str" cm="1">
        <f t="array" ref="F179">GetNumber(D179,2)</f>
        <v>8</v>
      </c>
      <c r="G179" s="35">
        <v>37</v>
      </c>
      <c r="H179" s="35">
        <v>9452</v>
      </c>
      <c r="I179" s="35">
        <f>26.43*($T$2)</f>
        <v>52.86</v>
      </c>
      <c r="J179" s="35">
        <f>977.7*($T$2)</f>
        <v>1955.4</v>
      </c>
      <c r="K179" s="35">
        <f t="shared" si="11"/>
        <v>3.0684258975145746</v>
      </c>
      <c r="L179" s="35">
        <f t="shared" si="12"/>
        <v>3.0677669724207748</v>
      </c>
      <c r="M179" s="35">
        <f>9.069*($T$2)</f>
        <v>18.138000000000002</v>
      </c>
      <c r="N179" s="35">
        <v>105</v>
      </c>
      <c r="O179" s="35">
        <f t="shared" si="10"/>
        <v>0.92758514881865606</v>
      </c>
      <c r="P179" s="35">
        <f t="shared" si="13"/>
        <v>55.655108929119358</v>
      </c>
      <c r="Q179" s="35">
        <v>0</v>
      </c>
      <c r="R179" s="35">
        <f t="shared" si="14"/>
        <v>100</v>
      </c>
    </row>
    <row r="180" spans="1:18" x14ac:dyDescent="0.3">
      <c r="A180" s="35" t="s">
        <v>245</v>
      </c>
      <c r="B180" s="35">
        <v>13.97</v>
      </c>
      <c r="C180" s="35">
        <v>300</v>
      </c>
      <c r="D180" s="35" t="s">
        <v>25</v>
      </c>
      <c r="E180" s="36" t="str" cm="1">
        <f t="array" ref="E180">GetNumber(D180,1)</f>
        <v>13</v>
      </c>
      <c r="F180" s="36" t="str" cm="1">
        <f t="array" ref="F180">GetNumber(D180,2)</f>
        <v>8</v>
      </c>
      <c r="G180" s="35">
        <v>37</v>
      </c>
      <c r="H180" s="35">
        <v>9393</v>
      </c>
      <c r="I180" s="35">
        <f>30.37*($T$2)</f>
        <v>60.74</v>
      </c>
      <c r="J180" s="35">
        <f>1123.7*($T$2)</f>
        <v>2247.4</v>
      </c>
      <c r="K180" s="35">
        <f t="shared" si="11"/>
        <v>2.6697517130906827</v>
      </c>
      <c r="L180" s="35">
        <f t="shared" si="12"/>
        <v>2.6697754718828146</v>
      </c>
      <c r="M180" s="35">
        <f>10.381*($T$2)</f>
        <v>20.762</v>
      </c>
      <c r="N180" s="35">
        <v>104.4</v>
      </c>
      <c r="O180" s="35">
        <f t="shared" si="10"/>
        <v>0.92382308445314587</v>
      </c>
      <c r="P180" s="35">
        <f t="shared" si="13"/>
        <v>55.429385067188754</v>
      </c>
      <c r="Q180" s="35">
        <v>0</v>
      </c>
      <c r="R180" s="35">
        <f t="shared" si="14"/>
        <v>100</v>
      </c>
    </row>
    <row r="181" spans="1:18" x14ac:dyDescent="0.3">
      <c r="A181" s="35" t="s">
        <v>245</v>
      </c>
      <c r="B181" s="35">
        <v>13.97</v>
      </c>
      <c r="C181" s="35">
        <v>300</v>
      </c>
      <c r="D181" s="35" t="s">
        <v>26</v>
      </c>
      <c r="E181" s="36" t="str" cm="1">
        <f t="array" ref="E181">GetNumber(D181,1)</f>
        <v>14</v>
      </c>
      <c r="F181" s="36" t="str" cm="1">
        <f t="array" ref="F181">GetNumber(D181,2)</f>
        <v>7</v>
      </c>
      <c r="G181" s="35">
        <v>37</v>
      </c>
      <c r="H181" s="35">
        <v>9154</v>
      </c>
      <c r="I181" s="35">
        <f>35.59*($T$2)</f>
        <v>71.180000000000007</v>
      </c>
      <c r="J181" s="35">
        <f>1317*($T$2)</f>
        <v>2634</v>
      </c>
      <c r="K181" s="35">
        <f t="shared" si="11"/>
        <v>2.2779043280182232</v>
      </c>
      <c r="L181" s="35">
        <f t="shared" si="12"/>
        <v>2.2781984007047225</v>
      </c>
      <c r="M181" s="35">
        <f>12.126*($T$2)</f>
        <v>24.251999999999999</v>
      </c>
      <c r="N181" s="35">
        <v>89</v>
      </c>
      <c r="O181" s="35">
        <f t="shared" si="10"/>
        <v>0.92072892938496587</v>
      </c>
      <c r="P181" s="35">
        <f t="shared" si="13"/>
        <v>55.243735763097945</v>
      </c>
      <c r="Q181" s="35">
        <v>0</v>
      </c>
      <c r="R181" s="35">
        <f t="shared" si="14"/>
        <v>100</v>
      </c>
    </row>
    <row r="182" spans="1:18" x14ac:dyDescent="0.3">
      <c r="A182" s="35" t="s">
        <v>246</v>
      </c>
      <c r="B182" s="35">
        <v>17.28</v>
      </c>
      <c r="C182" s="35">
        <v>300</v>
      </c>
      <c r="D182" s="35" t="s">
        <v>5</v>
      </c>
      <c r="E182" s="36" t="str" cm="1">
        <f t="array" ref="E182">GetNumber(D182,1)</f>
        <v>16</v>
      </c>
      <c r="F182" s="36" t="str" cm="1">
        <f t="array" ref="F182">GetNumber(D182,2)</f>
        <v>12</v>
      </c>
      <c r="G182" s="35">
        <v>22.2</v>
      </c>
      <c r="H182" s="35">
        <v>5785</v>
      </c>
      <c r="I182" s="35">
        <f>37.07*($T$2)</f>
        <v>74.14</v>
      </c>
      <c r="J182" s="35">
        <f>822.9*($T$2)</f>
        <v>1645.8</v>
      </c>
      <c r="K182" s="35">
        <f t="shared" si="11"/>
        <v>3.6419978126139267</v>
      </c>
      <c r="L182" s="35">
        <f t="shared" si="12"/>
        <v>3.641758834637173</v>
      </c>
      <c r="M182" s="35">
        <f>6.524*($T$2)</f>
        <v>13.048</v>
      </c>
      <c r="N182" s="35">
        <v>96.4</v>
      </c>
      <c r="O182" s="35">
        <f t="shared" si="10"/>
        <v>0.79280593024668855</v>
      </c>
      <c r="P182" s="35">
        <f t="shared" si="13"/>
        <v>47.520787458986518</v>
      </c>
      <c r="Q182" s="35">
        <f>('Batt Capacity and Sys Weight'!$I$5) + (B182*$T$2)</f>
        <v>66.133752999999999</v>
      </c>
      <c r="R182" s="35">
        <f>'Batt Capacity and Sys Weight'!$H$5</f>
        <v>99.9</v>
      </c>
    </row>
    <row r="183" spans="1:18" x14ac:dyDescent="0.3">
      <c r="A183" s="35" t="s">
        <v>246</v>
      </c>
      <c r="B183" s="35">
        <v>17.28</v>
      </c>
      <c r="C183" s="35">
        <v>300</v>
      </c>
      <c r="D183" s="35" t="s">
        <v>8</v>
      </c>
      <c r="E183" s="36" t="str" cm="1">
        <f t="array" ref="E183">GetNumber(D183,1)</f>
        <v>17</v>
      </c>
      <c r="F183" s="36" t="str" cm="1">
        <f t="array" ref="F183">GetNumber(D183,2)</f>
        <v>10</v>
      </c>
      <c r="G183" s="35">
        <v>22.2</v>
      </c>
      <c r="H183" s="35">
        <v>5800</v>
      </c>
      <c r="I183" s="35">
        <f>36.78*($T$2)</f>
        <v>73.56</v>
      </c>
      <c r="J183" s="35">
        <f>816.5*($T$2)</f>
        <v>1633</v>
      </c>
      <c r="K183" s="35">
        <f t="shared" si="11"/>
        <v>3.670545009185548</v>
      </c>
      <c r="L183" s="35">
        <f t="shared" si="12"/>
        <v>3.6704730831973897</v>
      </c>
      <c r="M183" s="35">
        <f>8.398*($T$2)</f>
        <v>16.795999999999999</v>
      </c>
      <c r="N183" s="35">
        <v>80.5</v>
      </c>
      <c r="O183" s="35">
        <f t="shared" si="10"/>
        <v>1.0285364360073483</v>
      </c>
      <c r="P183" s="35">
        <f t="shared" si="13"/>
        <v>61.650473974280466</v>
      </c>
      <c r="Q183" s="35">
        <f>('Batt Capacity and Sys Weight'!$I$5) + (B183*$T$2)</f>
        <v>66.133752999999999</v>
      </c>
      <c r="R183" s="35">
        <f>'Batt Capacity and Sys Weight'!$H$5</f>
        <v>99.9</v>
      </c>
    </row>
    <row r="184" spans="1:18" x14ac:dyDescent="0.3">
      <c r="A184" s="35" t="s">
        <v>246</v>
      </c>
      <c r="B184" s="35">
        <v>17.28</v>
      </c>
      <c r="C184" s="35">
        <v>300</v>
      </c>
      <c r="D184" s="35" t="s">
        <v>9</v>
      </c>
      <c r="E184" s="36" t="str" cm="1">
        <f t="array" ref="E184">GetNumber(D184,1)</f>
        <v>17</v>
      </c>
      <c r="F184" s="36" t="str" cm="1">
        <f t="array" ref="F184">GetNumber(D184,2)</f>
        <v>12</v>
      </c>
      <c r="G184" s="35">
        <v>22.2</v>
      </c>
      <c r="H184" s="35">
        <v>5726</v>
      </c>
      <c r="I184" s="35">
        <f>41.58*($T$2)</f>
        <v>83.16</v>
      </c>
      <c r="J184" s="35">
        <f>923.1*($T$2)</f>
        <v>1846.2</v>
      </c>
      <c r="K184" s="35">
        <f t="shared" si="11"/>
        <v>3.246668833279168</v>
      </c>
      <c r="L184" s="35">
        <f t="shared" si="12"/>
        <v>3.2467532467532467</v>
      </c>
      <c r="M184" s="35">
        <f>8.255*($T$2)</f>
        <v>16.510000000000002</v>
      </c>
      <c r="N184" s="35">
        <v>95.5</v>
      </c>
      <c r="O184" s="35">
        <f t="shared" si="10"/>
        <v>0.8942693099339184</v>
      </c>
      <c r="P184" s="35">
        <f t="shared" si="13"/>
        <v>53.602502437439071</v>
      </c>
      <c r="Q184" s="35">
        <f>('Batt Capacity and Sys Weight'!$I$5) + (B184*$T$2)</f>
        <v>66.133752999999999</v>
      </c>
      <c r="R184" s="35">
        <f>'Batt Capacity and Sys Weight'!$H$5</f>
        <v>99.9</v>
      </c>
    </row>
    <row r="185" spans="1:18" x14ac:dyDescent="0.3">
      <c r="A185" s="35" t="s">
        <v>246</v>
      </c>
      <c r="B185" s="35">
        <v>17.28</v>
      </c>
      <c r="C185" s="35">
        <v>300</v>
      </c>
      <c r="D185" s="35" t="s">
        <v>11</v>
      </c>
      <c r="E185" s="36" t="str" cm="1">
        <f t="array" ref="E185">GetNumber(D185,1)</f>
        <v>18</v>
      </c>
      <c r="F185" s="36" t="str" cm="1">
        <f t="array" ref="F185">GetNumber(D185,2)</f>
        <v>10</v>
      </c>
      <c r="G185" s="35">
        <v>22.2</v>
      </c>
      <c r="H185" s="35">
        <v>5774</v>
      </c>
      <c r="I185" s="35">
        <f>37.94*($T$2)</f>
        <v>75.88</v>
      </c>
      <c r="J185" s="35">
        <f>842.3*($T$2)</f>
        <v>1684.6</v>
      </c>
      <c r="K185" s="35">
        <f t="shared" si="11"/>
        <v>3.5581146859788677</v>
      </c>
      <c r="L185" s="35">
        <f t="shared" si="12"/>
        <v>3.5582498682129682</v>
      </c>
      <c r="M185" s="35">
        <f>9.953*($T$2)</f>
        <v>19.905999999999999</v>
      </c>
      <c r="N185" s="35">
        <v>80.2</v>
      </c>
      <c r="O185" s="35">
        <f t="shared" si="10"/>
        <v>1.1816454944794017</v>
      </c>
      <c r="P185" s="35">
        <f t="shared" si="13"/>
        <v>70.827830939095335</v>
      </c>
      <c r="Q185" s="35">
        <f>('Batt Capacity and Sys Weight'!$I$5) + (B185*$T$2)</f>
        <v>66.133752999999999</v>
      </c>
      <c r="R185" s="35">
        <f>'Batt Capacity and Sys Weight'!$H$5</f>
        <v>99.9</v>
      </c>
    </row>
    <row r="186" spans="1:18" x14ac:dyDescent="0.3">
      <c r="A186" s="35" t="s">
        <v>246</v>
      </c>
      <c r="B186" s="35">
        <v>17.28</v>
      </c>
      <c r="C186" s="35">
        <v>300</v>
      </c>
      <c r="D186" s="35" t="s">
        <v>13</v>
      </c>
      <c r="E186" s="36" t="str" cm="1">
        <f t="array" ref="E186">GetNumber(D186,1)</f>
        <v>19</v>
      </c>
      <c r="F186" s="36" t="str" cm="1">
        <f t="array" ref="F186">GetNumber(D186,2)</f>
        <v>8</v>
      </c>
      <c r="G186" s="35">
        <v>22.2</v>
      </c>
      <c r="H186" s="35">
        <v>5657</v>
      </c>
      <c r="I186" s="35">
        <f>43.94*($T$2)</f>
        <v>87.88</v>
      </c>
      <c r="J186" s="35">
        <f>975.4*($T$2)</f>
        <v>1950.8</v>
      </c>
      <c r="K186" s="35">
        <f t="shared" si="11"/>
        <v>3.0725856059052701</v>
      </c>
      <c r="L186" s="35">
        <f t="shared" si="12"/>
        <v>3.0723714155666819</v>
      </c>
      <c r="M186" s="35">
        <f>11.334*($T$2)</f>
        <v>22.667999999999999</v>
      </c>
      <c r="N186" s="35">
        <v>62.9</v>
      </c>
      <c r="O186" s="35">
        <f t="shared" si="10"/>
        <v>1.1619848267377486</v>
      </c>
      <c r="P186" s="35">
        <f t="shared" si="13"/>
        <v>69.64937051466066</v>
      </c>
      <c r="Q186" s="35">
        <f>('Batt Capacity and Sys Weight'!$I$5) + (B186*$T$2)</f>
        <v>66.133752999999999</v>
      </c>
      <c r="R186" s="35">
        <f>'Batt Capacity and Sys Weight'!$H$5</f>
        <v>99.9</v>
      </c>
    </row>
    <row r="187" spans="1:18" x14ac:dyDescent="0.3">
      <c r="A187" s="35" t="s">
        <v>246</v>
      </c>
      <c r="B187" s="35">
        <v>17.28</v>
      </c>
      <c r="C187" s="35">
        <v>300</v>
      </c>
      <c r="D187" s="35" t="s">
        <v>14</v>
      </c>
      <c r="E187" s="36" t="str" cm="1">
        <f t="array" ref="E187">GetNumber(D187,1)</f>
        <v>19</v>
      </c>
      <c r="F187" s="36" t="str" cm="1">
        <f t="array" ref="F187">GetNumber(D187,2)</f>
        <v>10</v>
      </c>
      <c r="G187" s="35">
        <v>22.2</v>
      </c>
      <c r="H187" s="35">
        <v>5659</v>
      </c>
      <c r="I187" s="35">
        <f>43.48*($T$2)</f>
        <v>86.96</v>
      </c>
      <c r="J187" s="35">
        <f>965.2*($T$2)</f>
        <v>1930.4</v>
      </c>
      <c r="K187" s="35">
        <f t="shared" si="11"/>
        <v>3.1050559469539989</v>
      </c>
      <c r="L187" s="35">
        <f t="shared" si="12"/>
        <v>3.1048758049678016</v>
      </c>
      <c r="M187" s="35">
        <f>11.471*($T$2)</f>
        <v>22.942</v>
      </c>
      <c r="N187" s="35">
        <v>78.599999999999994</v>
      </c>
      <c r="O187" s="35">
        <f t="shared" si="10"/>
        <v>1.1884583506009117</v>
      </c>
      <c r="P187" s="35">
        <f t="shared" si="13"/>
        <v>71.236193535018643</v>
      </c>
      <c r="Q187" s="35">
        <f>('Batt Capacity and Sys Weight'!$I$5) + (B187*$T$2)</f>
        <v>66.133752999999999</v>
      </c>
      <c r="R187" s="35">
        <f>'Batt Capacity and Sys Weight'!$H$5</f>
        <v>99.9</v>
      </c>
    </row>
    <row r="188" spans="1:18" x14ac:dyDescent="0.3">
      <c r="A188" s="35" t="s">
        <v>246</v>
      </c>
      <c r="B188" s="35">
        <v>17.28</v>
      </c>
      <c r="C188" s="35">
        <v>300</v>
      </c>
      <c r="D188" s="35" t="s">
        <v>15</v>
      </c>
      <c r="E188" s="36" t="str" cm="1">
        <f t="array" ref="E188">GetNumber(D188,1)</f>
        <v>20</v>
      </c>
      <c r="F188" s="36" t="str" cm="1">
        <f t="array" ref="F188">GetNumber(D188,2)</f>
        <v>8</v>
      </c>
      <c r="G188" s="35">
        <v>22.2</v>
      </c>
      <c r="H188" s="35">
        <v>5632</v>
      </c>
      <c r="I188" s="35">
        <f>45.22*($T$2)</f>
        <v>90.44</v>
      </c>
      <c r="J188" s="35">
        <f>1003.9*($T$2)</f>
        <v>2007.8</v>
      </c>
      <c r="K188" s="35">
        <f t="shared" si="11"/>
        <v>2.9853571072816019</v>
      </c>
      <c r="L188" s="35">
        <f t="shared" si="12"/>
        <v>2.9854046881910659</v>
      </c>
      <c r="M188" s="35">
        <f>12.578*($T$2)</f>
        <v>25.155999999999999</v>
      </c>
      <c r="N188" s="35">
        <v>62.6</v>
      </c>
      <c r="O188" s="35">
        <f t="shared" si="10"/>
        <v>1.2529136368164158</v>
      </c>
      <c r="P188" s="35">
        <f t="shared" si="13"/>
        <v>75.099643390775967</v>
      </c>
      <c r="Q188" s="35">
        <f>('Batt Capacity and Sys Weight'!$I$5) + (B188*$T$2)</f>
        <v>66.133752999999999</v>
      </c>
      <c r="R188" s="35">
        <f>'Batt Capacity and Sys Weight'!$H$5</f>
        <v>99.9</v>
      </c>
    </row>
    <row r="189" spans="1:18" x14ac:dyDescent="0.3">
      <c r="A189" s="35" t="s">
        <v>246</v>
      </c>
      <c r="B189" s="35">
        <v>17.28</v>
      </c>
      <c r="C189" s="35">
        <v>300</v>
      </c>
      <c r="D189" s="35" t="s">
        <v>1</v>
      </c>
      <c r="E189" s="36" t="str" cm="1">
        <f t="array" ref="E189">GetNumber(D189,1)</f>
        <v>15</v>
      </c>
      <c r="F189" s="36" t="str" cm="1">
        <f t="array" ref="F189">GetNumber(D189,2)</f>
        <v>10</v>
      </c>
      <c r="G189" s="35">
        <v>25.9</v>
      </c>
      <c r="H189" s="35">
        <v>6888</v>
      </c>
      <c r="I189" s="35">
        <f>34.15*($T$2)</f>
        <v>68.3</v>
      </c>
      <c r="J189" s="35">
        <f>884.4*($T$2)</f>
        <v>1768.8</v>
      </c>
      <c r="K189" s="35">
        <f t="shared" si="11"/>
        <v>3.3921302578018997</v>
      </c>
      <c r="L189" s="35">
        <f t="shared" si="12"/>
        <v>3.3918042702815763</v>
      </c>
      <c r="M189" s="35">
        <f>7.911*($T$2)</f>
        <v>15.821999999999999</v>
      </c>
      <c r="N189" s="35">
        <v>95.6</v>
      </c>
      <c r="O189" s="35">
        <f t="shared" si="10"/>
        <v>0.89450474898236076</v>
      </c>
      <c r="P189" s="35">
        <f t="shared" si="13"/>
        <v>53.670284938941656</v>
      </c>
      <c r="Q189" s="35">
        <v>0</v>
      </c>
      <c r="R189" s="35">
        <f t="shared" ref="R189:R225" si="15">$T$1</f>
        <v>100</v>
      </c>
    </row>
    <row r="190" spans="1:18" x14ac:dyDescent="0.3">
      <c r="A190" s="35" t="s">
        <v>246</v>
      </c>
      <c r="B190" s="35">
        <v>17.28</v>
      </c>
      <c r="C190" s="35">
        <v>300</v>
      </c>
      <c r="D190" s="35" t="s">
        <v>3</v>
      </c>
      <c r="E190" s="36" t="str" cm="1">
        <f t="array" ref="E190">GetNumber(D190,1)</f>
        <v>16</v>
      </c>
      <c r="F190" s="36" t="str" cm="1">
        <f t="array" ref="F190">GetNumber(D190,2)</f>
        <v>8</v>
      </c>
      <c r="G190" s="35">
        <v>25.9</v>
      </c>
      <c r="H190" s="35">
        <v>6813</v>
      </c>
      <c r="I190" s="35">
        <f>37*($T$2)</f>
        <v>74</v>
      </c>
      <c r="J190" s="35">
        <f>958.3*($T$2)</f>
        <v>1916.6</v>
      </c>
      <c r="K190" s="35">
        <f t="shared" si="11"/>
        <v>3.1305436710842116</v>
      </c>
      <c r="L190" s="35">
        <f t="shared" si="12"/>
        <v>3.1305436710842116</v>
      </c>
      <c r="M190" s="35">
        <f>9.219*($T$2)</f>
        <v>18.437999999999999</v>
      </c>
      <c r="N190" s="35">
        <v>75.7</v>
      </c>
      <c r="O190" s="35">
        <f t="shared" si="10"/>
        <v>0.96201607012417822</v>
      </c>
      <c r="P190" s="35">
        <f t="shared" si="13"/>
        <v>57.720964207450692</v>
      </c>
      <c r="Q190" s="35">
        <v>0</v>
      </c>
      <c r="R190" s="35">
        <f t="shared" si="15"/>
        <v>100</v>
      </c>
    </row>
    <row r="191" spans="1:18" x14ac:dyDescent="0.3">
      <c r="A191" s="35" t="s">
        <v>246</v>
      </c>
      <c r="B191" s="35">
        <v>17.28</v>
      </c>
      <c r="C191" s="35">
        <v>300</v>
      </c>
      <c r="D191" s="35" t="s">
        <v>4</v>
      </c>
      <c r="E191" s="36" t="str" cm="1">
        <f t="array" ref="E191">GetNumber(D191,1)</f>
        <v>16</v>
      </c>
      <c r="F191" s="36" t="str" cm="1">
        <f t="array" ref="F191">GetNumber(D191,2)</f>
        <v>10</v>
      </c>
      <c r="G191" s="35">
        <v>25.9</v>
      </c>
      <c r="H191" s="35">
        <v>6731</v>
      </c>
      <c r="I191" s="35">
        <f>40.98*($T$2)</f>
        <v>81.96</v>
      </c>
      <c r="J191" s="35">
        <f>1061.4*($T$2)</f>
        <v>2122.8000000000002</v>
      </c>
      <c r="K191" s="35">
        <f t="shared" si="11"/>
        <v>2.8264556246466928</v>
      </c>
      <c r="L191" s="35">
        <f t="shared" si="12"/>
        <v>2.826503558567981</v>
      </c>
      <c r="M191" s="35">
        <f>9.364*($T$2)</f>
        <v>18.728000000000002</v>
      </c>
      <c r="N191" s="35">
        <v>93.4</v>
      </c>
      <c r="O191" s="35">
        <f t="shared" si="10"/>
        <v>0.88223101563972106</v>
      </c>
      <c r="P191" s="35">
        <f t="shared" si="13"/>
        <v>52.933860938383269</v>
      </c>
      <c r="Q191" s="35">
        <v>0</v>
      </c>
      <c r="R191" s="35">
        <f t="shared" si="15"/>
        <v>100</v>
      </c>
    </row>
    <row r="192" spans="1:18" x14ac:dyDescent="0.3">
      <c r="A192" s="35" t="s">
        <v>246</v>
      </c>
      <c r="B192" s="35">
        <v>17.28</v>
      </c>
      <c r="C192" s="35">
        <v>300</v>
      </c>
      <c r="D192" s="35" t="s">
        <v>5</v>
      </c>
      <c r="E192" s="36" t="str" cm="1">
        <f t="array" ref="E192">GetNumber(D192,1)</f>
        <v>16</v>
      </c>
      <c r="F192" s="36" t="str" cm="1">
        <f t="array" ref="F192">GetNumber(D192,2)</f>
        <v>12</v>
      </c>
      <c r="G192" s="35">
        <v>25.9</v>
      </c>
      <c r="H192" s="35">
        <v>6567</v>
      </c>
      <c r="I192" s="35">
        <f>48.6*($T$2)</f>
        <v>97.2</v>
      </c>
      <c r="J192" s="35">
        <f>1258.7*($T$2)</f>
        <v>2517.4</v>
      </c>
      <c r="K192" s="35">
        <f t="shared" si="11"/>
        <v>2.3834114562643998</v>
      </c>
      <c r="L192" s="35">
        <f t="shared" si="12"/>
        <v>2.3833357166690501</v>
      </c>
      <c r="M192" s="35">
        <f>8.421*($T$2)</f>
        <v>16.841999999999999</v>
      </c>
      <c r="N192" s="35">
        <v>109.4</v>
      </c>
      <c r="O192" s="35">
        <f t="shared" si="10"/>
        <v>0.66902359577341697</v>
      </c>
      <c r="P192" s="35">
        <f t="shared" si="13"/>
        <v>40.141415746405016</v>
      </c>
      <c r="Q192" s="35">
        <v>0</v>
      </c>
      <c r="R192" s="35">
        <f t="shared" si="15"/>
        <v>100</v>
      </c>
    </row>
    <row r="193" spans="1:18" x14ac:dyDescent="0.3">
      <c r="A193" s="35" t="s">
        <v>246</v>
      </c>
      <c r="B193" s="35">
        <v>17.28</v>
      </c>
      <c r="C193" s="35">
        <v>300</v>
      </c>
      <c r="D193" s="35" t="s">
        <v>7</v>
      </c>
      <c r="E193" s="36" t="str" cm="1">
        <f t="array" ref="E193">GetNumber(D193,1)</f>
        <v>17</v>
      </c>
      <c r="F193" s="36" t="str" cm="1">
        <f t="array" ref="F193">GetNumber(D193,2)</f>
        <v>8</v>
      </c>
      <c r="G193" s="35">
        <v>25.9</v>
      </c>
      <c r="H193" s="35">
        <v>6755</v>
      </c>
      <c r="I193" s="35">
        <f>40.21*($T$2)</f>
        <v>80.42</v>
      </c>
      <c r="J193" s="35">
        <f>1041.1*($T$2)</f>
        <v>2082.1999999999998</v>
      </c>
      <c r="K193" s="35">
        <f t="shared" si="11"/>
        <v>2.8815675727595815</v>
      </c>
      <c r="L193" s="35">
        <f t="shared" si="12"/>
        <v>2.8806295904032786</v>
      </c>
      <c r="M193" s="35">
        <f>10.408*($T$2)</f>
        <v>20.815999999999999</v>
      </c>
      <c r="N193" s="35">
        <v>75.099999999999994</v>
      </c>
      <c r="O193" s="35">
        <f t="shared" si="10"/>
        <v>0.99971184324272411</v>
      </c>
      <c r="P193" s="35">
        <f t="shared" si="13"/>
        <v>59.982710594563443</v>
      </c>
      <c r="Q193" s="35">
        <v>0</v>
      </c>
      <c r="R193" s="35">
        <f t="shared" si="15"/>
        <v>100</v>
      </c>
    </row>
    <row r="194" spans="1:18" x14ac:dyDescent="0.3">
      <c r="A194" s="35" t="s">
        <v>246</v>
      </c>
      <c r="B194" s="35">
        <v>17.28</v>
      </c>
      <c r="C194" s="35">
        <v>300</v>
      </c>
      <c r="D194" s="35" t="s">
        <v>8</v>
      </c>
      <c r="E194" s="36" t="str" cm="1">
        <f t="array" ref="E194">GetNumber(D194,1)</f>
        <v>17</v>
      </c>
      <c r="F194" s="36" t="str" cm="1">
        <f t="array" ref="F194">GetNumber(D194,2)</f>
        <v>10</v>
      </c>
      <c r="G194" s="35">
        <v>25.9</v>
      </c>
      <c r="H194" s="35">
        <v>6560</v>
      </c>
      <c r="I194" s="35">
        <f>48.61*($T$2)</f>
        <v>97.22</v>
      </c>
      <c r="J194" s="35">
        <f>1259*($T$2)</f>
        <v>2518</v>
      </c>
      <c r="K194" s="35">
        <f t="shared" si="11"/>
        <v>2.3828435266084194</v>
      </c>
      <c r="L194" s="35">
        <f t="shared" si="12"/>
        <v>2.3828454192576807</v>
      </c>
      <c r="M194" s="35">
        <f>10.807*($T$2)</f>
        <v>21.614000000000001</v>
      </c>
      <c r="N194" s="35">
        <v>91.1</v>
      </c>
      <c r="O194" s="35">
        <f t="shared" ref="O194:O257" si="16" xml:space="preserve"> (M194/J194)*100</f>
        <v>0.85837966640190633</v>
      </c>
      <c r="P194" s="35">
        <f t="shared" si="13"/>
        <v>51.502779984114376</v>
      </c>
      <c r="Q194" s="35">
        <v>0</v>
      </c>
      <c r="R194" s="35">
        <f t="shared" si="15"/>
        <v>100</v>
      </c>
    </row>
    <row r="195" spans="1:18" x14ac:dyDescent="0.3">
      <c r="A195" s="35" t="s">
        <v>246</v>
      </c>
      <c r="B195" s="35">
        <v>17.28</v>
      </c>
      <c r="C195" s="35">
        <v>300</v>
      </c>
      <c r="D195" s="35" t="s">
        <v>10</v>
      </c>
      <c r="E195" s="36" t="str" cm="1">
        <f t="array" ref="E195">GetNumber(D195,1)</f>
        <v>18</v>
      </c>
      <c r="F195" s="36" t="str" cm="1">
        <f t="array" ref="F195">GetNumber(D195,2)</f>
        <v>8</v>
      </c>
      <c r="G195" s="35">
        <v>25.9</v>
      </c>
      <c r="H195" s="35">
        <v>6724</v>
      </c>
      <c r="I195" s="35">
        <f>40.92*($T$2)</f>
        <v>81.84</v>
      </c>
      <c r="J195" s="35">
        <f>1059.7*($T$2)</f>
        <v>2119.4</v>
      </c>
      <c r="K195" s="35">
        <f t="shared" ref="K195:K258" si="17" xml:space="preserve"> (R195/J195)*60</f>
        <v>2.8309899028026795</v>
      </c>
      <c r="L195" s="35">
        <f t="shared" ref="L195:L258" si="18">( (R195/G195)/I195)*60</f>
        <v>2.8306479919383145</v>
      </c>
      <c r="M195" s="35">
        <f>12.172*($T$2)</f>
        <v>24.344000000000001</v>
      </c>
      <c r="N195" s="35">
        <v>74.7</v>
      </c>
      <c r="O195" s="35">
        <f t="shared" si="16"/>
        <v>1.1486269698971407</v>
      </c>
      <c r="P195" s="35">
        <f t="shared" si="13"/>
        <v>68.917618193828432</v>
      </c>
      <c r="Q195" s="35">
        <v>0</v>
      </c>
      <c r="R195" s="35">
        <f t="shared" si="15"/>
        <v>100</v>
      </c>
    </row>
    <row r="196" spans="1:18" x14ac:dyDescent="0.3">
      <c r="A196" s="35" t="s">
        <v>246</v>
      </c>
      <c r="B196" s="35">
        <v>17.28</v>
      </c>
      <c r="C196" s="35">
        <v>300</v>
      </c>
      <c r="D196" s="35" t="s">
        <v>1</v>
      </c>
      <c r="E196" s="36" t="str" cm="1">
        <f t="array" ref="E196">GetNumber(D196,1)</f>
        <v>15</v>
      </c>
      <c r="F196" s="36" t="str" cm="1">
        <f t="array" ref="F196">GetNumber(D196,2)</f>
        <v>10</v>
      </c>
      <c r="G196" s="35">
        <v>29.6</v>
      </c>
      <c r="H196" s="35">
        <v>7670</v>
      </c>
      <c r="I196" s="35">
        <f>44.93*($T$2)</f>
        <v>89.86</v>
      </c>
      <c r="J196" s="35">
        <f>1329.9*($T$2)</f>
        <v>2659.8</v>
      </c>
      <c r="K196" s="35">
        <f t="shared" si="17"/>
        <v>2.2558087074216102</v>
      </c>
      <c r="L196" s="35">
        <f t="shared" si="18"/>
        <v>2.2557612141409153</v>
      </c>
      <c r="M196" s="35">
        <f>9.684*($T$2)</f>
        <v>19.367999999999999</v>
      </c>
      <c r="N196" s="35">
        <v>106.5</v>
      </c>
      <c r="O196" s="35">
        <f t="shared" si="16"/>
        <v>0.72817505075569589</v>
      </c>
      <c r="P196" s="35">
        <f t="shared" si="13"/>
        <v>43.690503045341742</v>
      </c>
      <c r="Q196" s="35">
        <v>0</v>
      </c>
      <c r="R196" s="35">
        <f t="shared" si="15"/>
        <v>100</v>
      </c>
    </row>
    <row r="197" spans="1:18" x14ac:dyDescent="0.3">
      <c r="A197" s="35" t="s">
        <v>246</v>
      </c>
      <c r="B197" s="35">
        <v>17.28</v>
      </c>
      <c r="C197" s="35">
        <v>300</v>
      </c>
      <c r="D197" s="35" t="s">
        <v>3</v>
      </c>
      <c r="E197" s="36" t="str" cm="1">
        <f t="array" ref="E197">GetNumber(D197,1)</f>
        <v>16</v>
      </c>
      <c r="F197" s="36" t="str" cm="1">
        <f t="array" ref="F197">GetNumber(D197,2)</f>
        <v>8</v>
      </c>
      <c r="G197" s="35">
        <v>29.6</v>
      </c>
      <c r="H197" s="35">
        <v>7590</v>
      </c>
      <c r="I197" s="35">
        <f>49.15*($T$2)</f>
        <v>98.3</v>
      </c>
      <c r="J197" s="35">
        <f>1454.9*($T$2)</f>
        <v>2909.8</v>
      </c>
      <c r="K197" s="35">
        <f t="shared" si="17"/>
        <v>2.0619973881366418</v>
      </c>
      <c r="L197" s="35">
        <f t="shared" si="18"/>
        <v>2.0620824283082677</v>
      </c>
      <c r="M197" s="35">
        <f>11.391*($T$2)</f>
        <v>22.782</v>
      </c>
      <c r="N197" s="35">
        <v>84.3</v>
      </c>
      <c r="O197" s="35">
        <f t="shared" si="16"/>
        <v>0.78294040827548272</v>
      </c>
      <c r="P197" s="35">
        <f t="shared" si="13"/>
        <v>46.976424496528971</v>
      </c>
      <c r="Q197" s="35">
        <v>0</v>
      </c>
      <c r="R197" s="35">
        <f t="shared" si="15"/>
        <v>100</v>
      </c>
    </row>
    <row r="198" spans="1:18" x14ac:dyDescent="0.3">
      <c r="A198" s="35" t="s">
        <v>246</v>
      </c>
      <c r="B198" s="35">
        <v>17.28</v>
      </c>
      <c r="C198" s="35">
        <v>300</v>
      </c>
      <c r="D198" s="35" t="s">
        <v>43</v>
      </c>
      <c r="E198" s="36" t="str" cm="1">
        <f t="array" ref="E198">GetNumber(D198,1)</f>
        <v>15</v>
      </c>
      <c r="F198" s="36" t="str" cm="1">
        <f t="array" ref="F198">GetNumber(D198,2)</f>
        <v>6</v>
      </c>
      <c r="G198" s="35">
        <v>37</v>
      </c>
      <c r="H198" s="35">
        <v>9684</v>
      </c>
      <c r="I198" s="35">
        <f>44.06*($T$2)</f>
        <v>88.12</v>
      </c>
      <c r="J198" s="35">
        <f>1630*($T$2)</f>
        <v>3260</v>
      </c>
      <c r="K198" s="35">
        <f t="shared" si="17"/>
        <v>1.8404907975460123</v>
      </c>
      <c r="L198" s="35">
        <f t="shared" si="18"/>
        <v>1.8402424212682948</v>
      </c>
      <c r="M198" s="35">
        <f>12.759*($T$2)</f>
        <v>25.518000000000001</v>
      </c>
      <c r="N198" s="35">
        <v>80.7</v>
      </c>
      <c r="O198" s="35">
        <f t="shared" si="16"/>
        <v>0.78276073619631903</v>
      </c>
      <c r="P198" s="35">
        <f t="shared" si="13"/>
        <v>46.965644171779147</v>
      </c>
      <c r="Q198" s="35">
        <v>0</v>
      </c>
      <c r="R198" s="35">
        <f t="shared" si="15"/>
        <v>100</v>
      </c>
    </row>
    <row r="199" spans="1:18" x14ac:dyDescent="0.3">
      <c r="A199" s="35" t="s">
        <v>246</v>
      </c>
      <c r="B199" s="35">
        <v>17.28</v>
      </c>
      <c r="C199" s="35">
        <v>300</v>
      </c>
      <c r="D199" s="35" t="s">
        <v>0</v>
      </c>
      <c r="E199" s="36" t="str" cm="1">
        <f t="array" ref="E199">GetNumber(D199,1)</f>
        <v>15</v>
      </c>
      <c r="F199" s="36" t="str" cm="1">
        <f t="array" ref="F199">GetNumber(D199,2)</f>
        <v>8</v>
      </c>
      <c r="G199" s="35">
        <v>37</v>
      </c>
      <c r="H199" s="35">
        <v>9660</v>
      </c>
      <c r="I199" s="35">
        <f>47.14*($T$2)</f>
        <v>94.28</v>
      </c>
      <c r="J199" s="35">
        <f>1744.3*($T$2)</f>
        <v>3488.6</v>
      </c>
      <c r="K199" s="35">
        <f t="shared" si="17"/>
        <v>1.7198876340079114</v>
      </c>
      <c r="L199" s="35">
        <f t="shared" si="18"/>
        <v>1.7200059626873372</v>
      </c>
      <c r="M199" s="35">
        <f>12.585*($T$2)</f>
        <v>25.17</v>
      </c>
      <c r="N199" s="35">
        <v>107.4</v>
      </c>
      <c r="O199" s="35">
        <f t="shared" si="16"/>
        <v>0.72149286246631894</v>
      </c>
      <c r="P199" s="35">
        <f t="shared" si="13"/>
        <v>43.289571747979132</v>
      </c>
      <c r="Q199" s="35">
        <v>0</v>
      </c>
      <c r="R199" s="35">
        <f t="shared" si="15"/>
        <v>100</v>
      </c>
    </row>
    <row r="200" spans="1:18" x14ac:dyDescent="0.3">
      <c r="A200" s="35" t="s">
        <v>247</v>
      </c>
      <c r="B200" s="35">
        <v>22.89</v>
      </c>
      <c r="C200" s="35">
        <v>205</v>
      </c>
      <c r="D200" s="35" t="s">
        <v>4</v>
      </c>
      <c r="E200" s="36" t="str" cm="1">
        <f t="array" ref="E200">GetNumber(D200,1)</f>
        <v>16</v>
      </c>
      <c r="F200" s="36" t="str" cm="1">
        <f t="array" ref="F200">GetNumber(D200,2)</f>
        <v>10</v>
      </c>
      <c r="G200" s="35">
        <v>37</v>
      </c>
      <c r="H200" s="35">
        <v>6900</v>
      </c>
      <c r="I200" s="35">
        <f>31.59*($T$2)</f>
        <v>63.18</v>
      </c>
      <c r="J200" s="35">
        <f>1168.9*($T$2)</f>
        <v>2337.8000000000002</v>
      </c>
      <c r="K200" s="35">
        <f t="shared" si="17"/>
        <v>2.5665155274189408</v>
      </c>
      <c r="L200" s="35">
        <f t="shared" si="18"/>
        <v>2.5666692333359</v>
      </c>
      <c r="M200" s="35">
        <f>9.801*($T$2)</f>
        <v>19.602</v>
      </c>
      <c r="N200" s="35">
        <v>95.8</v>
      </c>
      <c r="O200" s="35">
        <f t="shared" si="16"/>
        <v>0.83848062280776803</v>
      </c>
      <c r="P200" s="35">
        <f t="shared" si="13"/>
        <v>50.308837368466079</v>
      </c>
      <c r="Q200" s="35">
        <v>0</v>
      </c>
      <c r="R200" s="35">
        <f t="shared" si="15"/>
        <v>100</v>
      </c>
    </row>
    <row r="201" spans="1:18" x14ac:dyDescent="0.3">
      <c r="A201" s="35" t="s">
        <v>247</v>
      </c>
      <c r="B201" s="35">
        <v>22.89</v>
      </c>
      <c r="C201" s="35">
        <v>205</v>
      </c>
      <c r="D201" s="35" t="s">
        <v>5</v>
      </c>
      <c r="E201" s="36" t="str" cm="1">
        <f t="array" ref="E201">GetNumber(D201,1)</f>
        <v>16</v>
      </c>
      <c r="F201" s="36" t="str" cm="1">
        <f t="array" ref="F201">GetNumber(D201,2)</f>
        <v>12</v>
      </c>
      <c r="G201" s="35">
        <v>37</v>
      </c>
      <c r="H201" s="35">
        <v>6784</v>
      </c>
      <c r="I201" s="35">
        <f>37.65*($T$2)</f>
        <v>75.3</v>
      </c>
      <c r="J201" s="35">
        <f>1393.2*($T$2)</f>
        <v>2786.4</v>
      </c>
      <c r="K201" s="35">
        <f t="shared" si="17"/>
        <v>2.1533161068044788</v>
      </c>
      <c r="L201" s="35">
        <f t="shared" si="18"/>
        <v>2.1535479702810378</v>
      </c>
      <c r="M201" s="35">
        <f>9.016*($T$2)</f>
        <v>18.032</v>
      </c>
      <c r="N201" s="35">
        <v>113.1</v>
      </c>
      <c r="O201" s="35">
        <f t="shared" si="16"/>
        <v>0.64714326729830596</v>
      </c>
      <c r="P201" s="35">
        <f t="shared" si="13"/>
        <v>38.828596037898365</v>
      </c>
      <c r="Q201" s="35">
        <v>0</v>
      </c>
      <c r="R201" s="35">
        <f t="shared" si="15"/>
        <v>100</v>
      </c>
    </row>
    <row r="202" spans="1:18" x14ac:dyDescent="0.3">
      <c r="A202" s="35" t="s">
        <v>247</v>
      </c>
      <c r="B202" s="35">
        <v>22.89</v>
      </c>
      <c r="C202" s="35">
        <v>205</v>
      </c>
      <c r="D202" s="35" t="s">
        <v>7</v>
      </c>
      <c r="E202" s="36" t="str" cm="1">
        <f t="array" ref="E202">GetNumber(D202,1)</f>
        <v>17</v>
      </c>
      <c r="F202" s="36" t="str" cm="1">
        <f t="array" ref="F202">GetNumber(D202,2)</f>
        <v>8</v>
      </c>
      <c r="G202" s="35">
        <v>37</v>
      </c>
      <c r="H202" s="35">
        <v>6916</v>
      </c>
      <c r="I202" s="35">
        <f>30.98*($T$2)</f>
        <v>61.96</v>
      </c>
      <c r="J202" s="35">
        <f>1146.2*($T$2)</f>
        <v>2292.4</v>
      </c>
      <c r="K202" s="35">
        <f t="shared" si="17"/>
        <v>2.617344268016053</v>
      </c>
      <c r="L202" s="35">
        <f t="shared" si="18"/>
        <v>2.6172072653673686</v>
      </c>
      <c r="M202" s="35">
        <f>11.045*($T$2)</f>
        <v>22.09</v>
      </c>
      <c r="N202" s="35">
        <v>76.900000000000006</v>
      </c>
      <c r="O202" s="35">
        <f t="shared" si="16"/>
        <v>0.96361891467457683</v>
      </c>
      <c r="P202" s="35">
        <f t="shared" si="13"/>
        <v>57.817134880474612</v>
      </c>
      <c r="Q202" s="35">
        <v>0</v>
      </c>
      <c r="R202" s="35">
        <f t="shared" si="15"/>
        <v>100</v>
      </c>
    </row>
    <row r="203" spans="1:18" x14ac:dyDescent="0.3">
      <c r="A203" s="35" t="s">
        <v>247</v>
      </c>
      <c r="B203" s="35">
        <v>22.89</v>
      </c>
      <c r="C203" s="35">
        <v>205</v>
      </c>
      <c r="D203" s="35" t="s">
        <v>8</v>
      </c>
      <c r="E203" s="36" t="str" cm="1">
        <f t="array" ref="E203">GetNumber(D203,1)</f>
        <v>17</v>
      </c>
      <c r="F203" s="36" t="str" cm="1">
        <f t="array" ref="F203">GetNumber(D203,2)</f>
        <v>10</v>
      </c>
      <c r="G203" s="35">
        <v>37</v>
      </c>
      <c r="H203" s="35">
        <v>6783</v>
      </c>
      <c r="I203" s="35">
        <f>37.51*($T$2)</f>
        <v>75.02</v>
      </c>
      <c r="J203" s="35">
        <f>1387.8*($T$2)</f>
        <v>2775.6</v>
      </c>
      <c r="K203" s="35">
        <f t="shared" si="17"/>
        <v>2.1616947686986596</v>
      </c>
      <c r="L203" s="35">
        <f t="shared" si="18"/>
        <v>2.1615857392983493</v>
      </c>
      <c r="M203" s="35">
        <f>11.634*($T$2)</f>
        <v>23.268000000000001</v>
      </c>
      <c r="N203" s="35">
        <v>94.2</v>
      </c>
      <c r="O203" s="35">
        <f t="shared" si="16"/>
        <v>0.83830523130134038</v>
      </c>
      <c r="P203" s="35">
        <f t="shared" si="13"/>
        <v>50.298313878080414</v>
      </c>
      <c r="Q203" s="35">
        <v>0</v>
      </c>
      <c r="R203" s="35">
        <f t="shared" si="15"/>
        <v>100</v>
      </c>
    </row>
    <row r="204" spans="1:18" x14ac:dyDescent="0.3">
      <c r="A204" s="35" t="s">
        <v>247</v>
      </c>
      <c r="B204" s="35">
        <v>22.89</v>
      </c>
      <c r="C204" s="35">
        <v>205</v>
      </c>
      <c r="D204" s="35" t="s">
        <v>9</v>
      </c>
      <c r="E204" s="36" t="str" cm="1">
        <f t="array" ref="E204">GetNumber(D204,1)</f>
        <v>17</v>
      </c>
      <c r="F204" s="36" t="str" cm="1">
        <f t="array" ref="F204">GetNumber(D204,2)</f>
        <v>12</v>
      </c>
      <c r="G204" s="35">
        <v>37</v>
      </c>
      <c r="H204" s="35">
        <v>6692</v>
      </c>
      <c r="I204" s="35">
        <f>42.09*($T$2)</f>
        <v>84.18</v>
      </c>
      <c r="J204" s="35">
        <f>1557.5*($T$2)</f>
        <v>3115</v>
      </c>
      <c r="K204" s="35">
        <f t="shared" si="17"/>
        <v>1.9261637239165328</v>
      </c>
      <c r="L204" s="35">
        <f t="shared" si="18"/>
        <v>1.9263739862456897</v>
      </c>
      <c r="M204" s="35">
        <f>11.453*($T$2)</f>
        <v>22.905999999999999</v>
      </c>
      <c r="N204" s="35">
        <v>111.5</v>
      </c>
      <c r="O204" s="35">
        <f t="shared" si="16"/>
        <v>0.73534510433386835</v>
      </c>
      <c r="P204" s="35">
        <f t="shared" si="13"/>
        <v>44.120706260032101</v>
      </c>
      <c r="Q204" s="35">
        <v>0</v>
      </c>
      <c r="R204" s="35">
        <f t="shared" si="15"/>
        <v>100</v>
      </c>
    </row>
    <row r="205" spans="1:18" x14ac:dyDescent="0.3">
      <c r="A205" s="35" t="s">
        <v>247</v>
      </c>
      <c r="B205" s="35">
        <v>22.89</v>
      </c>
      <c r="C205" s="35">
        <v>205</v>
      </c>
      <c r="D205" s="35" t="s">
        <v>10</v>
      </c>
      <c r="E205" s="36" t="str" cm="1">
        <f t="array" ref="E205">GetNumber(D205,1)</f>
        <v>18</v>
      </c>
      <c r="F205" s="36" t="str" cm="1">
        <f t="array" ref="F205">GetNumber(D205,2)</f>
        <v>8</v>
      </c>
      <c r="G205" s="35">
        <v>37</v>
      </c>
      <c r="H205" s="35">
        <v>6913</v>
      </c>
      <c r="I205" s="35">
        <f>30.82*($T$2)</f>
        <v>61.64</v>
      </c>
      <c r="J205" s="35">
        <f>1140.3*($T$2)</f>
        <v>2280.6</v>
      </c>
      <c r="K205" s="35">
        <f t="shared" si="17"/>
        <v>2.6308866087871614</v>
      </c>
      <c r="L205" s="35">
        <f t="shared" si="18"/>
        <v>2.6307943244997105</v>
      </c>
      <c r="M205" s="35">
        <f>12.995*($T$2)</f>
        <v>25.99</v>
      </c>
      <c r="N205" s="35">
        <v>76.900000000000006</v>
      </c>
      <c r="O205" s="35">
        <f t="shared" si="16"/>
        <v>1.1396123827063054</v>
      </c>
      <c r="P205" s="35">
        <f t="shared" si="13"/>
        <v>68.376742962378316</v>
      </c>
      <c r="Q205" s="35">
        <v>0</v>
      </c>
      <c r="R205" s="35">
        <f t="shared" si="15"/>
        <v>100</v>
      </c>
    </row>
    <row r="206" spans="1:18" x14ac:dyDescent="0.3">
      <c r="A206" s="35" t="s">
        <v>247</v>
      </c>
      <c r="B206" s="35">
        <v>22.89</v>
      </c>
      <c r="C206" s="35">
        <v>205</v>
      </c>
      <c r="D206" s="35" t="s">
        <v>11</v>
      </c>
      <c r="E206" s="36" t="str" cm="1">
        <f t="array" ref="E206">GetNumber(D206,1)</f>
        <v>18</v>
      </c>
      <c r="F206" s="36" t="str" cm="1">
        <f t="array" ref="F206">GetNumber(D206,2)</f>
        <v>10</v>
      </c>
      <c r="G206" s="35">
        <v>37</v>
      </c>
      <c r="H206" s="35">
        <v>6773</v>
      </c>
      <c r="I206" s="35">
        <f>37.77*($T$2)</f>
        <v>75.540000000000006</v>
      </c>
      <c r="J206" s="35">
        <f>1397.3*($T$2)</f>
        <v>2794.6</v>
      </c>
      <c r="K206" s="35">
        <f t="shared" si="17"/>
        <v>2.1469977814356258</v>
      </c>
      <c r="L206" s="35">
        <f t="shared" si="18"/>
        <v>2.1467058798274046</v>
      </c>
      <c r="M206" s="35">
        <f>13.542*($T$2)</f>
        <v>27.084</v>
      </c>
      <c r="N206" s="35">
        <v>94</v>
      </c>
      <c r="O206" s="35">
        <f t="shared" si="16"/>
        <v>0.96915479854004161</v>
      </c>
      <c r="P206" s="35">
        <f t="shared" si="13"/>
        <v>58.149287912402485</v>
      </c>
      <c r="Q206" s="35">
        <v>0</v>
      </c>
      <c r="R206" s="35">
        <f t="shared" si="15"/>
        <v>100</v>
      </c>
    </row>
    <row r="207" spans="1:18" x14ac:dyDescent="0.3">
      <c r="A207" s="35" t="s">
        <v>247</v>
      </c>
      <c r="B207" s="35">
        <v>22.89</v>
      </c>
      <c r="C207" s="35">
        <v>205</v>
      </c>
      <c r="D207" s="35" t="s">
        <v>14</v>
      </c>
      <c r="E207" s="36" t="str" cm="1">
        <f t="array" ref="E207">GetNumber(D207,1)</f>
        <v>19</v>
      </c>
      <c r="F207" s="36" t="str" cm="1">
        <f t="array" ref="F207">GetNumber(D207,2)</f>
        <v>10</v>
      </c>
      <c r="G207" s="35">
        <v>37</v>
      </c>
      <c r="H207" s="35">
        <v>6658</v>
      </c>
      <c r="I207" s="35">
        <f>43.99*($T$2)</f>
        <v>87.98</v>
      </c>
      <c r="J207" s="35">
        <f>1627.5*($T$2)</f>
        <v>3255</v>
      </c>
      <c r="K207" s="35">
        <f t="shared" si="17"/>
        <v>1.8433179723502304</v>
      </c>
      <c r="L207" s="35">
        <f t="shared" si="18"/>
        <v>1.8431707451939321</v>
      </c>
      <c r="M207" s="35">
        <f>15.963*($T$2)</f>
        <v>31.925999999999998</v>
      </c>
      <c r="N207" s="35">
        <v>92.4</v>
      </c>
      <c r="O207" s="35">
        <f t="shared" si="16"/>
        <v>0.98082949308755751</v>
      </c>
      <c r="P207" s="35">
        <f t="shared" si="13"/>
        <v>58.849769585253455</v>
      </c>
      <c r="Q207" s="35">
        <v>0</v>
      </c>
      <c r="R207" s="35">
        <f t="shared" si="15"/>
        <v>100</v>
      </c>
    </row>
    <row r="208" spans="1:18" x14ac:dyDescent="0.3">
      <c r="A208" s="35" t="s">
        <v>247</v>
      </c>
      <c r="B208" s="35">
        <v>22.89</v>
      </c>
      <c r="C208" s="35">
        <v>205</v>
      </c>
      <c r="D208" s="35" t="s">
        <v>1</v>
      </c>
      <c r="E208" s="36" t="str" cm="1">
        <f t="array" ref="E208">GetNumber(D208,1)</f>
        <v>15</v>
      </c>
      <c r="F208" s="36" t="str" cm="1">
        <f t="array" ref="F208">GetNumber(D208,2)</f>
        <v>10</v>
      </c>
      <c r="G208" s="35">
        <v>44.4</v>
      </c>
      <c r="H208" s="35">
        <v>8133</v>
      </c>
      <c r="I208" s="35">
        <f>38.34*($T$2)</f>
        <v>76.680000000000007</v>
      </c>
      <c r="J208" s="35">
        <f>1702.4*($T$2)</f>
        <v>3404.8</v>
      </c>
      <c r="K208" s="35">
        <f t="shared" si="17"/>
        <v>1.762218045112782</v>
      </c>
      <c r="L208" s="35">
        <f t="shared" si="18"/>
        <v>1.7623257059876778</v>
      </c>
      <c r="M208" s="35">
        <f>10.816*($T$2)</f>
        <v>21.632000000000001</v>
      </c>
      <c r="N208" s="35">
        <v>112.9</v>
      </c>
      <c r="O208" s="35">
        <f t="shared" si="16"/>
        <v>0.63533834586466165</v>
      </c>
      <c r="P208" s="35">
        <f t="shared" si="13"/>
        <v>38.120300751879704</v>
      </c>
      <c r="Q208" s="35">
        <v>0</v>
      </c>
      <c r="R208" s="35">
        <f t="shared" si="15"/>
        <v>100</v>
      </c>
    </row>
    <row r="209" spans="1:18" x14ac:dyDescent="0.3">
      <c r="A209" s="35" t="s">
        <v>247</v>
      </c>
      <c r="B209" s="35">
        <v>22.89</v>
      </c>
      <c r="C209" s="35">
        <v>205</v>
      </c>
      <c r="D209" s="35" t="s">
        <v>3</v>
      </c>
      <c r="E209" s="36" t="str" cm="1">
        <f t="array" ref="E209">GetNumber(D209,1)</f>
        <v>16</v>
      </c>
      <c r="F209" s="36" t="str" cm="1">
        <f t="array" ref="F209">GetNumber(D209,2)</f>
        <v>8</v>
      </c>
      <c r="G209" s="35">
        <v>44.4</v>
      </c>
      <c r="H209" s="35">
        <v>8045</v>
      </c>
      <c r="I209" s="35">
        <f>42.46*($T$2)</f>
        <v>84.92</v>
      </c>
      <c r="J209" s="35">
        <f>1885.4*($T$2)</f>
        <v>3770.8</v>
      </c>
      <c r="K209" s="35">
        <f t="shared" si="17"/>
        <v>1.5911742866235281</v>
      </c>
      <c r="L209" s="35">
        <f t="shared" si="18"/>
        <v>1.591322834846151</v>
      </c>
      <c r="M209" s="35">
        <f>12.946*($T$2)</f>
        <v>25.891999999999999</v>
      </c>
      <c r="N209" s="35">
        <v>89.3</v>
      </c>
      <c r="O209" s="35">
        <f t="shared" si="16"/>
        <v>0.68664474382093976</v>
      </c>
      <c r="P209" s="35">
        <f t="shared" ref="P209:P272" si="19">M209*K209</f>
        <v>41.198684629256391</v>
      </c>
      <c r="Q209" s="35">
        <v>0</v>
      </c>
      <c r="R209" s="35">
        <f t="shared" si="15"/>
        <v>100</v>
      </c>
    </row>
    <row r="210" spans="1:18" x14ac:dyDescent="0.3">
      <c r="A210" s="35" t="s">
        <v>247</v>
      </c>
      <c r="B210" s="35">
        <v>22.89</v>
      </c>
      <c r="C210" s="35">
        <v>205</v>
      </c>
      <c r="D210" s="35" t="s">
        <v>10</v>
      </c>
      <c r="E210" s="36" t="str" cm="1">
        <f t="array" ref="E210">GetNumber(D210,1)</f>
        <v>18</v>
      </c>
      <c r="F210" s="36" t="str" cm="1">
        <f t="array" ref="F210">GetNumber(D210,2)</f>
        <v>8</v>
      </c>
      <c r="G210" s="35">
        <v>44.4</v>
      </c>
      <c r="H210" s="35">
        <v>8029</v>
      </c>
      <c r="I210" s="35">
        <f>43*($T$2)</f>
        <v>86</v>
      </c>
      <c r="J210" s="35">
        <f>1909*($T$2)</f>
        <v>3818</v>
      </c>
      <c r="K210" s="35">
        <f t="shared" si="17"/>
        <v>1.5715034049240442</v>
      </c>
      <c r="L210" s="35">
        <f t="shared" si="18"/>
        <v>1.5713387806411063</v>
      </c>
      <c r="M210" s="35">
        <f>17.774*($T$2)</f>
        <v>35.548000000000002</v>
      </c>
      <c r="N210" s="35">
        <v>89.2</v>
      </c>
      <c r="O210" s="35">
        <f t="shared" si="16"/>
        <v>0.93106338397066535</v>
      </c>
      <c r="P210" s="35">
        <f t="shared" si="19"/>
        <v>55.863803038239922</v>
      </c>
      <c r="Q210" s="35">
        <v>0</v>
      </c>
      <c r="R210" s="35">
        <f t="shared" si="15"/>
        <v>100</v>
      </c>
    </row>
    <row r="211" spans="1:18" x14ac:dyDescent="0.3">
      <c r="A211" s="35" t="s">
        <v>248</v>
      </c>
      <c r="B211" s="35">
        <v>28.85</v>
      </c>
      <c r="C211" s="35">
        <v>160</v>
      </c>
      <c r="D211" s="35" t="s">
        <v>12</v>
      </c>
      <c r="E211" s="36" t="str" cm="1">
        <f t="array" ref="E211">GetNumber(D211,1)</f>
        <v>18</v>
      </c>
      <c r="F211" s="36" t="str" cm="1">
        <f t="array" ref="F211">GetNumber(D211,2)</f>
        <v>12</v>
      </c>
      <c r="G211" s="35">
        <v>37</v>
      </c>
      <c r="H211" s="35">
        <v>5600</v>
      </c>
      <c r="I211" s="35">
        <f>31.94*($T$2)</f>
        <v>63.88</v>
      </c>
      <c r="J211" s="35">
        <f>1181.6*($T$2)</f>
        <v>2363.1999999999998</v>
      </c>
      <c r="K211" s="35">
        <f t="shared" si="17"/>
        <v>2.5389302640487479</v>
      </c>
      <c r="L211" s="35">
        <f t="shared" si="18"/>
        <v>2.5385435529455567</v>
      </c>
      <c r="M211" s="35">
        <f>10.079*($T$2)</f>
        <v>20.158000000000001</v>
      </c>
      <c r="N211" s="35">
        <v>93.3</v>
      </c>
      <c r="O211" s="35">
        <f t="shared" si="16"/>
        <v>0.85299593771157767</v>
      </c>
      <c r="P211" s="35">
        <f t="shared" si="19"/>
        <v>51.17975626269466</v>
      </c>
      <c r="Q211" s="35">
        <v>0</v>
      </c>
      <c r="R211" s="35">
        <f t="shared" si="15"/>
        <v>100</v>
      </c>
    </row>
    <row r="212" spans="1:18" x14ac:dyDescent="0.3">
      <c r="A212" s="35" t="s">
        <v>248</v>
      </c>
      <c r="B212" s="35">
        <v>28.85</v>
      </c>
      <c r="C212" s="35">
        <v>160</v>
      </c>
      <c r="D212" s="35" t="s">
        <v>109</v>
      </c>
      <c r="E212" s="36" t="str" cm="1">
        <f t="array" ref="E212">GetNumber(D212,1)</f>
        <v>19</v>
      </c>
      <c r="F212" s="36" t="str" cm="1">
        <f t="array" ref="F212">GetNumber(D212,2)</f>
        <v>12</v>
      </c>
      <c r="G212" s="35">
        <v>37</v>
      </c>
      <c r="H212" s="35">
        <v>5614</v>
      </c>
      <c r="I212" s="35">
        <f>31.07*($T$2)</f>
        <v>62.14</v>
      </c>
      <c r="J212" s="35">
        <f>1149.7*($T$2)</f>
        <v>2299.4</v>
      </c>
      <c r="K212" s="35">
        <f t="shared" si="17"/>
        <v>2.6093763590501871</v>
      </c>
      <c r="L212" s="35">
        <f t="shared" si="18"/>
        <v>2.6096260405883838</v>
      </c>
      <c r="M212" s="35">
        <f>12.536*($T$2)</f>
        <v>25.071999999999999</v>
      </c>
      <c r="N212" s="35">
        <v>93.6</v>
      </c>
      <c r="O212" s="35">
        <f t="shared" si="16"/>
        <v>1.0903714012351047</v>
      </c>
      <c r="P212" s="35">
        <f t="shared" si="19"/>
        <v>65.422284074106287</v>
      </c>
      <c r="Q212" s="35">
        <v>0</v>
      </c>
      <c r="R212" s="35">
        <f t="shared" si="15"/>
        <v>100</v>
      </c>
    </row>
    <row r="213" spans="1:18" x14ac:dyDescent="0.3">
      <c r="A213" s="35" t="s">
        <v>248</v>
      </c>
      <c r="B213" s="35">
        <v>28.85</v>
      </c>
      <c r="C213" s="35">
        <v>160</v>
      </c>
      <c r="D213" s="35" t="s">
        <v>114</v>
      </c>
      <c r="E213" s="36" t="str" cm="1">
        <f t="array" ref="E213">GetNumber(D213,1)</f>
        <v>20</v>
      </c>
      <c r="F213" s="36" t="str" cm="1">
        <f t="array" ref="F213">GetNumber(D213,2)</f>
        <v>10</v>
      </c>
      <c r="G213" s="35">
        <v>37</v>
      </c>
      <c r="H213" s="35">
        <v>5596</v>
      </c>
      <c r="I213" s="35">
        <f>32.48*($T$2)</f>
        <v>64.959999999999994</v>
      </c>
      <c r="J213" s="35">
        <f>1201.6*($T$2)</f>
        <v>2403.1999999999998</v>
      </c>
      <c r="K213" s="35">
        <f t="shared" si="17"/>
        <v>2.4966711051930761</v>
      </c>
      <c r="L213" s="35">
        <f t="shared" si="18"/>
        <v>2.4963387032352551</v>
      </c>
      <c r="M213" s="35">
        <f>13.97*($T$2)</f>
        <v>27.94</v>
      </c>
      <c r="N213" s="35">
        <v>77.7</v>
      </c>
      <c r="O213" s="35">
        <f t="shared" si="16"/>
        <v>1.1626165113182425</v>
      </c>
      <c r="P213" s="35">
        <f t="shared" si="19"/>
        <v>69.756990679094557</v>
      </c>
      <c r="Q213" s="35">
        <v>0</v>
      </c>
      <c r="R213" s="35">
        <f t="shared" si="15"/>
        <v>100</v>
      </c>
    </row>
    <row r="214" spans="1:18" x14ac:dyDescent="0.3">
      <c r="A214" s="35" t="s">
        <v>248</v>
      </c>
      <c r="B214" s="35">
        <v>28.85</v>
      </c>
      <c r="C214" s="35">
        <v>160</v>
      </c>
      <c r="D214" s="35" t="s">
        <v>249</v>
      </c>
      <c r="E214" s="36" t="str" cm="1">
        <f t="array" ref="E214">GetNumber(D214,1)</f>
        <v>20</v>
      </c>
      <c r="F214" s="36" t="str" cm="1">
        <f t="array" ref="F214">GetNumber(D214,2)</f>
        <v>11</v>
      </c>
      <c r="G214" s="35">
        <v>37</v>
      </c>
      <c r="H214" s="35">
        <v>5550</v>
      </c>
      <c r="I214" s="35">
        <f>35.56*($T$2)</f>
        <v>71.12</v>
      </c>
      <c r="J214" s="35">
        <f>1315.6*($T$2)</f>
        <v>2631.2</v>
      </c>
      <c r="K214" s="35">
        <f t="shared" si="17"/>
        <v>2.2803283672848891</v>
      </c>
      <c r="L214" s="35">
        <f t="shared" si="18"/>
        <v>2.2801203903566103</v>
      </c>
      <c r="M214" s="35">
        <f>14.062*($T$2)</f>
        <v>28.123999999999999</v>
      </c>
      <c r="N214" s="35">
        <v>84.8</v>
      </c>
      <c r="O214" s="35">
        <f t="shared" si="16"/>
        <v>1.0688659166920036</v>
      </c>
      <c r="P214" s="35">
        <f t="shared" si="19"/>
        <v>64.131955001520211</v>
      </c>
      <c r="Q214" s="35">
        <v>0</v>
      </c>
      <c r="R214" s="35">
        <f t="shared" si="15"/>
        <v>100</v>
      </c>
    </row>
    <row r="215" spans="1:18" x14ac:dyDescent="0.3">
      <c r="A215" s="35" t="s">
        <v>248</v>
      </c>
      <c r="B215" s="35">
        <v>28.85</v>
      </c>
      <c r="C215" s="35">
        <v>160</v>
      </c>
      <c r="D215" s="35" t="s">
        <v>250</v>
      </c>
      <c r="E215" s="36" t="str" cm="1">
        <f t="array" ref="E215">GetNumber(D215,1)</f>
        <v>20</v>
      </c>
      <c r="F215" s="36" t="str" cm="1">
        <f t="array" ref="F215">GetNumber(D215,2)</f>
        <v>13</v>
      </c>
      <c r="G215" s="35">
        <v>37</v>
      </c>
      <c r="H215" s="35">
        <v>5511</v>
      </c>
      <c r="I215" s="35">
        <f>37.89*($T$2)</f>
        <v>75.78</v>
      </c>
      <c r="J215" s="35">
        <f>1401.9*($T$2)</f>
        <v>2803.8</v>
      </c>
      <c r="K215" s="35">
        <f t="shared" si="17"/>
        <v>2.1399529210357371</v>
      </c>
      <c r="L215" s="35">
        <f t="shared" si="18"/>
        <v>2.1399071280306434</v>
      </c>
      <c r="M215" s="35">
        <f>14.567*($T$2)</f>
        <v>29.134</v>
      </c>
      <c r="N215" s="35">
        <v>99.4</v>
      </c>
      <c r="O215" s="35">
        <f t="shared" si="16"/>
        <v>1.0390898066909193</v>
      </c>
      <c r="P215" s="35">
        <f t="shared" si="19"/>
        <v>62.345388401455168</v>
      </c>
      <c r="Q215" s="35">
        <v>0</v>
      </c>
      <c r="R215" s="35">
        <f t="shared" si="15"/>
        <v>100</v>
      </c>
    </row>
    <row r="216" spans="1:18" x14ac:dyDescent="0.3">
      <c r="A216" s="35" t="s">
        <v>248</v>
      </c>
      <c r="B216" s="35">
        <v>28.85</v>
      </c>
      <c r="C216" s="35">
        <v>160</v>
      </c>
      <c r="D216" s="35" t="s">
        <v>251</v>
      </c>
      <c r="E216" s="36" t="str" cm="1">
        <f t="array" ref="E216">GetNumber(D216,1)</f>
        <v>21</v>
      </c>
      <c r="F216" s="36" t="str" cm="1">
        <f t="array" ref="F216">GetNumber(D216,2)</f>
        <v>14</v>
      </c>
      <c r="G216" s="35">
        <v>37</v>
      </c>
      <c r="H216" s="35">
        <v>5450</v>
      </c>
      <c r="I216" s="35">
        <f>42.36*($T$2)</f>
        <v>84.72</v>
      </c>
      <c r="J216" s="35">
        <f>1567.5*($T$2)</f>
        <v>3135</v>
      </c>
      <c r="K216" s="35">
        <f t="shared" si="17"/>
        <v>1.9138755980861242</v>
      </c>
      <c r="L216" s="35">
        <f t="shared" si="18"/>
        <v>1.9140953985146618</v>
      </c>
      <c r="M216" s="35">
        <f>16.923*($T$2)</f>
        <v>33.845999999999997</v>
      </c>
      <c r="N216" s="35">
        <v>106</v>
      </c>
      <c r="O216" s="35">
        <f t="shared" si="16"/>
        <v>1.0796172248803826</v>
      </c>
      <c r="P216" s="35">
        <f t="shared" si="19"/>
        <v>64.777033492822952</v>
      </c>
      <c r="Q216" s="35">
        <v>0</v>
      </c>
      <c r="R216" s="35">
        <f t="shared" si="15"/>
        <v>100</v>
      </c>
    </row>
    <row r="217" spans="1:18" x14ac:dyDescent="0.3">
      <c r="A217" s="35" t="s">
        <v>248</v>
      </c>
      <c r="B217" s="35">
        <v>28.85</v>
      </c>
      <c r="C217" s="35">
        <v>160</v>
      </c>
      <c r="D217" s="35" t="s">
        <v>252</v>
      </c>
      <c r="E217" s="36" t="str" cm="1">
        <f t="array" ref="E217">GetNumber(D217,1)</f>
        <v>22</v>
      </c>
      <c r="F217" s="36" t="str" cm="1">
        <f t="array" ref="F217">GetNumber(D217,2)</f>
        <v>10</v>
      </c>
      <c r="G217" s="35">
        <v>37</v>
      </c>
      <c r="H217" s="35">
        <v>5441</v>
      </c>
      <c r="I217" s="35">
        <f>42.66*($T$2)</f>
        <v>85.32</v>
      </c>
      <c r="J217" s="35">
        <f>1578.3*($T$2)</f>
        <v>3156.6</v>
      </c>
      <c r="K217" s="35">
        <f t="shared" si="17"/>
        <v>1.9007793195210037</v>
      </c>
      <c r="L217" s="35">
        <f t="shared" si="18"/>
        <v>1.9006348120272172</v>
      </c>
      <c r="M217" s="35">
        <f>17.785*($T$2)</f>
        <v>35.57</v>
      </c>
      <c r="N217" s="35">
        <v>75.5</v>
      </c>
      <c r="O217" s="35">
        <f t="shared" si="16"/>
        <v>1.1268453399227016</v>
      </c>
      <c r="P217" s="35">
        <f t="shared" si="19"/>
        <v>67.610720395362094</v>
      </c>
      <c r="Q217" s="35">
        <v>0</v>
      </c>
      <c r="R217" s="35">
        <f t="shared" si="15"/>
        <v>100</v>
      </c>
    </row>
    <row r="218" spans="1:18" x14ac:dyDescent="0.3">
      <c r="A218" s="35" t="s">
        <v>248</v>
      </c>
      <c r="B218" s="35">
        <v>28.85</v>
      </c>
      <c r="C218" s="35">
        <v>160</v>
      </c>
      <c r="D218" s="35" t="s">
        <v>5</v>
      </c>
      <c r="E218" s="36" t="str" cm="1">
        <f t="array" ref="E218">GetNumber(D218,1)</f>
        <v>16</v>
      </c>
      <c r="F218" s="36" t="str" cm="1">
        <f t="array" ref="F218">GetNumber(D218,2)</f>
        <v>12</v>
      </c>
      <c r="G218" s="35">
        <v>44.4</v>
      </c>
      <c r="H218" s="35">
        <v>6781</v>
      </c>
      <c r="I218" s="35">
        <f>30.87*($T$2)</f>
        <v>61.74</v>
      </c>
      <c r="J218" s="35">
        <f>1370.8*($T$2)</f>
        <v>2741.6</v>
      </c>
      <c r="K218" s="35">
        <f t="shared" si="17"/>
        <v>2.1885030639042893</v>
      </c>
      <c r="L218" s="35">
        <f t="shared" si="18"/>
        <v>2.1887776989817809</v>
      </c>
      <c r="M218" s="35">
        <f>9.168*($T$2)</f>
        <v>18.335999999999999</v>
      </c>
      <c r="N218" s="35">
        <v>113.1</v>
      </c>
      <c r="O218" s="35">
        <f t="shared" si="16"/>
        <v>0.66880653632915077</v>
      </c>
      <c r="P218" s="35">
        <f t="shared" si="19"/>
        <v>40.128392179749042</v>
      </c>
      <c r="Q218" s="35">
        <v>0</v>
      </c>
      <c r="R218" s="35">
        <f t="shared" si="15"/>
        <v>100</v>
      </c>
    </row>
    <row r="219" spans="1:18" x14ac:dyDescent="0.3">
      <c r="A219" s="35" t="s">
        <v>248</v>
      </c>
      <c r="B219" s="35">
        <v>28.85</v>
      </c>
      <c r="C219" s="35">
        <v>160</v>
      </c>
      <c r="D219" s="35" t="s">
        <v>7</v>
      </c>
      <c r="E219" s="36" t="str" cm="1">
        <f t="array" ref="E219">GetNumber(D219,1)</f>
        <v>17</v>
      </c>
      <c r="F219" s="36" t="str" cm="1">
        <f t="array" ref="F219">GetNumber(D219,2)</f>
        <v>8</v>
      </c>
      <c r="G219" s="35">
        <v>44.4</v>
      </c>
      <c r="H219" s="35">
        <v>6861</v>
      </c>
      <c r="I219" s="35">
        <f>24.77*($T$2)</f>
        <v>49.54</v>
      </c>
      <c r="J219" s="35">
        <f>1099.8*($T$2)</f>
        <v>2199.6</v>
      </c>
      <c r="K219" s="35">
        <f t="shared" si="17"/>
        <v>2.7277686852154939</v>
      </c>
      <c r="L219" s="35">
        <f t="shared" si="18"/>
        <v>2.7277984484282429</v>
      </c>
      <c r="M219" s="35">
        <f>10.908*($T$2)</f>
        <v>21.815999999999999</v>
      </c>
      <c r="N219" s="35">
        <v>76.3</v>
      </c>
      <c r="O219" s="35">
        <f t="shared" si="16"/>
        <v>0.99181669394435357</v>
      </c>
      <c r="P219" s="35">
        <f t="shared" si="19"/>
        <v>59.50900163666121</v>
      </c>
      <c r="Q219" s="35">
        <v>0</v>
      </c>
      <c r="R219" s="35">
        <f t="shared" si="15"/>
        <v>100</v>
      </c>
    </row>
    <row r="220" spans="1:18" x14ac:dyDescent="0.3">
      <c r="A220" s="35" t="s">
        <v>248</v>
      </c>
      <c r="B220" s="35">
        <v>28.85</v>
      </c>
      <c r="C220" s="35">
        <v>160</v>
      </c>
      <c r="D220" s="35" t="s">
        <v>8</v>
      </c>
      <c r="E220" s="36" t="str" cm="1">
        <f t="array" ref="E220">GetNumber(D220,1)</f>
        <v>17</v>
      </c>
      <c r="F220" s="36" t="str" cm="1">
        <f t="array" ref="F220">GetNumber(D220,2)</f>
        <v>10</v>
      </c>
      <c r="G220" s="35">
        <v>44.4</v>
      </c>
      <c r="H220" s="35">
        <v>6759</v>
      </c>
      <c r="I220" s="35">
        <f>30.51*($T$2)</f>
        <v>61.02</v>
      </c>
      <c r="J220" s="35">
        <f>1354.7*($T$2)</f>
        <v>2709.4</v>
      </c>
      <c r="K220" s="35">
        <f t="shared" si="17"/>
        <v>2.2145124381781942</v>
      </c>
      <c r="L220" s="35">
        <f t="shared" si="18"/>
        <v>2.214603984515489</v>
      </c>
      <c r="M220" s="35">
        <f>11.74*($T$2)</f>
        <v>23.48</v>
      </c>
      <c r="N220" s="35">
        <v>93.9</v>
      </c>
      <c r="O220" s="35">
        <f t="shared" si="16"/>
        <v>0.86661253414040007</v>
      </c>
      <c r="P220" s="35">
        <f t="shared" si="19"/>
        <v>51.996752048424</v>
      </c>
      <c r="Q220" s="35">
        <v>0</v>
      </c>
      <c r="R220" s="35">
        <f t="shared" si="15"/>
        <v>100</v>
      </c>
    </row>
    <row r="221" spans="1:18" x14ac:dyDescent="0.3">
      <c r="A221" s="35" t="s">
        <v>248</v>
      </c>
      <c r="B221" s="35">
        <v>28.85</v>
      </c>
      <c r="C221" s="35">
        <v>160</v>
      </c>
      <c r="D221" s="35" t="s">
        <v>9</v>
      </c>
      <c r="E221" s="36" t="str" cm="1">
        <f t="array" ref="E221">GetNumber(D221,1)</f>
        <v>17</v>
      </c>
      <c r="F221" s="36" t="str" cm="1">
        <f t="array" ref="F221">GetNumber(D221,2)</f>
        <v>12</v>
      </c>
      <c r="G221" s="35">
        <v>44.4</v>
      </c>
      <c r="H221" s="35">
        <v>6700</v>
      </c>
      <c r="I221" s="35">
        <f>34.82*($T$2)</f>
        <v>69.64</v>
      </c>
      <c r="J221" s="35">
        <f>1545.8*($T$2)</f>
        <v>3091.6</v>
      </c>
      <c r="K221" s="35">
        <f t="shared" si="17"/>
        <v>1.9407426575236126</v>
      </c>
      <c r="L221" s="35">
        <f t="shared" si="18"/>
        <v>1.9404815499014234</v>
      </c>
      <c r="M221" s="35">
        <f>11.603*($T$2)</f>
        <v>23.206</v>
      </c>
      <c r="N221" s="35">
        <v>111.6</v>
      </c>
      <c r="O221" s="35">
        <f t="shared" si="16"/>
        <v>0.75061456850821584</v>
      </c>
      <c r="P221" s="35">
        <f t="shared" si="19"/>
        <v>45.036874110492953</v>
      </c>
      <c r="Q221" s="35">
        <v>0</v>
      </c>
      <c r="R221" s="35">
        <f t="shared" si="15"/>
        <v>100</v>
      </c>
    </row>
    <row r="222" spans="1:18" x14ac:dyDescent="0.3">
      <c r="A222" s="35" t="s">
        <v>248</v>
      </c>
      <c r="B222" s="35">
        <v>28.85</v>
      </c>
      <c r="C222" s="35">
        <v>160</v>
      </c>
      <c r="D222" s="35" t="s">
        <v>11</v>
      </c>
      <c r="E222" s="36" t="str" cm="1">
        <f t="array" ref="E222">GetNumber(D222,1)</f>
        <v>18</v>
      </c>
      <c r="F222" s="36" t="str" cm="1">
        <f t="array" ref="F222">GetNumber(D222,2)</f>
        <v>10</v>
      </c>
      <c r="G222" s="35">
        <v>44.4</v>
      </c>
      <c r="H222" s="35">
        <v>6754</v>
      </c>
      <c r="I222" s="35">
        <f>31.29*($T$2)</f>
        <v>62.58</v>
      </c>
      <c r="J222" s="35">
        <f>1389.3*($T$2)</f>
        <v>2778.6</v>
      </c>
      <c r="K222" s="35">
        <f t="shared" si="17"/>
        <v>2.1593608291945583</v>
      </c>
      <c r="L222" s="35">
        <f t="shared" si="18"/>
        <v>2.1593981325524951</v>
      </c>
      <c r="M222" s="35">
        <f>13.659*($T$2)</f>
        <v>27.318000000000001</v>
      </c>
      <c r="N222" s="35">
        <v>93.9</v>
      </c>
      <c r="O222" s="35">
        <f t="shared" si="16"/>
        <v>0.98315698553228248</v>
      </c>
      <c r="P222" s="35">
        <f t="shared" si="19"/>
        <v>58.989419131936948</v>
      </c>
      <c r="Q222" s="35">
        <v>0</v>
      </c>
      <c r="R222" s="35">
        <f t="shared" si="15"/>
        <v>100</v>
      </c>
    </row>
    <row r="223" spans="1:18" x14ac:dyDescent="0.3">
      <c r="A223" s="35" t="s">
        <v>248</v>
      </c>
      <c r="B223" s="35">
        <v>28.85</v>
      </c>
      <c r="C223" s="35">
        <v>160</v>
      </c>
      <c r="D223" s="35" t="s">
        <v>13</v>
      </c>
      <c r="E223" s="36" t="str" cm="1">
        <f t="array" ref="E223">GetNumber(D223,1)</f>
        <v>19</v>
      </c>
      <c r="F223" s="36" t="str" cm="1">
        <f t="array" ref="F223">GetNumber(D223,2)</f>
        <v>8</v>
      </c>
      <c r="G223" s="35">
        <v>44.4</v>
      </c>
      <c r="H223" s="35">
        <v>6677</v>
      </c>
      <c r="I223" s="35">
        <f>38.37*($T$2)</f>
        <v>76.739999999999995</v>
      </c>
      <c r="J223" s="35">
        <f>1703.6*($T$2)</f>
        <v>3407.2</v>
      </c>
      <c r="K223" s="35">
        <f t="shared" si="17"/>
        <v>1.7609767551068327</v>
      </c>
      <c r="L223" s="35">
        <f t="shared" si="18"/>
        <v>1.7609478125506275</v>
      </c>
      <c r="M223" s="35">
        <f>16.021*($T$2)</f>
        <v>32.042000000000002</v>
      </c>
      <c r="N223" s="35">
        <v>74.2</v>
      </c>
      <c r="O223" s="35">
        <f t="shared" si="16"/>
        <v>0.94042028645221887</v>
      </c>
      <c r="P223" s="35">
        <f t="shared" si="19"/>
        <v>56.425217187133136</v>
      </c>
      <c r="Q223" s="35">
        <v>0</v>
      </c>
      <c r="R223" s="35">
        <f t="shared" si="15"/>
        <v>100</v>
      </c>
    </row>
    <row r="224" spans="1:18" x14ac:dyDescent="0.3">
      <c r="A224" s="35" t="s">
        <v>248</v>
      </c>
      <c r="B224" s="35">
        <v>28.85</v>
      </c>
      <c r="C224" s="35">
        <v>160</v>
      </c>
      <c r="D224" s="35" t="s">
        <v>14</v>
      </c>
      <c r="E224" s="36" t="str" cm="1">
        <f t="array" ref="E224">GetNumber(D224,1)</f>
        <v>19</v>
      </c>
      <c r="F224" s="36" t="str" cm="1">
        <f t="array" ref="F224">GetNumber(D224,2)</f>
        <v>10</v>
      </c>
      <c r="G224" s="35">
        <v>44.4</v>
      </c>
      <c r="H224" s="35">
        <v>6648</v>
      </c>
      <c r="I224" s="35">
        <f>36.81*($T$2)</f>
        <v>73.62</v>
      </c>
      <c r="J224" s="35">
        <f>1634.3*($T$2)</f>
        <v>3268.6</v>
      </c>
      <c r="K224" s="35">
        <f t="shared" si="17"/>
        <v>1.8356482897876767</v>
      </c>
      <c r="L224" s="35">
        <f t="shared" si="18"/>
        <v>1.835576407703547</v>
      </c>
      <c r="M224" s="35">
        <f>16.153*($T$2)</f>
        <v>32.305999999999997</v>
      </c>
      <c r="N224" s="35">
        <v>92.4</v>
      </c>
      <c r="O224" s="35">
        <f t="shared" si="16"/>
        <v>0.98837422749801129</v>
      </c>
      <c r="P224" s="35">
        <f t="shared" si="19"/>
        <v>59.302453649880675</v>
      </c>
      <c r="Q224" s="35">
        <v>0</v>
      </c>
      <c r="R224" s="35">
        <f t="shared" si="15"/>
        <v>100</v>
      </c>
    </row>
    <row r="225" spans="1:18" x14ac:dyDescent="0.3">
      <c r="A225" s="35" t="s">
        <v>248</v>
      </c>
      <c r="B225" s="35">
        <v>28.85</v>
      </c>
      <c r="C225" s="35">
        <v>160</v>
      </c>
      <c r="D225" s="35" t="s">
        <v>15</v>
      </c>
      <c r="E225" s="36" t="str" cm="1">
        <f t="array" ref="E225">GetNumber(D225,1)</f>
        <v>20</v>
      </c>
      <c r="F225" s="36" t="str" cm="1">
        <f t="array" ref="F225">GetNumber(D225,2)</f>
        <v>8</v>
      </c>
      <c r="G225" s="35">
        <v>44.4</v>
      </c>
      <c r="H225" s="35">
        <v>6637</v>
      </c>
      <c r="I225" s="35">
        <f>38.85*($T$2)</f>
        <v>77.7</v>
      </c>
      <c r="J225" s="35">
        <f>1725*($T$2)</f>
        <v>3450</v>
      </c>
      <c r="K225" s="35">
        <f t="shared" si="17"/>
        <v>1.7391304347826086</v>
      </c>
      <c r="L225" s="35">
        <f t="shared" si="18"/>
        <v>1.7391909283801175</v>
      </c>
      <c r="M225" s="35">
        <f>17.856*($T$2)</f>
        <v>35.712000000000003</v>
      </c>
      <c r="N225" s="35">
        <v>73.8</v>
      </c>
      <c r="O225" s="35">
        <f t="shared" si="16"/>
        <v>1.0351304347826087</v>
      </c>
      <c r="P225" s="35">
        <f t="shared" si="19"/>
        <v>62.107826086956528</v>
      </c>
      <c r="Q225" s="35">
        <v>0</v>
      </c>
      <c r="R225" s="35">
        <f t="shared" si="15"/>
        <v>100</v>
      </c>
    </row>
    <row r="226" spans="1:18" x14ac:dyDescent="0.3">
      <c r="A226" s="35" t="s">
        <v>253</v>
      </c>
      <c r="B226" s="35">
        <v>4.2</v>
      </c>
      <c r="C226" s="35">
        <v>1950</v>
      </c>
      <c r="D226" s="35" t="s">
        <v>146</v>
      </c>
      <c r="E226" s="36" t="str" cm="1">
        <f t="array" ref="E226">GetNumber(D226,1)</f>
        <v>7</v>
      </c>
      <c r="F226" s="36" t="str" cm="1">
        <f t="array" ref="F226">GetNumber(D226,2)</f>
        <v>4</v>
      </c>
      <c r="G226" s="35">
        <v>11.1</v>
      </c>
      <c r="H226" s="35">
        <v>18631</v>
      </c>
      <c r="I226" s="35">
        <f>42.58*($T$2)</f>
        <v>85.16</v>
      </c>
      <c r="J226" s="35">
        <f>472.7*($T$2)</f>
        <v>945.4</v>
      </c>
      <c r="K226" s="35">
        <f t="shared" si="17"/>
        <v>6.3401734715464357</v>
      </c>
      <c r="L226" s="35">
        <f t="shared" si="18"/>
        <v>6.3410051667449512</v>
      </c>
      <c r="M226" s="35">
        <f>3.432*($T$2)</f>
        <v>6.8639999999999999</v>
      </c>
      <c r="N226" s="35">
        <v>103.5</v>
      </c>
      <c r="O226" s="35">
        <f t="shared" si="16"/>
        <v>0.72604188703194417</v>
      </c>
      <c r="P226" s="35">
        <f t="shared" si="19"/>
        <v>43.518950708694732</v>
      </c>
      <c r="Q226" s="35">
        <f>('Batt Capacity and Sys Weight'!$I$2) + (B226*$T$2)</f>
        <v>39.233000000000004</v>
      </c>
      <c r="R226" s="35">
        <f>'Batt Capacity and Sys Weight'!$H$2</f>
        <v>99.9</v>
      </c>
    </row>
    <row r="227" spans="1:18" x14ac:dyDescent="0.3">
      <c r="A227" s="35" t="s">
        <v>253</v>
      </c>
      <c r="B227" s="35">
        <v>4.2</v>
      </c>
      <c r="C227" s="35">
        <v>1950</v>
      </c>
      <c r="D227" s="35" t="s">
        <v>148</v>
      </c>
      <c r="E227" s="36" t="str" cm="1">
        <f t="array" ref="E227">GetNumber(D227,1)</f>
        <v>7</v>
      </c>
      <c r="F227" s="36" t="str" cm="1">
        <f t="array" ref="F227">GetNumber(D227,2)</f>
        <v>5</v>
      </c>
      <c r="G227" s="35">
        <v>11.1</v>
      </c>
      <c r="H227" s="35">
        <v>17974</v>
      </c>
      <c r="I227" s="35">
        <f>53.08*($T$2)</f>
        <v>106.16</v>
      </c>
      <c r="J227" s="35">
        <f>589.2*($T$2)</f>
        <v>1178.4000000000001</v>
      </c>
      <c r="K227" s="35">
        <f t="shared" si="17"/>
        <v>5.0865580448065177</v>
      </c>
      <c r="L227" s="35">
        <f t="shared" si="18"/>
        <v>5.0866616428033158</v>
      </c>
      <c r="M227" s="35">
        <f>3.377*($T$2)</f>
        <v>6.7539999999999996</v>
      </c>
      <c r="N227" s="35">
        <v>124.8</v>
      </c>
      <c r="O227" s="35">
        <f t="shared" si="16"/>
        <v>0.57315003394433128</v>
      </c>
      <c r="P227" s="35">
        <f t="shared" si="19"/>
        <v>34.35461303462322</v>
      </c>
      <c r="Q227" s="35">
        <f>('Batt Capacity and Sys Weight'!$I$2) + (B227*$T$2)</f>
        <v>39.233000000000004</v>
      </c>
      <c r="R227" s="35">
        <f>'Batt Capacity and Sys Weight'!$H$2</f>
        <v>99.9</v>
      </c>
    </row>
    <row r="228" spans="1:18" x14ac:dyDescent="0.3">
      <c r="A228" s="35" t="s">
        <v>253</v>
      </c>
      <c r="B228" s="35">
        <v>4.2</v>
      </c>
      <c r="C228" s="35">
        <v>1950</v>
      </c>
      <c r="D228" s="35" t="s">
        <v>149</v>
      </c>
      <c r="E228" s="36" t="str" cm="1">
        <f t="array" ref="E228">GetNumber(D228,1)</f>
        <v>7</v>
      </c>
      <c r="F228" s="36" t="str" cm="1">
        <f t="array" ref="F228">GetNumber(D228,2)</f>
        <v>6</v>
      </c>
      <c r="G228" s="35">
        <v>11.1</v>
      </c>
      <c r="H228" s="35">
        <v>17881</v>
      </c>
      <c r="I228" s="35">
        <f>54.74*($T$2)</f>
        <v>109.48</v>
      </c>
      <c r="J228" s="35">
        <f>607.6*($T$2)</f>
        <v>1215.2</v>
      </c>
      <c r="K228" s="35">
        <f t="shared" si="17"/>
        <v>4.9325213956550362</v>
      </c>
      <c r="L228" s="35">
        <f t="shared" si="18"/>
        <v>4.9324077457069784</v>
      </c>
      <c r="M228" s="35">
        <f>3.58*($T$2)</f>
        <v>7.16</v>
      </c>
      <c r="N228" s="35">
        <v>149</v>
      </c>
      <c r="O228" s="35">
        <f t="shared" si="16"/>
        <v>0.5892034233048058</v>
      </c>
      <c r="P228" s="35">
        <f t="shared" si="19"/>
        <v>35.316853192890058</v>
      </c>
      <c r="Q228" s="35">
        <f>('Batt Capacity and Sys Weight'!$I$2) + (B228*$T$2)</f>
        <v>39.233000000000004</v>
      </c>
      <c r="R228" s="35">
        <f>'Batt Capacity and Sys Weight'!$H$2</f>
        <v>99.9</v>
      </c>
    </row>
    <row r="229" spans="1:18" x14ac:dyDescent="0.3">
      <c r="A229" s="35" t="s">
        <v>253</v>
      </c>
      <c r="B229" s="35">
        <v>4.2</v>
      </c>
      <c r="C229" s="35">
        <v>1950</v>
      </c>
      <c r="D229" s="35" t="s">
        <v>159</v>
      </c>
      <c r="E229" s="36" t="str" cm="1">
        <f t="array" ref="E229">GetNumber(D229,1)</f>
        <v>6</v>
      </c>
      <c r="F229" s="36" t="str" cm="1">
        <f t="array" ref="F229">GetNumber(D229,2)</f>
        <v>4</v>
      </c>
      <c r="G229" s="35">
        <v>14.8</v>
      </c>
      <c r="H229" s="35">
        <v>25852</v>
      </c>
      <c r="I229" s="35">
        <f>43.52*($T$2)</f>
        <v>87.04</v>
      </c>
      <c r="J229" s="35">
        <f>644.1*($T$2)</f>
        <v>1288.2</v>
      </c>
      <c r="K229" s="35">
        <f t="shared" si="17"/>
        <v>4.5496040987424315</v>
      </c>
      <c r="L229" s="35">
        <f t="shared" si="18"/>
        <v>4.5496323529411757</v>
      </c>
      <c r="M229" s="35">
        <f>3.11*($T$2)</f>
        <v>6.22</v>
      </c>
      <c r="N229" s="35">
        <v>143.6</v>
      </c>
      <c r="O229" s="35">
        <f t="shared" si="16"/>
        <v>0.48284427883868963</v>
      </c>
      <c r="P229" s="35">
        <f t="shared" si="19"/>
        <v>28.298537494177925</v>
      </c>
      <c r="Q229" s="35">
        <f>('Batt Capacity and Sys Weight'!$I$3) + (B229*$T$2)</f>
        <v>34.788474999999998</v>
      </c>
      <c r="R229" s="35">
        <f>'Batt Capacity and Sys Weight'!$H$3</f>
        <v>97.68</v>
      </c>
    </row>
    <row r="230" spans="1:18" x14ac:dyDescent="0.3">
      <c r="A230" s="35" t="s">
        <v>253</v>
      </c>
      <c r="B230" s="35">
        <v>4.2</v>
      </c>
      <c r="C230" s="35">
        <v>1950</v>
      </c>
      <c r="D230" s="35" t="s">
        <v>202</v>
      </c>
      <c r="E230" s="36">
        <v>6</v>
      </c>
      <c r="F230" s="36">
        <v>4.3</v>
      </c>
      <c r="G230" s="35">
        <v>14.8</v>
      </c>
      <c r="H230" s="35">
        <v>24786</v>
      </c>
      <c r="I230" s="35">
        <f>58.34*($T$2)</f>
        <v>116.68</v>
      </c>
      <c r="J230" s="35">
        <f>863.4*($T$2)</f>
        <v>1726.8</v>
      </c>
      <c r="K230" s="35">
        <f t="shared" si="17"/>
        <v>3.3940236275191107</v>
      </c>
      <c r="L230" s="35">
        <f t="shared" si="18"/>
        <v>3.3938978402468289</v>
      </c>
      <c r="M230" s="35">
        <f>4.437*($T$2)</f>
        <v>8.8740000000000006</v>
      </c>
      <c r="N230" s="35">
        <v>148</v>
      </c>
      <c r="O230" s="35">
        <f t="shared" si="16"/>
        <v>0.51389854065323148</v>
      </c>
      <c r="P230" s="35">
        <f t="shared" si="19"/>
        <v>30.118565670604589</v>
      </c>
      <c r="Q230" s="35">
        <f>('Batt Capacity and Sys Weight'!$I$3) + (B230*$T$2)</f>
        <v>34.788474999999998</v>
      </c>
      <c r="R230" s="35">
        <f>'Batt Capacity and Sys Weight'!$H$3</f>
        <v>97.68</v>
      </c>
    </row>
    <row r="231" spans="1:18" x14ac:dyDescent="0.3">
      <c r="A231" s="35" t="s">
        <v>253</v>
      </c>
      <c r="B231" s="35">
        <v>4.2</v>
      </c>
      <c r="C231" s="35">
        <v>1950</v>
      </c>
      <c r="D231" s="35" t="s">
        <v>151</v>
      </c>
      <c r="E231" s="36" t="str" cm="1">
        <f t="array" ref="E231">GetNumber(D231,1)</f>
        <v>6</v>
      </c>
      <c r="F231" s="36" cm="1">
        <f t="array" ref="F231">GetNumber(D231,2)+(GetNumber(D231,3)/10)</f>
        <v>4.5</v>
      </c>
      <c r="G231" s="35">
        <v>14.8</v>
      </c>
      <c r="H231" s="35">
        <v>25060</v>
      </c>
      <c r="I231" s="35">
        <f>54.67*($T$2)</f>
        <v>109.34</v>
      </c>
      <c r="J231" s="35">
        <f>809.2*($T$2)</f>
        <v>1618.4</v>
      </c>
      <c r="K231" s="35">
        <f t="shared" si="17"/>
        <v>3.6213544241225901</v>
      </c>
      <c r="L231" s="35">
        <f t="shared" si="18"/>
        <v>3.6217303822937628</v>
      </c>
      <c r="M231" s="35">
        <f>4.446*($T$2)</f>
        <v>8.8919999999999995</v>
      </c>
      <c r="N231" s="35">
        <v>156.6</v>
      </c>
      <c r="O231" s="35">
        <f t="shared" si="16"/>
        <v>0.54943153732081063</v>
      </c>
      <c r="P231" s="35">
        <f t="shared" si="19"/>
        <v>32.201083539298068</v>
      </c>
      <c r="Q231" s="35">
        <f>('Batt Capacity and Sys Weight'!$I$3) + (B231*$T$2)</f>
        <v>34.788474999999998</v>
      </c>
      <c r="R231" s="35">
        <f>'Batt Capacity and Sys Weight'!$H$3</f>
        <v>97.68</v>
      </c>
    </row>
    <row r="232" spans="1:18" x14ac:dyDescent="0.3">
      <c r="A232" s="35" t="s">
        <v>253</v>
      </c>
      <c r="B232" s="35">
        <v>4.2</v>
      </c>
      <c r="C232" s="35">
        <v>1950</v>
      </c>
      <c r="D232" s="35" t="s">
        <v>161</v>
      </c>
      <c r="E232" s="36" t="str" cm="1">
        <f t="array" ref="E232">GetNumber(D232,1)</f>
        <v>6</v>
      </c>
      <c r="F232" s="36" cm="1">
        <f t="array" ref="F232">GetNumber(D232,2)+(GetNumber(D232,3)/10)</f>
        <v>5.5</v>
      </c>
      <c r="G232" s="35">
        <v>14.8</v>
      </c>
      <c r="H232" s="35">
        <v>25186</v>
      </c>
      <c r="I232" s="35">
        <f>52.31*($T$2)</f>
        <v>104.62</v>
      </c>
      <c r="J232" s="35">
        <f>774.2*($T$2)</f>
        <v>1548.4</v>
      </c>
      <c r="K232" s="35">
        <f t="shared" si="17"/>
        <v>3.7850684577628519</v>
      </c>
      <c r="L232" s="35">
        <f t="shared" si="18"/>
        <v>3.7851271267444084</v>
      </c>
      <c r="M232" s="35">
        <f>3.275*($T$2)</f>
        <v>6.55</v>
      </c>
      <c r="N232" s="35">
        <v>192.4</v>
      </c>
      <c r="O232" s="35">
        <f t="shared" si="16"/>
        <v>0.42301730818909838</v>
      </c>
      <c r="P232" s="35">
        <f t="shared" si="19"/>
        <v>24.792198398346681</v>
      </c>
      <c r="Q232" s="35">
        <f>('Batt Capacity and Sys Weight'!$I$3) + (B232*$T$2)</f>
        <v>34.788474999999998</v>
      </c>
      <c r="R232" s="35">
        <f>'Batt Capacity and Sys Weight'!$H$3</f>
        <v>97.68</v>
      </c>
    </row>
    <row r="233" spans="1:18" x14ac:dyDescent="0.3">
      <c r="A233" s="35" t="s">
        <v>253</v>
      </c>
      <c r="B233" s="35">
        <v>4.2</v>
      </c>
      <c r="C233" s="35">
        <v>1950</v>
      </c>
      <c r="D233" s="35" t="s">
        <v>152</v>
      </c>
      <c r="E233" s="36" t="str" cm="1">
        <f t="array" ref="E233">GetNumber(D233,1)</f>
        <v>6</v>
      </c>
      <c r="F233" s="36" t="str" cm="1">
        <f t="array" ref="F233">GetNumber(D233,2)</f>
        <v>6</v>
      </c>
      <c r="G233" s="35">
        <v>14.8</v>
      </c>
      <c r="H233" s="35">
        <v>24620</v>
      </c>
      <c r="I233" s="35">
        <f>59.92*($T$2)</f>
        <v>119.84</v>
      </c>
      <c r="J233" s="35">
        <f>886.8*($T$2)</f>
        <v>1773.6</v>
      </c>
      <c r="K233" s="35">
        <f t="shared" si="17"/>
        <v>3.3044654939106906</v>
      </c>
      <c r="L233" s="35">
        <f t="shared" si="18"/>
        <v>3.3044058744993325</v>
      </c>
      <c r="M233" s="35">
        <f>3.293*($T$2)</f>
        <v>6.5860000000000003</v>
      </c>
      <c r="N233" s="35">
        <v>205.2</v>
      </c>
      <c r="O233" s="35">
        <f t="shared" si="16"/>
        <v>0.37133513757329728</v>
      </c>
      <c r="P233" s="35">
        <f t="shared" si="19"/>
        <v>21.76320974289581</v>
      </c>
      <c r="Q233" s="35">
        <f>('Batt Capacity and Sys Weight'!$I$3) + (B233*$T$2)</f>
        <v>34.788474999999998</v>
      </c>
      <c r="R233" s="35">
        <f>'Batt Capacity and Sys Weight'!$H$3</f>
        <v>97.68</v>
      </c>
    </row>
    <row r="234" spans="1:18" x14ac:dyDescent="0.3">
      <c r="A234" s="35" t="s">
        <v>253</v>
      </c>
      <c r="B234" s="35">
        <v>4.2</v>
      </c>
      <c r="C234" s="35">
        <v>1950</v>
      </c>
      <c r="D234" s="35" t="s">
        <v>204</v>
      </c>
      <c r="E234" s="36">
        <v>5</v>
      </c>
      <c r="F234" s="36">
        <v>4.3</v>
      </c>
      <c r="G234" s="35">
        <v>18.5</v>
      </c>
      <c r="H234" s="35">
        <v>31475</v>
      </c>
      <c r="I234" s="35">
        <f>53.25*($T$2)</f>
        <v>106.5</v>
      </c>
      <c r="J234" s="35">
        <f>985*($T$2)</f>
        <v>1970</v>
      </c>
      <c r="K234" s="35">
        <f t="shared" si="17"/>
        <v>2.8172588832487309</v>
      </c>
      <c r="L234" s="35">
        <f t="shared" si="18"/>
        <v>2.816901408450704</v>
      </c>
      <c r="M234" s="35">
        <f>3.723*($T$2)</f>
        <v>7.4459999999999997</v>
      </c>
      <c r="N234" s="35">
        <v>188</v>
      </c>
      <c r="O234" s="35">
        <f t="shared" si="16"/>
        <v>0.3779695431472081</v>
      </c>
      <c r="P234" s="35">
        <f t="shared" si="19"/>
        <v>20.977309644670051</v>
      </c>
      <c r="Q234" s="35">
        <f>('Batt Capacity and Sys Weight'!$I$4) + (B234*$T$2)</f>
        <v>35.564503000000002</v>
      </c>
      <c r="R234" s="35">
        <f>'Batt Capacity and Sys Weight'!$H$4</f>
        <v>92.5</v>
      </c>
    </row>
    <row r="235" spans="1:18" x14ac:dyDescent="0.3">
      <c r="A235" s="35" t="s">
        <v>253</v>
      </c>
      <c r="B235" s="35">
        <v>4.2</v>
      </c>
      <c r="C235" s="35">
        <v>1950</v>
      </c>
      <c r="D235" s="35" t="s">
        <v>199</v>
      </c>
      <c r="E235" s="36" t="str" cm="1">
        <f t="array" ref="E235">GetNumber(D235,1)</f>
        <v>5</v>
      </c>
      <c r="F235" s="36" cm="1">
        <f t="array" ref="F235">GetNumber(D235,2)+(GetNumber(D235,3)/10)</f>
        <v>4.5</v>
      </c>
      <c r="G235" s="35">
        <v>18.5</v>
      </c>
      <c r="H235" s="35">
        <v>31195</v>
      </c>
      <c r="I235" s="35">
        <f>57.05*($T$2)</f>
        <v>114.1</v>
      </c>
      <c r="J235" s="35">
        <f>1055.4*($T$2)</f>
        <v>2110.8000000000002</v>
      </c>
      <c r="K235" s="35">
        <f t="shared" si="17"/>
        <v>2.6293348493462192</v>
      </c>
      <c r="L235" s="35">
        <f t="shared" si="18"/>
        <v>2.6292725679228748</v>
      </c>
      <c r="M235" s="35">
        <f>3.685*($T$2)</f>
        <v>7.37</v>
      </c>
      <c r="N235" s="35">
        <v>194.9</v>
      </c>
      <c r="O235" s="35">
        <f t="shared" si="16"/>
        <v>0.34915671783210156</v>
      </c>
      <c r="P235" s="35">
        <f t="shared" si="19"/>
        <v>19.378197839681636</v>
      </c>
      <c r="Q235" s="35">
        <f>('Batt Capacity and Sys Weight'!$I$4) + (B235*$T$2)</f>
        <v>35.564503000000002</v>
      </c>
      <c r="R235" s="35">
        <f>'Batt Capacity and Sys Weight'!$H$4</f>
        <v>92.5</v>
      </c>
    </row>
    <row r="236" spans="1:18" x14ac:dyDescent="0.3">
      <c r="A236" s="35" t="s">
        <v>253</v>
      </c>
      <c r="B236" s="35">
        <v>4.2</v>
      </c>
      <c r="C236" s="35">
        <v>1950</v>
      </c>
      <c r="D236" s="35" t="s">
        <v>200</v>
      </c>
      <c r="E236" s="36" t="str" cm="1">
        <f t="array" ref="E236">GetNumber(D236,1)</f>
        <v>5</v>
      </c>
      <c r="F236" s="36" cm="1">
        <f t="array" ref="F236">GetNumber(D236,2)+(GetNumber(D236,3)/10)</f>
        <v>4.5999999999999996</v>
      </c>
      <c r="G236" s="35">
        <v>18.5</v>
      </c>
      <c r="H236" s="35">
        <v>31227</v>
      </c>
      <c r="I236" s="35">
        <f>56.37*($T$2)</f>
        <v>112.74</v>
      </c>
      <c r="J236" s="35">
        <f>1042.9*($T$2)</f>
        <v>2085.8000000000002</v>
      </c>
      <c r="K236" s="35">
        <f t="shared" si="17"/>
        <v>2.6608495541279122</v>
      </c>
      <c r="L236" s="35">
        <f t="shared" si="18"/>
        <v>2.6609898882384249</v>
      </c>
      <c r="M236" s="35">
        <f>3.974*($T$2)</f>
        <v>7.9480000000000004</v>
      </c>
      <c r="N236" s="35">
        <v>199.5</v>
      </c>
      <c r="O236" s="35">
        <f t="shared" si="16"/>
        <v>0.38105283344520086</v>
      </c>
      <c r="P236" s="35">
        <f t="shared" si="19"/>
        <v>21.148432256208647</v>
      </c>
      <c r="Q236" s="35">
        <f>('Batt Capacity and Sys Weight'!$I$4) + (B236*$T$2)</f>
        <v>35.564503000000002</v>
      </c>
      <c r="R236" s="35">
        <f>'Batt Capacity and Sys Weight'!$H$4</f>
        <v>92.5</v>
      </c>
    </row>
    <row r="237" spans="1:18" x14ac:dyDescent="0.3">
      <c r="A237" s="35" t="s">
        <v>254</v>
      </c>
      <c r="B237" s="35">
        <v>5.26</v>
      </c>
      <c r="C237" s="35">
        <v>1350</v>
      </c>
      <c r="D237" s="35" t="s">
        <v>255</v>
      </c>
      <c r="E237" s="36" t="str" cm="1">
        <f t="array" ref="E237">GetNumber(D237,1)</f>
        <v>8</v>
      </c>
      <c r="F237" s="36" t="str" cm="1">
        <f t="array" ref="F237">GetNumber(D237,2)</f>
        <v>6</v>
      </c>
      <c r="G237" s="35">
        <v>11.1</v>
      </c>
      <c r="H237" s="35">
        <v>12923</v>
      </c>
      <c r="I237" s="35">
        <f>40.68*($T$2)</f>
        <v>81.36</v>
      </c>
      <c r="J237" s="35">
        <f>451.6*($T$2)</f>
        <v>903.2</v>
      </c>
      <c r="K237" s="35">
        <f t="shared" si="17"/>
        <v>6.6364038972542074</v>
      </c>
      <c r="L237" s="35">
        <f t="shared" si="18"/>
        <v>6.6371681415929205</v>
      </c>
      <c r="M237" s="35">
        <f>3.127*($T$2)</f>
        <v>6.2539999999999996</v>
      </c>
      <c r="N237" s="35">
        <v>107.6</v>
      </c>
      <c r="O237" s="35">
        <f t="shared" si="16"/>
        <v>0.69242692648361381</v>
      </c>
      <c r="P237" s="35">
        <f t="shared" si="19"/>
        <v>41.504069973427811</v>
      </c>
      <c r="Q237" s="35">
        <f>('Batt Capacity and Sys Weight'!$I$2) + (B237*$T$2)</f>
        <v>41.353000000000002</v>
      </c>
      <c r="R237" s="35">
        <f>'Batt Capacity and Sys Weight'!$H$2</f>
        <v>99.9</v>
      </c>
    </row>
    <row r="238" spans="1:18" x14ac:dyDescent="0.3">
      <c r="A238" s="35" t="s">
        <v>254</v>
      </c>
      <c r="B238" s="35">
        <v>5.26</v>
      </c>
      <c r="C238" s="35">
        <v>1350</v>
      </c>
      <c r="D238" s="35" t="s">
        <v>256</v>
      </c>
      <c r="E238" s="36" t="str" cm="1">
        <f t="array" ref="E238">GetNumber(D238,1)</f>
        <v>8</v>
      </c>
      <c r="F238" s="36" t="str" cm="1">
        <f t="array" ref="F238">GetNumber(D238,2)</f>
        <v>8</v>
      </c>
      <c r="G238" s="35">
        <v>11.1</v>
      </c>
      <c r="H238" s="35">
        <v>12327</v>
      </c>
      <c r="I238" s="35">
        <f>52.05*($T$2)</f>
        <v>104.1</v>
      </c>
      <c r="J238" s="35">
        <f>577.8*($T$2)</f>
        <v>1155.5999999999999</v>
      </c>
      <c r="K238" s="35">
        <f t="shared" si="17"/>
        <v>5.1869158878504678</v>
      </c>
      <c r="L238" s="35">
        <f t="shared" si="18"/>
        <v>5.1873198847262252</v>
      </c>
      <c r="M238" s="35">
        <f>2.83*($T$2)</f>
        <v>5.66</v>
      </c>
      <c r="N238" s="35">
        <v>137</v>
      </c>
      <c r="O238" s="35">
        <f t="shared" si="16"/>
        <v>0.48978885427483565</v>
      </c>
      <c r="P238" s="35">
        <f t="shared" si="19"/>
        <v>29.357943925233648</v>
      </c>
      <c r="Q238" s="35">
        <f>('Batt Capacity and Sys Weight'!$I$2) + (B238*$T$2)</f>
        <v>41.353000000000002</v>
      </c>
      <c r="R238" s="35">
        <f>'Batt Capacity and Sys Weight'!$H$2</f>
        <v>99.9</v>
      </c>
    </row>
    <row r="239" spans="1:18" x14ac:dyDescent="0.3">
      <c r="A239" s="35" t="s">
        <v>254</v>
      </c>
      <c r="B239" s="35">
        <v>5.26</v>
      </c>
      <c r="C239" s="35">
        <v>1350</v>
      </c>
      <c r="D239" s="35" t="s">
        <v>257</v>
      </c>
      <c r="E239" s="36" t="str" cm="1">
        <f t="array" ref="E239">GetNumber(D239,1)</f>
        <v>9</v>
      </c>
      <c r="F239" s="36" t="str" cm="1">
        <f t="array" ref="F239">GetNumber(D239,2)</f>
        <v>6</v>
      </c>
      <c r="G239" s="35">
        <v>11.1</v>
      </c>
      <c r="H239" s="35">
        <v>12761</v>
      </c>
      <c r="I239" s="35">
        <f>43.93*($T$2)</f>
        <v>87.86</v>
      </c>
      <c r="J239" s="35">
        <f>487.6*($T$2)</f>
        <v>975.2</v>
      </c>
      <c r="K239" s="35">
        <f t="shared" si="17"/>
        <v>6.1464315012305164</v>
      </c>
      <c r="L239" s="35">
        <f t="shared" si="18"/>
        <v>6.1461415888914184</v>
      </c>
      <c r="M239" s="35">
        <f>3.775*($T$2)</f>
        <v>7.55</v>
      </c>
      <c r="N239" s="35">
        <v>106.3</v>
      </c>
      <c r="O239" s="35">
        <f t="shared" si="16"/>
        <v>0.7742001640689089</v>
      </c>
      <c r="P239" s="35">
        <f t="shared" si="19"/>
        <v>46.405557834290398</v>
      </c>
      <c r="Q239" s="35">
        <f>('Batt Capacity and Sys Weight'!$I$2) + (B239*$T$2)</f>
        <v>41.353000000000002</v>
      </c>
      <c r="R239" s="35">
        <f>'Batt Capacity and Sys Weight'!$H$2</f>
        <v>99.9</v>
      </c>
    </row>
    <row r="240" spans="1:18" x14ac:dyDescent="0.3">
      <c r="A240" s="35" t="s">
        <v>254</v>
      </c>
      <c r="B240" s="35">
        <v>5.26</v>
      </c>
      <c r="C240" s="35">
        <v>1350</v>
      </c>
      <c r="D240" s="35" t="s">
        <v>258</v>
      </c>
      <c r="E240" s="36" t="str" cm="1">
        <f t="array" ref="E240">GetNumber(D240,1)</f>
        <v>10</v>
      </c>
      <c r="F240" s="36" t="str" cm="1">
        <f t="array" ref="F240">GetNumber(D240,2)</f>
        <v>5</v>
      </c>
      <c r="G240" s="35">
        <v>11.1</v>
      </c>
      <c r="H240" s="35">
        <v>12341</v>
      </c>
      <c r="I240" s="35">
        <f>52.47*($T$2)</f>
        <v>104.94</v>
      </c>
      <c r="J240" s="35">
        <f>582.4*($T$2)</f>
        <v>1164.8</v>
      </c>
      <c r="K240" s="35">
        <f t="shared" si="17"/>
        <v>5.1459478021978029</v>
      </c>
      <c r="L240" s="35">
        <f t="shared" si="18"/>
        <v>5.1457975986277873</v>
      </c>
      <c r="M240" s="35">
        <f>4.655*($T$2)</f>
        <v>9.31</v>
      </c>
      <c r="N240" s="35">
        <v>85.7</v>
      </c>
      <c r="O240" s="35">
        <f t="shared" si="16"/>
        <v>0.79927884615384626</v>
      </c>
      <c r="P240" s="35">
        <f t="shared" si="19"/>
        <v>47.908774038461544</v>
      </c>
      <c r="Q240" s="35">
        <f>('Batt Capacity and Sys Weight'!$I$2) + (B240*$T$2)</f>
        <v>41.353000000000002</v>
      </c>
      <c r="R240" s="35">
        <f>'Batt Capacity and Sys Weight'!$H$2</f>
        <v>99.9</v>
      </c>
    </row>
    <row r="241" spans="1:18" x14ac:dyDescent="0.3">
      <c r="A241" s="35" t="s">
        <v>254</v>
      </c>
      <c r="B241" s="35">
        <v>5.26</v>
      </c>
      <c r="C241" s="35">
        <v>1350</v>
      </c>
      <c r="D241" s="35" t="s">
        <v>259</v>
      </c>
      <c r="E241" s="36" t="str" cm="1">
        <f t="array" ref="E241">GetNumber(D241,1)</f>
        <v>10</v>
      </c>
      <c r="F241" s="36" cm="1">
        <f t="array" ref="F241">GetNumber(D241,2)+(GetNumber(D241,3)/10)</f>
        <v>5.8</v>
      </c>
      <c r="G241" s="35">
        <v>11.1</v>
      </c>
      <c r="H241" s="35">
        <v>12147</v>
      </c>
      <c r="I241" s="35">
        <f>56.39*($T$2)</f>
        <v>112.78</v>
      </c>
      <c r="J241" s="35">
        <f>625.9*($T$2)</f>
        <v>1251.8</v>
      </c>
      <c r="K241" s="35">
        <f t="shared" si="17"/>
        <v>4.7883048410289186</v>
      </c>
      <c r="L241" s="35">
        <f t="shared" si="18"/>
        <v>4.7880829934385529</v>
      </c>
      <c r="M241" s="35">
        <f>5.291*($T$2)</f>
        <v>10.582000000000001</v>
      </c>
      <c r="N241" s="35">
        <v>97.8</v>
      </c>
      <c r="O241" s="35">
        <f t="shared" si="16"/>
        <v>0.84534270650263621</v>
      </c>
      <c r="P241" s="35">
        <f t="shared" si="19"/>
        <v>50.669841827768018</v>
      </c>
      <c r="Q241" s="35">
        <f>('Batt Capacity and Sys Weight'!$I$2) + (B241*$T$2)</f>
        <v>41.353000000000002</v>
      </c>
      <c r="R241" s="35">
        <f>'Batt Capacity and Sys Weight'!$H$2</f>
        <v>99.9</v>
      </c>
    </row>
    <row r="242" spans="1:18" x14ac:dyDescent="0.3">
      <c r="A242" s="35" t="s">
        <v>254</v>
      </c>
      <c r="B242" s="35">
        <v>5.26</v>
      </c>
      <c r="C242" s="35">
        <v>1350</v>
      </c>
      <c r="D242" s="35" t="s">
        <v>67</v>
      </c>
      <c r="E242" s="36" t="str" cm="1">
        <f t="array" ref="E242">GetNumber(D242,1)</f>
        <v>10</v>
      </c>
      <c r="F242" s="36" t="str" cm="1">
        <f t="array" ref="F242">GetNumber(D242,2)</f>
        <v>6</v>
      </c>
      <c r="G242" s="35">
        <v>11.1</v>
      </c>
      <c r="H242" s="35">
        <v>12023</v>
      </c>
      <c r="I242" s="35">
        <f>58.32*($T$2)</f>
        <v>116.64</v>
      </c>
      <c r="J242" s="35">
        <f>647.4*($T$2)</f>
        <v>1294.8</v>
      </c>
      <c r="K242" s="35">
        <f t="shared" si="17"/>
        <v>4.6292863762743286</v>
      </c>
      <c r="L242" s="35">
        <f t="shared" si="18"/>
        <v>4.6296296296296298</v>
      </c>
      <c r="M242" s="35">
        <f>4.83*($T$2)</f>
        <v>9.66</v>
      </c>
      <c r="N242" s="35">
        <v>100.2</v>
      </c>
      <c r="O242" s="35">
        <f t="shared" si="16"/>
        <v>0.74606116774791476</v>
      </c>
      <c r="P242" s="35">
        <f t="shared" si="19"/>
        <v>44.718906394810013</v>
      </c>
      <c r="Q242" s="35">
        <f>('Batt Capacity and Sys Weight'!$I$2) + (B242*$T$2)</f>
        <v>41.353000000000002</v>
      </c>
      <c r="R242" s="35">
        <f>'Batt Capacity and Sys Weight'!$H$2</f>
        <v>99.9</v>
      </c>
    </row>
    <row r="243" spans="1:18" x14ac:dyDescent="0.3">
      <c r="A243" s="35" t="s">
        <v>254</v>
      </c>
      <c r="B243" s="35">
        <v>5.26</v>
      </c>
      <c r="C243" s="35">
        <v>1350</v>
      </c>
      <c r="D243" s="35" t="s">
        <v>131</v>
      </c>
      <c r="E243" s="36" t="str" cm="1">
        <f t="array" ref="E243">GetNumber(D243,1)</f>
        <v>10</v>
      </c>
      <c r="F243" s="36" t="str" cm="1">
        <f t="array" ref="F243">GetNumber(D243,2)</f>
        <v>6</v>
      </c>
      <c r="G243" s="35">
        <v>11.1</v>
      </c>
      <c r="H243" s="35">
        <v>12665</v>
      </c>
      <c r="I243" s="35">
        <f>46.37*($T$2)</f>
        <v>92.74</v>
      </c>
      <c r="J243" s="35">
        <f>514.7*($T$2)</f>
        <v>1029.4000000000001</v>
      </c>
      <c r="K243" s="35">
        <f t="shared" si="17"/>
        <v>5.8228094035360396</v>
      </c>
      <c r="L243" s="35">
        <f t="shared" si="18"/>
        <v>5.8227302135001082</v>
      </c>
      <c r="M243" s="35">
        <f>4.497*($T$2)</f>
        <v>8.9939999999999998</v>
      </c>
      <c r="N243" s="35">
        <v>105.6</v>
      </c>
      <c r="O243" s="35">
        <f t="shared" si="16"/>
        <v>0.87371284243248482</v>
      </c>
      <c r="P243" s="35">
        <f t="shared" si="19"/>
        <v>52.37034777540314</v>
      </c>
      <c r="Q243" s="35">
        <f>('Batt Capacity and Sys Weight'!$I$2) + (B243*$T$2)</f>
        <v>41.353000000000002</v>
      </c>
      <c r="R243" s="35">
        <f>'Batt Capacity and Sys Weight'!$H$2</f>
        <v>99.9</v>
      </c>
    </row>
    <row r="244" spans="1:18" x14ac:dyDescent="0.3">
      <c r="A244" s="35" t="s">
        <v>254</v>
      </c>
      <c r="B244" s="35">
        <v>5.26</v>
      </c>
      <c r="C244" s="35">
        <v>1350</v>
      </c>
      <c r="D244" s="35" t="s">
        <v>101</v>
      </c>
      <c r="E244" s="36" t="str" cm="1">
        <f t="array" ref="E244">GetNumber(D244,1)</f>
        <v>9</v>
      </c>
      <c r="F244" s="36" t="str" cm="1">
        <f t="array" ref="F244">GetNumber(D244,2)</f>
        <v>7</v>
      </c>
      <c r="G244" s="35">
        <v>11.1</v>
      </c>
      <c r="H244" s="35">
        <v>12113</v>
      </c>
      <c r="I244" s="35">
        <f>56.89*($T$2)</f>
        <v>113.78</v>
      </c>
      <c r="J244" s="35">
        <f>631.5*($T$2)</f>
        <v>1263</v>
      </c>
      <c r="K244" s="35">
        <f t="shared" si="17"/>
        <v>4.7458432304038007</v>
      </c>
      <c r="L244" s="35">
        <f t="shared" si="18"/>
        <v>4.7460010546669009</v>
      </c>
      <c r="M244" s="35">
        <f>4.995*($T$2)</f>
        <v>9.99</v>
      </c>
      <c r="N244" s="35">
        <v>117.8</v>
      </c>
      <c r="O244" s="35">
        <f t="shared" si="16"/>
        <v>0.79097387173396683</v>
      </c>
      <c r="P244" s="35">
        <f t="shared" si="19"/>
        <v>47.410973871733972</v>
      </c>
      <c r="Q244" s="35">
        <f>('Batt Capacity and Sys Weight'!$I$2) + (B244*$T$2)</f>
        <v>41.353000000000002</v>
      </c>
      <c r="R244" s="35">
        <f>'Batt Capacity and Sys Weight'!$H$2</f>
        <v>99.9</v>
      </c>
    </row>
    <row r="245" spans="1:18" x14ac:dyDescent="0.3">
      <c r="A245" s="35" t="s">
        <v>254</v>
      </c>
      <c r="B245" s="35">
        <v>5.26</v>
      </c>
      <c r="C245" s="35">
        <v>1350</v>
      </c>
      <c r="D245" s="35" t="s">
        <v>79</v>
      </c>
      <c r="E245" s="36" t="str" cm="1">
        <f t="array" ref="E245">GetNumber(D245,1)</f>
        <v>10</v>
      </c>
      <c r="F245" s="36" t="str" cm="1">
        <f t="array" ref="F245">GetNumber(D245,2)</f>
        <v>5</v>
      </c>
      <c r="G245" s="35">
        <v>11.1</v>
      </c>
      <c r="H245" s="35">
        <v>12383</v>
      </c>
      <c r="I245" s="35">
        <f>52.19*($T$2)</f>
        <v>104.38</v>
      </c>
      <c r="J245" s="35">
        <f>579.3*($T$2)</f>
        <v>1158.5999999999999</v>
      </c>
      <c r="K245" s="35">
        <f t="shared" si="17"/>
        <v>5.1734852408078718</v>
      </c>
      <c r="L245" s="35">
        <f t="shared" si="18"/>
        <v>5.173404866832727</v>
      </c>
      <c r="M245" s="35">
        <f>5.17*($T$2)</f>
        <v>10.34</v>
      </c>
      <c r="N245" s="35">
        <v>85.9</v>
      </c>
      <c r="O245" s="35">
        <f t="shared" si="16"/>
        <v>0.8924564129121354</v>
      </c>
      <c r="P245" s="35">
        <f t="shared" si="19"/>
        <v>53.493837389953391</v>
      </c>
      <c r="Q245" s="35">
        <f>('Batt Capacity and Sys Weight'!$I$2) + (B245*$T$2)</f>
        <v>41.353000000000002</v>
      </c>
      <c r="R245" s="35">
        <f>'Batt Capacity and Sys Weight'!$H$2</f>
        <v>99.9</v>
      </c>
    </row>
    <row r="246" spans="1:18" x14ac:dyDescent="0.3">
      <c r="A246" s="35" t="s">
        <v>254</v>
      </c>
      <c r="B246" s="35">
        <v>5.26</v>
      </c>
      <c r="C246" s="35">
        <v>1350</v>
      </c>
      <c r="D246" s="35" t="s">
        <v>149</v>
      </c>
      <c r="E246" s="36" t="str" cm="1">
        <f t="array" ref="E246">GetNumber(D246,1)</f>
        <v>7</v>
      </c>
      <c r="F246" s="36" t="str" cm="1">
        <f t="array" ref="F246">GetNumber(D246,2)</f>
        <v>6</v>
      </c>
      <c r="G246" s="35">
        <v>14.8</v>
      </c>
      <c r="H246" s="35">
        <v>17800</v>
      </c>
      <c r="I246" s="35">
        <f>37.93*($T$2)</f>
        <v>75.86</v>
      </c>
      <c r="J246" s="35">
        <f>561.3*($T$2)</f>
        <v>1122.5999999999999</v>
      </c>
      <c r="K246" s="35">
        <f t="shared" si="17"/>
        <v>5.2207375734901129</v>
      </c>
      <c r="L246" s="35">
        <f t="shared" si="18"/>
        <v>5.2201423675191148</v>
      </c>
      <c r="M246" s="35">
        <f>3.456*($T$2)</f>
        <v>6.9119999999999999</v>
      </c>
      <c r="N246" s="35">
        <v>148.30000000000001</v>
      </c>
      <c r="O246" s="35">
        <f t="shared" si="16"/>
        <v>0.61571352218065212</v>
      </c>
      <c r="P246" s="35">
        <f t="shared" si="19"/>
        <v>36.085738107963657</v>
      </c>
      <c r="Q246" s="35">
        <f>('Batt Capacity and Sys Weight'!$I$3) + (B246*$T$2)</f>
        <v>36.908474999999996</v>
      </c>
      <c r="R246" s="35">
        <f>'Batt Capacity and Sys Weight'!$H$3</f>
        <v>97.68</v>
      </c>
    </row>
    <row r="247" spans="1:18" x14ac:dyDescent="0.3">
      <c r="A247" s="35" t="s">
        <v>254</v>
      </c>
      <c r="B247" s="35">
        <v>5.26</v>
      </c>
      <c r="C247" s="35">
        <v>1350</v>
      </c>
      <c r="D247" s="35" t="s">
        <v>125</v>
      </c>
      <c r="E247" s="36" t="str" cm="1">
        <f t="array" ref="E247">GetNumber(D247,1)</f>
        <v>7</v>
      </c>
      <c r="F247" s="36" t="str" cm="1">
        <f t="array" ref="F247">GetNumber(D247,2)</f>
        <v>7</v>
      </c>
      <c r="G247" s="35">
        <v>14.8</v>
      </c>
      <c r="H247" s="35">
        <v>17224</v>
      </c>
      <c r="I247" s="35">
        <f>47.66*($T$2)</f>
        <v>95.32</v>
      </c>
      <c r="J247" s="35">
        <f>705.3*($T$2)</f>
        <v>1410.6</v>
      </c>
      <c r="K247" s="35">
        <f t="shared" si="17"/>
        <v>4.1548277328796264</v>
      </c>
      <c r="L247" s="35">
        <f t="shared" si="18"/>
        <v>4.1544271926143521</v>
      </c>
      <c r="M247" s="35">
        <f>3.421*($T$2)</f>
        <v>6.8419999999999996</v>
      </c>
      <c r="N247" s="35">
        <v>167.5</v>
      </c>
      <c r="O247" s="35">
        <f t="shared" si="16"/>
        <v>0.48504182617325964</v>
      </c>
      <c r="P247" s="35">
        <f t="shared" si="19"/>
        <v>28.427331348362401</v>
      </c>
      <c r="Q247" s="35">
        <f>('Batt Capacity and Sys Weight'!$I$3) + (B247*$T$2)</f>
        <v>36.908474999999996</v>
      </c>
      <c r="R247" s="35">
        <f>'Batt Capacity and Sys Weight'!$H$3</f>
        <v>97.68</v>
      </c>
    </row>
    <row r="248" spans="1:18" x14ac:dyDescent="0.3">
      <c r="A248" s="35" t="s">
        <v>254</v>
      </c>
      <c r="B248" s="35">
        <v>5.26</v>
      </c>
      <c r="C248" s="35">
        <v>1350</v>
      </c>
      <c r="D248" s="35" t="s">
        <v>126</v>
      </c>
      <c r="E248" s="36" t="str" cm="1">
        <f t="array" ref="E248">GetNumber(D248,1)</f>
        <v>8</v>
      </c>
      <c r="F248" s="36" t="str" cm="1">
        <f t="array" ref="F248">GetNumber(D248,2)</f>
        <v>4</v>
      </c>
      <c r="G248" s="35">
        <v>14.8</v>
      </c>
      <c r="H248" s="35">
        <v>17413</v>
      </c>
      <c r="I248" s="35">
        <f>44.23*($T$2)</f>
        <v>88.46</v>
      </c>
      <c r="J248" s="35">
        <f>654.7*($T$2)</f>
        <v>1309.4000000000001</v>
      </c>
      <c r="K248" s="35">
        <f t="shared" si="17"/>
        <v>4.4759431800824805</v>
      </c>
      <c r="L248" s="35">
        <f t="shared" si="18"/>
        <v>4.4765995930364006</v>
      </c>
      <c r="M248" s="35">
        <f>4.351*($T$2)</f>
        <v>8.702</v>
      </c>
      <c r="N248" s="35">
        <v>96.8</v>
      </c>
      <c r="O248" s="35">
        <f t="shared" si="16"/>
        <v>0.66457919657858555</v>
      </c>
      <c r="P248" s="35">
        <f t="shared" si="19"/>
        <v>38.949657553077742</v>
      </c>
      <c r="Q248" s="35">
        <f>('Batt Capacity and Sys Weight'!$I$3) + (B248*$T$2)</f>
        <v>36.908474999999996</v>
      </c>
      <c r="R248" s="35">
        <f>'Batt Capacity and Sys Weight'!$H$3</f>
        <v>97.68</v>
      </c>
    </row>
    <row r="249" spans="1:18" x14ac:dyDescent="0.3">
      <c r="A249" s="35" t="s">
        <v>254</v>
      </c>
      <c r="B249" s="35">
        <v>5.26</v>
      </c>
      <c r="C249" s="35">
        <v>1350</v>
      </c>
      <c r="D249" s="35" t="s">
        <v>145</v>
      </c>
      <c r="E249" s="36" t="str" cm="1">
        <f t="array" ref="E249">GetNumber(D249,1)</f>
        <v>8</v>
      </c>
      <c r="F249" s="36" t="str" cm="1">
        <f t="array" ref="F249">GetNumber(D249,2)</f>
        <v>6</v>
      </c>
      <c r="G249" s="35">
        <v>14.8</v>
      </c>
      <c r="H249" s="35">
        <v>16631</v>
      </c>
      <c r="I249" s="35">
        <f>58.36*($T$2)</f>
        <v>116.72</v>
      </c>
      <c r="J249" s="35">
        <f>863.8*($T$2)</f>
        <v>1727.6</v>
      </c>
      <c r="K249" s="35">
        <f t="shared" si="17"/>
        <v>3.3924519564714055</v>
      </c>
      <c r="L249" s="35">
        <f t="shared" si="18"/>
        <v>3.3927347498286498</v>
      </c>
      <c r="M249" s="35">
        <f>5.684*($T$2)</f>
        <v>11.368</v>
      </c>
      <c r="N249" s="35">
        <v>138.6</v>
      </c>
      <c r="O249" s="35">
        <f t="shared" si="16"/>
        <v>0.65802269043760131</v>
      </c>
      <c r="P249" s="35">
        <f t="shared" si="19"/>
        <v>38.565393841166937</v>
      </c>
      <c r="Q249" s="35">
        <f>('Batt Capacity and Sys Weight'!$I$3) + (B249*$T$2)</f>
        <v>36.908474999999996</v>
      </c>
      <c r="R249" s="35">
        <f>'Batt Capacity and Sys Weight'!$H$3</f>
        <v>97.68</v>
      </c>
    </row>
    <row r="250" spans="1:18" x14ac:dyDescent="0.3">
      <c r="A250" s="35" t="s">
        <v>254</v>
      </c>
      <c r="B250" s="35">
        <v>5.26</v>
      </c>
      <c r="C250" s="35">
        <v>1350</v>
      </c>
      <c r="D250" s="35" t="s">
        <v>146</v>
      </c>
      <c r="E250" s="36" t="str" cm="1">
        <f t="array" ref="E250">GetNumber(D250,1)</f>
        <v>7</v>
      </c>
      <c r="F250" s="36" t="str" cm="1">
        <f t="array" ref="F250">GetNumber(D250,2)</f>
        <v>4</v>
      </c>
      <c r="G250" s="35">
        <v>18.5</v>
      </c>
      <c r="H250" s="35">
        <v>22079</v>
      </c>
      <c r="I250" s="35">
        <f>44.99*($T$2)</f>
        <v>89.98</v>
      </c>
      <c r="J250" s="35">
        <f>823.3*($T$2)</f>
        <v>1646.6</v>
      </c>
      <c r="K250" s="35">
        <f t="shared" si="17"/>
        <v>3.370581804931374</v>
      </c>
      <c r="L250" s="35">
        <f t="shared" si="18"/>
        <v>3.3340742387197153</v>
      </c>
      <c r="M250" s="35">
        <f>4.709*($T$2)</f>
        <v>9.4179999999999993</v>
      </c>
      <c r="N250" s="35">
        <v>122.6</v>
      </c>
      <c r="O250" s="35">
        <f t="shared" si="16"/>
        <v>0.57196647637556175</v>
      </c>
      <c r="P250" s="35">
        <f t="shared" si="19"/>
        <v>31.744139438843678</v>
      </c>
      <c r="Q250" s="35">
        <f>('Batt Capacity and Sys Weight'!$I$4) + (B250*$T$2)</f>
        <v>37.684502999999999</v>
      </c>
      <c r="R250" s="35">
        <f>'Batt Capacity and Sys Weight'!$H$4</f>
        <v>92.5</v>
      </c>
    </row>
    <row r="251" spans="1:18" x14ac:dyDescent="0.3">
      <c r="A251" s="35" t="s">
        <v>254</v>
      </c>
      <c r="B251" s="35">
        <v>5.26</v>
      </c>
      <c r="C251" s="35">
        <v>1350</v>
      </c>
      <c r="D251" s="35" t="s">
        <v>148</v>
      </c>
      <c r="E251" s="36" t="str" cm="1">
        <f t="array" ref="E251">GetNumber(D251,1)</f>
        <v>7</v>
      </c>
      <c r="F251" s="36" t="str" cm="1">
        <f t="array" ref="F251">GetNumber(D251,2)</f>
        <v>5</v>
      </c>
      <c r="G251" s="35">
        <v>18.5</v>
      </c>
      <c r="H251" s="35">
        <v>21300</v>
      </c>
      <c r="I251" s="35">
        <f>56.08*($T$2)</f>
        <v>112.16</v>
      </c>
      <c r="J251" s="35">
        <f>1037.4*($T$2)</f>
        <v>2074.8000000000002</v>
      </c>
      <c r="K251" s="35">
        <f t="shared" si="17"/>
        <v>2.6749566223250429</v>
      </c>
      <c r="L251" s="35">
        <f t="shared" si="18"/>
        <v>2.674750356633381</v>
      </c>
      <c r="M251" s="35">
        <f>4.634*($T$2)</f>
        <v>9.2680000000000007</v>
      </c>
      <c r="N251" s="35">
        <v>148</v>
      </c>
      <c r="O251" s="35">
        <f t="shared" si="16"/>
        <v>0.44669365721997301</v>
      </c>
      <c r="P251" s="35">
        <f t="shared" si="19"/>
        <v>24.791497975708499</v>
      </c>
      <c r="Q251" s="35">
        <f>('Batt Capacity and Sys Weight'!$I$4) + (B251*$T$2)</f>
        <v>37.684502999999999</v>
      </c>
      <c r="R251" s="35">
        <f>'Batt Capacity and Sys Weight'!$H$4</f>
        <v>92.5</v>
      </c>
    </row>
    <row r="252" spans="1:18" x14ac:dyDescent="0.3">
      <c r="A252" s="35" t="s">
        <v>253</v>
      </c>
      <c r="B252" s="35">
        <v>4.13</v>
      </c>
      <c r="C252" s="35">
        <v>1300</v>
      </c>
      <c r="D252" s="35" t="s">
        <v>127</v>
      </c>
      <c r="E252" s="36" t="str" cm="1">
        <f t="array" ref="E252">GetNumber(D252,1)</f>
        <v>8</v>
      </c>
      <c r="F252" s="36" t="str" cm="1">
        <f t="array" ref="F252">GetNumber(D252,2)</f>
        <v>6</v>
      </c>
      <c r="G252" s="35">
        <v>11.1</v>
      </c>
      <c r="H252" s="35">
        <v>12185</v>
      </c>
      <c r="I252" s="35">
        <f>32.97*($T$2)</f>
        <v>65.94</v>
      </c>
      <c r="J252" s="35">
        <f>365.9*($T$2)</f>
        <v>731.8</v>
      </c>
      <c r="K252" s="35">
        <f t="shared" si="17"/>
        <v>8.1907625034162344</v>
      </c>
      <c r="L252" s="35">
        <f t="shared" si="18"/>
        <v>8.189262966333029</v>
      </c>
      <c r="M252" s="35">
        <f>2.83*($T$2)</f>
        <v>5.66</v>
      </c>
      <c r="N252" s="35">
        <v>101.5</v>
      </c>
      <c r="O252" s="35">
        <f t="shared" si="16"/>
        <v>0.77343536485378517</v>
      </c>
      <c r="P252" s="35">
        <f t="shared" si="19"/>
        <v>46.359715769335885</v>
      </c>
      <c r="Q252" s="35">
        <f>('Batt Capacity and Sys Weight'!$I$2) + (B252*$T$2)</f>
        <v>39.093000000000004</v>
      </c>
      <c r="R252" s="35">
        <f>'Batt Capacity and Sys Weight'!$H$2</f>
        <v>99.9</v>
      </c>
    </row>
    <row r="253" spans="1:18" x14ac:dyDescent="0.3">
      <c r="A253" s="35" t="s">
        <v>253</v>
      </c>
      <c r="B253" s="35">
        <v>4.13</v>
      </c>
      <c r="C253" s="35">
        <v>1300</v>
      </c>
      <c r="D253" s="35" t="s">
        <v>128</v>
      </c>
      <c r="E253" s="36" t="str" cm="1">
        <f t="array" ref="E253">GetNumber(D253,1)</f>
        <v>8</v>
      </c>
      <c r="F253" s="36" t="str" cm="1">
        <f t="array" ref="F253">GetNumber(D253,2)</f>
        <v>8</v>
      </c>
      <c r="G253" s="35">
        <v>11.1</v>
      </c>
      <c r="H253" s="35">
        <v>11519</v>
      </c>
      <c r="I253" s="35">
        <f>42.8*($T$2)</f>
        <v>85.6</v>
      </c>
      <c r="J253" s="35">
        <f>475.1*($T$2)</f>
        <v>950.2</v>
      </c>
      <c r="K253" s="35">
        <f t="shared" si="17"/>
        <v>6.3081456535466218</v>
      </c>
      <c r="L253" s="35">
        <f t="shared" si="18"/>
        <v>6.3084112149532716</v>
      </c>
      <c r="M253" s="35">
        <f>2.583*($T$2)</f>
        <v>5.1660000000000004</v>
      </c>
      <c r="N253" s="35">
        <v>128</v>
      </c>
      <c r="O253" s="35">
        <f t="shared" si="16"/>
        <v>0.5436750157861503</v>
      </c>
      <c r="P253" s="35">
        <f t="shared" si="19"/>
        <v>32.587880446221853</v>
      </c>
      <c r="Q253" s="35">
        <f>('Batt Capacity and Sys Weight'!$I$2) + (B253*$T$2)</f>
        <v>39.093000000000004</v>
      </c>
      <c r="R253" s="35">
        <f>'Batt Capacity and Sys Weight'!$H$2</f>
        <v>99.9</v>
      </c>
    </row>
    <row r="254" spans="1:18" x14ac:dyDescent="0.3">
      <c r="A254" s="35" t="s">
        <v>253</v>
      </c>
      <c r="B254" s="35">
        <v>4.13</v>
      </c>
      <c r="C254" s="35">
        <v>1300</v>
      </c>
      <c r="D254" s="35" t="s">
        <v>129</v>
      </c>
      <c r="E254" s="36" t="str" cm="1">
        <f t="array" ref="E254">GetNumber(D254,1)</f>
        <v>9</v>
      </c>
      <c r="F254" s="36" cm="1">
        <f t="array" ref="F254">GetNumber(D254,2)+(GetNumber(D254,3)/10)</f>
        <v>4.5</v>
      </c>
      <c r="G254" s="35">
        <v>11.1</v>
      </c>
      <c r="H254" s="35">
        <v>12370</v>
      </c>
      <c r="I254" s="35">
        <f>30.44*($T$2)</f>
        <v>60.88</v>
      </c>
      <c r="J254" s="35">
        <f>337.9*($T$2)</f>
        <v>675.8</v>
      </c>
      <c r="K254" s="35">
        <f t="shared" si="17"/>
        <v>8.8694880142053876</v>
      </c>
      <c r="L254" s="35">
        <f t="shared" si="18"/>
        <v>8.8699080157687256</v>
      </c>
      <c r="M254" s="35">
        <f>3.456*($T$2)</f>
        <v>6.9119999999999999</v>
      </c>
      <c r="N254" s="35">
        <v>77.3</v>
      </c>
      <c r="O254" s="35">
        <f t="shared" si="16"/>
        <v>1.0227878070435041</v>
      </c>
      <c r="P254" s="35">
        <f t="shared" si="19"/>
        <v>61.305901154187637</v>
      </c>
      <c r="Q254" s="35">
        <f>('Batt Capacity and Sys Weight'!$I$2) + (B254*$T$2)</f>
        <v>39.093000000000004</v>
      </c>
      <c r="R254" s="35">
        <f>'Batt Capacity and Sys Weight'!$H$2</f>
        <v>99.9</v>
      </c>
    </row>
    <row r="255" spans="1:18" x14ac:dyDescent="0.3">
      <c r="A255" s="35" t="s">
        <v>253</v>
      </c>
      <c r="B255" s="35">
        <v>4.13</v>
      </c>
      <c r="C255" s="35">
        <v>1300</v>
      </c>
      <c r="D255" s="35" t="s">
        <v>107</v>
      </c>
      <c r="E255" s="36" t="str" cm="1">
        <f t="array" ref="E255">GetNumber(D255,1)</f>
        <v>9</v>
      </c>
      <c r="F255" s="36" t="str" cm="1">
        <f t="array" ref="F255">GetNumber(D255,2)</f>
        <v>6</v>
      </c>
      <c r="G255" s="35">
        <v>11.1</v>
      </c>
      <c r="H255" s="35">
        <v>11958</v>
      </c>
      <c r="I255" s="35">
        <f>36.01*($T$2)</f>
        <v>72.02</v>
      </c>
      <c r="J255" s="35">
        <f>399.8*($T$2)</f>
        <v>799.6</v>
      </c>
      <c r="K255" s="35">
        <f t="shared" si="17"/>
        <v>7.4962481240620313</v>
      </c>
      <c r="L255" s="35">
        <f t="shared" si="18"/>
        <v>7.4979172452096643</v>
      </c>
      <c r="M255" s="35">
        <f>3.396*($T$2)</f>
        <v>6.7919999999999998</v>
      </c>
      <c r="N255" s="35">
        <v>99.6</v>
      </c>
      <c r="O255" s="35">
        <f t="shared" si="16"/>
        <v>0.849424712356178</v>
      </c>
      <c r="P255" s="35">
        <f t="shared" si="19"/>
        <v>50.914517258629317</v>
      </c>
      <c r="Q255" s="35">
        <f>('Batt Capacity and Sys Weight'!$I$2) + (B255*$T$2)</f>
        <v>39.093000000000004</v>
      </c>
      <c r="R255" s="35">
        <f>'Batt Capacity and Sys Weight'!$H$2</f>
        <v>99.9</v>
      </c>
    </row>
    <row r="256" spans="1:18" x14ac:dyDescent="0.3">
      <c r="A256" s="35" t="s">
        <v>253</v>
      </c>
      <c r="B256" s="35">
        <v>4.13</v>
      </c>
      <c r="C256" s="35">
        <v>1300</v>
      </c>
      <c r="D256" s="35" t="s">
        <v>99</v>
      </c>
      <c r="E256" s="36" t="str" cm="1">
        <f t="array" ref="E256">GetNumber(D256,1)</f>
        <v>10</v>
      </c>
      <c r="F256" s="36" t="str" cm="1">
        <f t="array" ref="F256">GetNumber(D256,2)</f>
        <v>5</v>
      </c>
      <c r="G256" s="35">
        <v>11.1</v>
      </c>
      <c r="H256" s="35">
        <v>11528</v>
      </c>
      <c r="I256" s="35">
        <f>42.25*($T$2)</f>
        <v>84.5</v>
      </c>
      <c r="J256" s="35">
        <f>468.9*($T$2)</f>
        <v>937.8</v>
      </c>
      <c r="K256" s="35">
        <f t="shared" si="17"/>
        <v>6.3915547024952026</v>
      </c>
      <c r="L256" s="35">
        <f t="shared" si="18"/>
        <v>6.390532544378698</v>
      </c>
      <c r="M256" s="35">
        <f>4.201*($T$2)</f>
        <v>8.4019999999999992</v>
      </c>
      <c r="N256" s="35">
        <v>80.099999999999994</v>
      </c>
      <c r="O256" s="35">
        <f t="shared" si="16"/>
        <v>0.8959266368095542</v>
      </c>
      <c r="P256" s="35">
        <f t="shared" si="19"/>
        <v>53.701842610364686</v>
      </c>
      <c r="Q256" s="35">
        <f>('Batt Capacity and Sys Weight'!$I$2) + (B256*$T$2)</f>
        <v>39.093000000000004</v>
      </c>
      <c r="R256" s="35">
        <f>'Batt Capacity and Sys Weight'!$H$2</f>
        <v>99.9</v>
      </c>
    </row>
    <row r="257" spans="1:18" x14ac:dyDescent="0.3">
      <c r="A257" s="35" t="s">
        <v>253</v>
      </c>
      <c r="B257" s="35">
        <v>4.13</v>
      </c>
      <c r="C257" s="35">
        <v>1300</v>
      </c>
      <c r="D257" s="35" t="s">
        <v>259</v>
      </c>
      <c r="E257" s="36" t="str" cm="1">
        <f t="array" ref="E257">GetNumber(D257,1)</f>
        <v>10</v>
      </c>
      <c r="F257" s="36" cm="1">
        <f t="array" ref="F257">GetNumber(D257,2)+(GetNumber(D257,3)/10)</f>
        <v>5.8</v>
      </c>
      <c r="G257" s="35">
        <v>11.1</v>
      </c>
      <c r="H257" s="35">
        <v>11278</v>
      </c>
      <c r="I257" s="35">
        <f>46.19*($T$2)</f>
        <v>92.38</v>
      </c>
      <c r="J257" s="35">
        <f>512.7*($T$2)</f>
        <v>1025.4000000000001</v>
      </c>
      <c r="K257" s="35">
        <f t="shared" si="17"/>
        <v>5.8455236980690461</v>
      </c>
      <c r="L257" s="35">
        <f t="shared" si="18"/>
        <v>5.8454210868153282</v>
      </c>
      <c r="M257" s="35">
        <f>4.667*($T$2)</f>
        <v>9.3339999999999996</v>
      </c>
      <c r="N257" s="35">
        <v>90.8</v>
      </c>
      <c r="O257" s="35">
        <f t="shared" si="16"/>
        <v>0.91027891554515306</v>
      </c>
      <c r="P257" s="35">
        <f t="shared" si="19"/>
        <v>54.562118197776478</v>
      </c>
      <c r="Q257" s="35">
        <f>('Batt Capacity and Sys Weight'!$I$2) + (B257*$T$2)</f>
        <v>39.093000000000004</v>
      </c>
      <c r="R257" s="35">
        <f>'Batt Capacity and Sys Weight'!$H$2</f>
        <v>99.9</v>
      </c>
    </row>
    <row r="258" spans="1:18" x14ac:dyDescent="0.3">
      <c r="A258" s="35" t="s">
        <v>253</v>
      </c>
      <c r="B258" s="35">
        <v>4.13</v>
      </c>
      <c r="C258" s="35">
        <v>1300</v>
      </c>
      <c r="D258" s="35" t="s">
        <v>67</v>
      </c>
      <c r="E258" s="36" t="str" cm="1">
        <f t="array" ref="E258">GetNumber(D258,1)</f>
        <v>10</v>
      </c>
      <c r="F258" s="36" t="str" cm="1">
        <f t="array" ref="F258">GetNumber(D258,2)</f>
        <v>6</v>
      </c>
      <c r="G258" s="35">
        <v>11.1</v>
      </c>
      <c r="H258" s="35">
        <v>11226</v>
      </c>
      <c r="I258" s="35">
        <f>47.01*($T$2)</f>
        <v>94.02</v>
      </c>
      <c r="J258" s="35">
        <f>521.8*($T$2)</f>
        <v>1043.5999999999999</v>
      </c>
      <c r="K258" s="35">
        <f t="shared" si="17"/>
        <v>5.7435799156765048</v>
      </c>
      <c r="L258" s="35">
        <f t="shared" si="18"/>
        <v>5.7434588385449912</v>
      </c>
      <c r="M258" s="35">
        <f>4.321*($T$2)</f>
        <v>8.6419999999999995</v>
      </c>
      <c r="N258" s="35">
        <v>93.6</v>
      </c>
      <c r="O258" s="35">
        <f t="shared" ref="O258:O321" si="20" xml:space="preserve"> (M258/J258)*100</f>
        <v>0.82809505557684937</v>
      </c>
      <c r="P258" s="35">
        <f t="shared" si="19"/>
        <v>49.636017631276353</v>
      </c>
      <c r="Q258" s="35">
        <f>('Batt Capacity and Sys Weight'!$I$2) + (B258*$T$2)</f>
        <v>39.093000000000004</v>
      </c>
      <c r="R258" s="35">
        <f>'Batt Capacity and Sys Weight'!$H$2</f>
        <v>99.9</v>
      </c>
    </row>
    <row r="259" spans="1:18" x14ac:dyDescent="0.3">
      <c r="A259" s="35" t="s">
        <v>253</v>
      </c>
      <c r="B259" s="35">
        <v>4.13</v>
      </c>
      <c r="C259" s="35">
        <v>1300</v>
      </c>
      <c r="D259" s="35" t="s">
        <v>131</v>
      </c>
      <c r="E259" s="36" t="str" cm="1">
        <f t="array" ref="E259">GetNumber(D259,1)</f>
        <v>10</v>
      </c>
      <c r="F259" s="36" t="str" cm="1">
        <f t="array" ref="F259">GetNumber(D259,2)</f>
        <v>6</v>
      </c>
      <c r="G259" s="35">
        <v>11.1</v>
      </c>
      <c r="H259" s="35">
        <v>11804</v>
      </c>
      <c r="I259" s="35">
        <f>38.37*($T$2)</f>
        <v>76.739999999999995</v>
      </c>
      <c r="J259" s="35">
        <f>425.9*($T$2)</f>
        <v>851.8</v>
      </c>
      <c r="K259" s="35">
        <f t="shared" ref="K259:K322" si="21" xml:space="preserve"> (R259/J259)*60</f>
        <v>7.0368631134069037</v>
      </c>
      <c r="L259" s="35">
        <f t="shared" ref="L259:L322" si="22">( (R259/G259)/I259)*60</f>
        <v>7.0367474589523074</v>
      </c>
      <c r="M259" s="35">
        <f>3.979*($T$2)</f>
        <v>7.9580000000000002</v>
      </c>
      <c r="N259" s="35">
        <v>98.4</v>
      </c>
      <c r="O259" s="35">
        <f t="shared" si="20"/>
        <v>0.93425686780934503</v>
      </c>
      <c r="P259" s="35">
        <f t="shared" si="19"/>
        <v>55.999356656492139</v>
      </c>
      <c r="Q259" s="35">
        <f>('Batt Capacity and Sys Weight'!$I$2) + (B259*$T$2)</f>
        <v>39.093000000000004</v>
      </c>
      <c r="R259" s="35">
        <f>'Batt Capacity and Sys Weight'!$H$2</f>
        <v>99.9</v>
      </c>
    </row>
    <row r="260" spans="1:18" x14ac:dyDescent="0.3">
      <c r="A260" s="35" t="s">
        <v>253</v>
      </c>
      <c r="B260" s="35">
        <v>4.13</v>
      </c>
      <c r="C260" s="35">
        <v>1300</v>
      </c>
      <c r="D260" s="35" t="s">
        <v>145</v>
      </c>
      <c r="E260" s="36" t="str" cm="1">
        <f t="array" ref="E260">GetNumber(D260,1)</f>
        <v>8</v>
      </c>
      <c r="F260" s="36" t="str" cm="1">
        <f t="array" ref="F260">GetNumber(D260,2)</f>
        <v>6</v>
      </c>
      <c r="G260" s="35">
        <v>11.1</v>
      </c>
      <c r="H260" s="35">
        <v>11755</v>
      </c>
      <c r="I260" s="35">
        <f>31.17*($T$2)</f>
        <v>62.34</v>
      </c>
      <c r="J260" s="35">
        <f>346*($T$2)</f>
        <v>692</v>
      </c>
      <c r="K260" s="35">
        <f t="shared" si="21"/>
        <v>8.6618497109826595</v>
      </c>
      <c r="L260" s="35">
        <f t="shared" si="22"/>
        <v>8.6621751684311832</v>
      </c>
      <c r="M260" s="35">
        <f>3.147*($T$2)</f>
        <v>6.2939999999999996</v>
      </c>
      <c r="N260" s="35">
        <v>98</v>
      </c>
      <c r="O260" s="35">
        <f t="shared" si="20"/>
        <v>0.90953757225433529</v>
      </c>
      <c r="P260" s="35">
        <f t="shared" si="19"/>
        <v>54.517682080924857</v>
      </c>
      <c r="Q260" s="35">
        <f>('Batt Capacity and Sys Weight'!$I$2) + (B260*$T$2)</f>
        <v>39.093000000000004</v>
      </c>
      <c r="R260" s="35">
        <f>'Batt Capacity and Sys Weight'!$H$2</f>
        <v>99.9</v>
      </c>
    </row>
    <row r="261" spans="1:18" x14ac:dyDescent="0.3">
      <c r="A261" s="35" t="s">
        <v>253</v>
      </c>
      <c r="B261" s="35">
        <v>4.13</v>
      </c>
      <c r="C261" s="35">
        <v>1300</v>
      </c>
      <c r="D261" s="35" t="s">
        <v>101</v>
      </c>
      <c r="E261" s="36" t="str" cm="1">
        <f t="array" ref="E261">GetNumber(D261,1)</f>
        <v>9</v>
      </c>
      <c r="F261" s="36" t="str" cm="1">
        <f t="array" ref="F261">GetNumber(D261,2)</f>
        <v>7</v>
      </c>
      <c r="G261" s="35">
        <v>11.1</v>
      </c>
      <c r="H261" s="35">
        <v>10694</v>
      </c>
      <c r="I261" s="35">
        <f>47.02*($T$2)</f>
        <v>94.04</v>
      </c>
      <c r="J261" s="35">
        <f>521.9*($T$2)</f>
        <v>1043.8</v>
      </c>
      <c r="K261" s="35">
        <f t="shared" si="21"/>
        <v>5.7424794021843271</v>
      </c>
      <c r="L261" s="35">
        <f t="shared" si="22"/>
        <v>5.7422373458102935</v>
      </c>
      <c r="M261" s="35">
        <f>4.325*($T$2)</f>
        <v>8.65</v>
      </c>
      <c r="N261" s="35">
        <v>104</v>
      </c>
      <c r="O261" s="35">
        <f t="shared" si="20"/>
        <v>0.82870281663153866</v>
      </c>
      <c r="P261" s="35">
        <f t="shared" si="19"/>
        <v>49.672446828894429</v>
      </c>
      <c r="Q261" s="35">
        <f>('Batt Capacity and Sys Weight'!$I$2) + (B261*$T$2)</f>
        <v>39.093000000000004</v>
      </c>
      <c r="R261" s="35">
        <f>'Batt Capacity and Sys Weight'!$H$2</f>
        <v>99.9</v>
      </c>
    </row>
    <row r="262" spans="1:18" x14ac:dyDescent="0.3">
      <c r="A262" s="35" t="s">
        <v>253</v>
      </c>
      <c r="B262" s="35">
        <v>4.13</v>
      </c>
      <c r="C262" s="35">
        <v>1300</v>
      </c>
      <c r="D262" s="35" t="s">
        <v>79</v>
      </c>
      <c r="E262" s="36" t="str" cm="1">
        <f t="array" ref="E262">GetNumber(D262,1)</f>
        <v>10</v>
      </c>
      <c r="F262" s="36" t="str" cm="1">
        <f t="array" ref="F262">GetNumber(D262,2)</f>
        <v>5</v>
      </c>
      <c r="G262" s="35">
        <v>11.1</v>
      </c>
      <c r="H262" s="35">
        <v>10988</v>
      </c>
      <c r="I262" s="35">
        <f>42.92*($T$2)</f>
        <v>85.84</v>
      </c>
      <c r="J262" s="35">
        <f>476.4*($T$2)</f>
        <v>952.8</v>
      </c>
      <c r="K262" s="35">
        <f t="shared" si="21"/>
        <v>6.2909319899244336</v>
      </c>
      <c r="L262" s="35">
        <f t="shared" si="22"/>
        <v>6.2907735321528424</v>
      </c>
      <c r="M262" s="35">
        <f>4.539*($T$2)</f>
        <v>9.0779999999999994</v>
      </c>
      <c r="N262" s="35">
        <v>76.3</v>
      </c>
      <c r="O262" s="35">
        <f t="shared" si="20"/>
        <v>0.95277078085642308</v>
      </c>
      <c r="P262" s="35">
        <f t="shared" si="19"/>
        <v>57.109080604534007</v>
      </c>
      <c r="Q262" s="35">
        <f>('Batt Capacity and Sys Weight'!$I$2) + (B262*$T$2)</f>
        <v>39.093000000000004</v>
      </c>
      <c r="R262" s="35">
        <f>'Batt Capacity and Sys Weight'!$H$2</f>
        <v>99.9</v>
      </c>
    </row>
    <row r="263" spans="1:18" x14ac:dyDescent="0.3">
      <c r="A263" s="35" t="s">
        <v>253</v>
      </c>
      <c r="B263" s="35">
        <v>4.13</v>
      </c>
      <c r="C263" s="35">
        <v>1300</v>
      </c>
      <c r="D263" s="35" t="s">
        <v>148</v>
      </c>
      <c r="E263" s="36" t="str" cm="1">
        <f t="array" ref="E263">GetNumber(D263,1)</f>
        <v>7</v>
      </c>
      <c r="F263" s="36" t="str" cm="1">
        <f t="array" ref="F263">GetNumber(D263,2)</f>
        <v>5</v>
      </c>
      <c r="G263" s="35">
        <v>14.8</v>
      </c>
      <c r="H263" s="35">
        <v>16824</v>
      </c>
      <c r="I263" s="35">
        <f>30.52*($T$2)</f>
        <v>61.04</v>
      </c>
      <c r="J263" s="35">
        <f>451.7*($T$2)</f>
        <v>903.4</v>
      </c>
      <c r="K263" s="35">
        <f t="shared" si="21"/>
        <v>6.4874916980296664</v>
      </c>
      <c r="L263" s="35">
        <f t="shared" si="22"/>
        <v>6.4875491480996077</v>
      </c>
      <c r="M263" s="35">
        <f>2.933*($T$2)</f>
        <v>5.8659999999999997</v>
      </c>
      <c r="N263" s="35">
        <v>116.9</v>
      </c>
      <c r="O263" s="35">
        <f t="shared" si="20"/>
        <v>0.64932477307947756</v>
      </c>
      <c r="P263" s="35">
        <f t="shared" si="19"/>
        <v>38.055626300642018</v>
      </c>
      <c r="Q263" s="35">
        <f>('Batt Capacity and Sys Weight'!$I$3) + (B263*$T$2)</f>
        <v>34.648474999999998</v>
      </c>
      <c r="R263" s="35">
        <f>'Batt Capacity and Sys Weight'!$H$3</f>
        <v>97.68</v>
      </c>
    </row>
    <row r="264" spans="1:18" x14ac:dyDescent="0.3">
      <c r="A264" s="35" t="s">
        <v>253</v>
      </c>
      <c r="B264" s="35">
        <v>4.13</v>
      </c>
      <c r="C264" s="35">
        <v>1300</v>
      </c>
      <c r="D264" s="35" t="s">
        <v>149</v>
      </c>
      <c r="E264" s="36" t="str" cm="1">
        <f t="array" ref="E264">GetNumber(D264,1)</f>
        <v>7</v>
      </c>
      <c r="F264" s="36" t="str" cm="1">
        <f t="array" ref="F264">GetNumber(D264,2)</f>
        <v>6</v>
      </c>
      <c r="G264" s="35">
        <v>14.8</v>
      </c>
      <c r="H264" s="35">
        <v>16739</v>
      </c>
      <c r="I264" s="35">
        <f>31.5*($T$2)</f>
        <v>63</v>
      </c>
      <c r="J264" s="35">
        <f>466.2*($T$2)</f>
        <v>932.4</v>
      </c>
      <c r="K264" s="35">
        <f t="shared" si="21"/>
        <v>6.2857142857142865</v>
      </c>
      <c r="L264" s="35">
        <f t="shared" si="22"/>
        <v>6.2857142857142856</v>
      </c>
      <c r="M264" s="35">
        <f>3.158*($T$2)</f>
        <v>6.3159999999999998</v>
      </c>
      <c r="N264" s="35">
        <v>139.5</v>
      </c>
      <c r="O264" s="35">
        <f t="shared" si="20"/>
        <v>0.67739167739167738</v>
      </c>
      <c r="P264" s="35">
        <f t="shared" si="19"/>
        <v>39.700571428571429</v>
      </c>
      <c r="Q264" s="35">
        <f>('Batt Capacity and Sys Weight'!$I$3) + (B264*$T$2)</f>
        <v>34.648474999999998</v>
      </c>
      <c r="R264" s="35">
        <f>'Batt Capacity and Sys Weight'!$H$3</f>
        <v>97.68</v>
      </c>
    </row>
    <row r="265" spans="1:18" x14ac:dyDescent="0.3">
      <c r="A265" s="35" t="s">
        <v>253</v>
      </c>
      <c r="B265" s="35">
        <v>4.13</v>
      </c>
      <c r="C265" s="35">
        <v>1300</v>
      </c>
      <c r="D265" s="35" t="s">
        <v>125</v>
      </c>
      <c r="E265" s="36" t="str" cm="1">
        <f t="array" ref="E265">GetNumber(D265,1)</f>
        <v>7</v>
      </c>
      <c r="F265" s="36" t="str" cm="1">
        <f t="array" ref="F265">GetNumber(D265,2)</f>
        <v>7</v>
      </c>
      <c r="G265" s="35">
        <v>14.8</v>
      </c>
      <c r="H265" s="35">
        <v>16122</v>
      </c>
      <c r="I265" s="35">
        <f>39.59*($T$2)</f>
        <v>79.180000000000007</v>
      </c>
      <c r="J265" s="35">
        <f>586*($T$2)</f>
        <v>1172</v>
      </c>
      <c r="K265" s="35">
        <f t="shared" si="21"/>
        <v>5.0006825938566557</v>
      </c>
      <c r="L265" s="35">
        <f t="shared" si="22"/>
        <v>5.0012629451881789</v>
      </c>
      <c r="M265" s="35">
        <f>3.079*($T$2)</f>
        <v>6.1580000000000004</v>
      </c>
      <c r="N265" s="35">
        <v>156.80000000000001</v>
      </c>
      <c r="O265" s="35">
        <f t="shared" si="20"/>
        <v>0.52542662116040961</v>
      </c>
      <c r="P265" s="35">
        <f t="shared" si="19"/>
        <v>30.794203412969289</v>
      </c>
      <c r="Q265" s="35">
        <f>('Batt Capacity and Sys Weight'!$I$3) + (B265*$T$2)</f>
        <v>34.648474999999998</v>
      </c>
      <c r="R265" s="35">
        <f>'Batt Capacity and Sys Weight'!$H$3</f>
        <v>97.68</v>
      </c>
    </row>
    <row r="266" spans="1:18" x14ac:dyDescent="0.3">
      <c r="A266" s="35" t="s">
        <v>253</v>
      </c>
      <c r="B266" s="35">
        <v>4.13</v>
      </c>
      <c r="C266" s="35">
        <v>1300</v>
      </c>
      <c r="D266" s="35" t="s">
        <v>126</v>
      </c>
      <c r="E266" s="36" t="str" cm="1">
        <f t="array" ref="E266">GetNumber(D266,1)</f>
        <v>8</v>
      </c>
      <c r="F266" s="36" t="str" cm="1">
        <f t="array" ref="F266">GetNumber(D266,2)</f>
        <v>4</v>
      </c>
      <c r="G266" s="35">
        <v>14.8</v>
      </c>
      <c r="H266" s="35">
        <v>16341</v>
      </c>
      <c r="I266" s="35">
        <f>36.56*($T$2)</f>
        <v>73.12</v>
      </c>
      <c r="J266" s="35">
        <f>541.1*($T$2)</f>
        <v>1082.2</v>
      </c>
      <c r="K266" s="35">
        <f t="shared" si="21"/>
        <v>5.415634817963408</v>
      </c>
      <c r="L266" s="35">
        <f t="shared" si="22"/>
        <v>5.4157549234135667</v>
      </c>
      <c r="M266" s="35">
        <f>3.924*($T$2)</f>
        <v>7.8479999999999999</v>
      </c>
      <c r="N266" s="35">
        <v>90.8</v>
      </c>
      <c r="O266" s="35">
        <f t="shared" si="20"/>
        <v>0.72518942894104599</v>
      </c>
      <c r="P266" s="35">
        <f t="shared" si="19"/>
        <v>42.501902051376824</v>
      </c>
      <c r="Q266" s="35">
        <f>('Batt Capacity and Sys Weight'!$I$3) + (B266*$T$2)</f>
        <v>34.648474999999998</v>
      </c>
      <c r="R266" s="35">
        <f>'Batt Capacity and Sys Weight'!$H$3</f>
        <v>97.68</v>
      </c>
    </row>
    <row r="267" spans="1:18" x14ac:dyDescent="0.3">
      <c r="A267" s="35" t="s">
        <v>253</v>
      </c>
      <c r="B267" s="35">
        <v>4.13</v>
      </c>
      <c r="C267" s="35">
        <v>1300</v>
      </c>
      <c r="D267" s="35" t="s">
        <v>144</v>
      </c>
      <c r="E267" s="36" t="str" cm="1">
        <f t="array" ref="E267">GetNumber(D267,1)</f>
        <v>7</v>
      </c>
      <c r="F267" s="36" t="str" cm="1">
        <f t="array" ref="F267">GetNumber(D267,2)</f>
        <v>4</v>
      </c>
      <c r="G267" s="35">
        <v>14.8</v>
      </c>
      <c r="H267" s="35">
        <v>16416</v>
      </c>
      <c r="I267" s="35">
        <f>25.38*($T$2)</f>
        <v>50.76</v>
      </c>
      <c r="J267" s="35">
        <f>375.6*($T$2)</f>
        <v>751.2</v>
      </c>
      <c r="K267" s="35">
        <f t="shared" si="21"/>
        <v>7.801916932907349</v>
      </c>
      <c r="L267" s="35">
        <f t="shared" si="22"/>
        <v>7.8014184397163131</v>
      </c>
      <c r="M267" s="35">
        <f>2.845*($T$2)</f>
        <v>5.69</v>
      </c>
      <c r="N267" s="35">
        <v>91.2</v>
      </c>
      <c r="O267" s="35">
        <f t="shared" si="20"/>
        <v>0.75745473908413208</v>
      </c>
      <c r="P267" s="35">
        <f t="shared" si="19"/>
        <v>44.392907348242822</v>
      </c>
      <c r="Q267" s="35">
        <f>('Batt Capacity and Sys Weight'!$I$3) + (B267*$T$2)</f>
        <v>34.648474999999998</v>
      </c>
      <c r="R267" s="35">
        <f>'Batt Capacity and Sys Weight'!$H$3</f>
        <v>97.68</v>
      </c>
    </row>
    <row r="268" spans="1:18" x14ac:dyDescent="0.3">
      <c r="A268" s="35" t="s">
        <v>253</v>
      </c>
      <c r="B268" s="35">
        <v>4.13</v>
      </c>
      <c r="C268" s="35">
        <v>1300</v>
      </c>
      <c r="D268" s="35" t="s">
        <v>146</v>
      </c>
      <c r="E268" s="36" t="str" cm="1">
        <f t="array" ref="E268">GetNumber(D268,1)</f>
        <v>7</v>
      </c>
      <c r="F268" s="36" t="str" cm="1">
        <f t="array" ref="F268">GetNumber(D268,2)</f>
        <v>4</v>
      </c>
      <c r="G268" s="35">
        <v>18.5</v>
      </c>
      <c r="H268" s="35">
        <v>20692</v>
      </c>
      <c r="I268" s="35">
        <f>36.84*($T$2)</f>
        <v>73.680000000000007</v>
      </c>
      <c r="J268" s="35">
        <f>681.4*($T$2)</f>
        <v>1362.8</v>
      </c>
      <c r="K268" s="35">
        <f t="shared" si="21"/>
        <v>4.072497798649839</v>
      </c>
      <c r="L268" s="35">
        <f t="shared" si="22"/>
        <v>4.0716612377850154</v>
      </c>
      <c r="M268" s="35">
        <f>4.232*($T$2)</f>
        <v>8.4640000000000004</v>
      </c>
      <c r="N268" s="35">
        <v>115</v>
      </c>
      <c r="O268" s="35">
        <f t="shared" si="20"/>
        <v>0.62107425887877898</v>
      </c>
      <c r="P268" s="35">
        <f t="shared" si="19"/>
        <v>34.469621367772241</v>
      </c>
      <c r="Q268" s="35">
        <f>('Batt Capacity and Sys Weight'!$I$4) + (B268*$T$2)</f>
        <v>35.424503000000001</v>
      </c>
      <c r="R268" s="35">
        <f>'Batt Capacity and Sys Weight'!$H$4</f>
        <v>92.5</v>
      </c>
    </row>
    <row r="269" spans="1:18" x14ac:dyDescent="0.3">
      <c r="A269" s="35" t="s">
        <v>253</v>
      </c>
      <c r="B269" s="35">
        <v>4.13</v>
      </c>
      <c r="C269" s="35">
        <v>1300</v>
      </c>
      <c r="D269" s="35" t="s">
        <v>148</v>
      </c>
      <c r="E269" s="36" t="str" cm="1">
        <f t="array" ref="E269">GetNumber(D269,1)</f>
        <v>7</v>
      </c>
      <c r="F269" s="36" t="str" cm="1">
        <f t="array" ref="F269">GetNumber(D269,2)</f>
        <v>5</v>
      </c>
      <c r="G269" s="35">
        <v>18.5</v>
      </c>
      <c r="H269" s="35">
        <v>19985</v>
      </c>
      <c r="I269" s="35">
        <f>45.92*($T$2)</f>
        <v>91.84</v>
      </c>
      <c r="J269" s="35">
        <f>849.5*($T$2)</f>
        <v>1699</v>
      </c>
      <c r="K269" s="35">
        <f t="shared" si="21"/>
        <v>3.2666274278987641</v>
      </c>
      <c r="L269" s="35">
        <f t="shared" si="22"/>
        <v>3.2665505226480835</v>
      </c>
      <c r="M269" s="35">
        <f>4.16*($T$2)</f>
        <v>8.32</v>
      </c>
      <c r="N269" s="35">
        <v>138.69999999999999</v>
      </c>
      <c r="O269" s="35">
        <f t="shared" si="20"/>
        <v>0.48969982342554447</v>
      </c>
      <c r="P269" s="35">
        <f t="shared" si="19"/>
        <v>27.17834020011772</v>
      </c>
      <c r="Q269" s="35">
        <f>('Batt Capacity and Sys Weight'!$I$4) + (B269*$T$2)</f>
        <v>35.424503000000001</v>
      </c>
      <c r="R269" s="35">
        <f>'Batt Capacity and Sys Weight'!$H$4</f>
        <v>92.5</v>
      </c>
    </row>
    <row r="270" spans="1:18" x14ac:dyDescent="0.3">
      <c r="A270" s="35" t="s">
        <v>253</v>
      </c>
      <c r="B270" s="35">
        <v>4.13</v>
      </c>
      <c r="C270" s="35">
        <v>1300</v>
      </c>
      <c r="D270" s="35" t="s">
        <v>149</v>
      </c>
      <c r="E270" s="36" t="str" cm="1">
        <f t="array" ref="E270">GetNumber(D270,1)</f>
        <v>7</v>
      </c>
      <c r="F270" s="36" t="str" cm="1">
        <f t="array" ref="F270">GetNumber(D270,2)</f>
        <v>6</v>
      </c>
      <c r="G270" s="35">
        <v>18.5</v>
      </c>
      <c r="H270" s="35">
        <v>19878</v>
      </c>
      <c r="I270" s="35">
        <f>47.1*($T$2)</f>
        <v>94.2</v>
      </c>
      <c r="J270" s="35">
        <f>871.3*($T$2)</f>
        <v>1742.6</v>
      </c>
      <c r="K270" s="35">
        <f t="shared" si="21"/>
        <v>3.1848961322162288</v>
      </c>
      <c r="L270" s="35">
        <f t="shared" si="22"/>
        <v>3.1847133757961781</v>
      </c>
      <c r="M270" s="35">
        <f>4.424*($T$2)</f>
        <v>8.8480000000000008</v>
      </c>
      <c r="N270" s="35">
        <v>165.6</v>
      </c>
      <c r="O270" s="35">
        <f t="shared" si="20"/>
        <v>0.50774704464593146</v>
      </c>
      <c r="P270" s="35">
        <f t="shared" si="19"/>
        <v>28.179960977849195</v>
      </c>
      <c r="Q270" s="35">
        <f>('Batt Capacity and Sys Weight'!$I$4) + (B270*$T$2)</f>
        <v>35.424503000000001</v>
      </c>
      <c r="R270" s="35">
        <f>'Batt Capacity and Sys Weight'!$H$4</f>
        <v>92.5</v>
      </c>
    </row>
    <row r="271" spans="1:18" x14ac:dyDescent="0.3">
      <c r="A271" s="35" t="s">
        <v>253</v>
      </c>
      <c r="B271" s="35">
        <v>4.13</v>
      </c>
      <c r="C271" s="35">
        <v>1300</v>
      </c>
      <c r="D271" s="35" t="s">
        <v>202</v>
      </c>
      <c r="E271" s="36">
        <v>6</v>
      </c>
      <c r="F271" s="36">
        <v>4.3</v>
      </c>
      <c r="G271" s="35">
        <v>22.2</v>
      </c>
      <c r="H271" s="35">
        <v>24485</v>
      </c>
      <c r="I271" s="35">
        <f>35.64*($T$2)</f>
        <v>71.28</v>
      </c>
      <c r="J271" s="35">
        <f>791.1*($T$2)</f>
        <v>1582.2</v>
      </c>
      <c r="K271" s="35">
        <f t="shared" si="21"/>
        <v>3.78839590443686</v>
      </c>
      <c r="L271" s="35">
        <f t="shared" si="22"/>
        <v>3.7878787878787881</v>
      </c>
      <c r="M271" s="35">
        <f>4.133*($T$2)</f>
        <v>8.266</v>
      </c>
      <c r="N271" s="35">
        <v>146.19999999999999</v>
      </c>
      <c r="O271" s="35">
        <f t="shared" si="20"/>
        <v>0.52243711288079886</v>
      </c>
      <c r="P271" s="35">
        <f t="shared" si="19"/>
        <v>31.314880546075084</v>
      </c>
      <c r="Q271" s="35">
        <f>('Batt Capacity and Sys Weight'!$I$5) + (B271*$T$2)</f>
        <v>39.833753000000002</v>
      </c>
      <c r="R271" s="35">
        <f>'Batt Capacity and Sys Weight'!$H$5</f>
        <v>99.9</v>
      </c>
    </row>
    <row r="272" spans="1:18" x14ac:dyDescent="0.3">
      <c r="A272" s="35" t="s">
        <v>253</v>
      </c>
      <c r="B272" s="35">
        <v>4.13</v>
      </c>
      <c r="C272" s="35">
        <v>1300</v>
      </c>
      <c r="D272" s="35" t="s">
        <v>151</v>
      </c>
      <c r="E272" s="36" t="str" cm="1">
        <f t="array" ref="E272">GetNumber(D272,1)</f>
        <v>6</v>
      </c>
      <c r="F272" s="36" cm="1">
        <f t="array" ref="F272">GetNumber(D272,2)+(GetNumber(D272,3)/10)</f>
        <v>4.5</v>
      </c>
      <c r="G272" s="35">
        <v>22.2</v>
      </c>
      <c r="H272" s="35">
        <v>24793</v>
      </c>
      <c r="I272" s="35">
        <f>32.53*($T$2)</f>
        <v>65.06</v>
      </c>
      <c r="J272" s="35">
        <f>722.2*($T$2)</f>
        <v>1444.4</v>
      </c>
      <c r="K272" s="35">
        <f t="shared" si="21"/>
        <v>4.1498199944613674</v>
      </c>
      <c r="L272" s="35">
        <f t="shared" si="22"/>
        <v>4.1500153704272975</v>
      </c>
      <c r="M272" s="35">
        <f>4.093*($T$2)</f>
        <v>8.1859999999999999</v>
      </c>
      <c r="N272" s="35">
        <v>155</v>
      </c>
      <c r="O272" s="35">
        <f t="shared" si="20"/>
        <v>0.56674051509277201</v>
      </c>
      <c r="P272" s="35">
        <f t="shared" si="19"/>
        <v>33.970426474660755</v>
      </c>
      <c r="Q272" s="35">
        <f>('Batt Capacity and Sys Weight'!$I$5) + (B272*$T$2)</f>
        <v>39.833753000000002</v>
      </c>
      <c r="R272" s="35">
        <f>'Batt Capacity and Sys Weight'!$H$5</f>
        <v>99.9</v>
      </c>
    </row>
    <row r="273" spans="1:18" x14ac:dyDescent="0.3">
      <c r="A273" s="35" t="s">
        <v>253</v>
      </c>
      <c r="B273" s="35">
        <v>4.13</v>
      </c>
      <c r="C273" s="35">
        <v>1300</v>
      </c>
      <c r="D273" s="35" t="s">
        <v>161</v>
      </c>
      <c r="E273" s="36" t="str" cm="1">
        <f t="array" ref="E273">GetNumber(D273,1)</f>
        <v>6</v>
      </c>
      <c r="F273" s="36" cm="1">
        <f t="array" ref="F273">GetNumber(D273,2)+(GetNumber(D273,3)/10)</f>
        <v>5.5</v>
      </c>
      <c r="G273" s="35">
        <v>22.2</v>
      </c>
      <c r="H273" s="35">
        <v>24859</v>
      </c>
      <c r="I273" s="35">
        <f>31.82*($T$2)</f>
        <v>63.64</v>
      </c>
      <c r="J273" s="35">
        <f>706.3*($T$2)</f>
        <v>1412.6</v>
      </c>
      <c r="K273" s="35">
        <f t="shared" si="21"/>
        <v>4.2432394166784659</v>
      </c>
      <c r="L273" s="35">
        <f t="shared" si="22"/>
        <v>4.2426147077309873</v>
      </c>
      <c r="M273" s="35">
        <f>3.033*($T$2)</f>
        <v>6.0659999999999998</v>
      </c>
      <c r="N273" s="35">
        <v>189.9</v>
      </c>
      <c r="O273" s="35">
        <f t="shared" si="20"/>
        <v>0.42942092595214498</v>
      </c>
      <c r="P273" s="35">
        <f t="shared" ref="P273:P336" si="23">M273*K273</f>
        <v>25.739490301571575</v>
      </c>
      <c r="Q273" s="35">
        <f>('Batt Capacity and Sys Weight'!$I$5) + (B273*$T$2)</f>
        <v>39.833753000000002</v>
      </c>
      <c r="R273" s="35">
        <f>'Batt Capacity and Sys Weight'!$H$5</f>
        <v>99.9</v>
      </c>
    </row>
    <row r="274" spans="1:18" x14ac:dyDescent="0.3">
      <c r="A274" s="35" t="s">
        <v>253</v>
      </c>
      <c r="B274" s="35">
        <v>4.13</v>
      </c>
      <c r="C274" s="35">
        <v>1300</v>
      </c>
      <c r="D274" s="35" t="s">
        <v>152</v>
      </c>
      <c r="E274" s="36" t="str" cm="1">
        <f t="array" ref="E274">GetNumber(D274,1)</f>
        <v>6</v>
      </c>
      <c r="F274" s="36" t="str" cm="1">
        <f t="array" ref="F274">GetNumber(D274,2)</f>
        <v>6</v>
      </c>
      <c r="G274" s="35">
        <v>22.2</v>
      </c>
      <c r="H274" s="35">
        <v>24412</v>
      </c>
      <c r="I274" s="35">
        <f>36.29*($T$2)</f>
        <v>72.58</v>
      </c>
      <c r="J274" s="35">
        <f>805.5*($T$2)</f>
        <v>1611</v>
      </c>
      <c r="K274" s="35">
        <f t="shared" si="21"/>
        <v>3.7206703910614527</v>
      </c>
      <c r="L274" s="35">
        <f t="shared" si="22"/>
        <v>3.7200330669605957</v>
      </c>
      <c r="M274" s="35">
        <f>3.079*($T$2)</f>
        <v>6.1580000000000004</v>
      </c>
      <c r="N274" s="35">
        <v>203.4</v>
      </c>
      <c r="O274" s="35">
        <f t="shared" si="20"/>
        <v>0.38224705152079452</v>
      </c>
      <c r="P274" s="35">
        <f t="shared" si="23"/>
        <v>22.911888268156428</v>
      </c>
      <c r="Q274" s="35">
        <f>('Batt Capacity and Sys Weight'!$I$5) + (B274*$T$2)</f>
        <v>39.833753000000002</v>
      </c>
      <c r="R274" s="35">
        <f>'Batt Capacity and Sys Weight'!$H$5</f>
        <v>99.9</v>
      </c>
    </row>
    <row r="275" spans="1:18" x14ac:dyDescent="0.3">
      <c r="A275" s="35" t="s">
        <v>254</v>
      </c>
      <c r="B275" s="35">
        <v>5.22</v>
      </c>
      <c r="C275" s="35">
        <v>1080</v>
      </c>
      <c r="D275" s="35" t="s">
        <v>104</v>
      </c>
      <c r="E275" s="36" t="str" cm="1">
        <f t="array" ref="E275">GetNumber(D275,1)</f>
        <v>9</v>
      </c>
      <c r="F275" s="36" cm="1">
        <f t="array" ref="F275">GetNumber(D275,2)+(GetNumber(D275,3)/10)</f>
        <v>7.5</v>
      </c>
      <c r="G275" s="35">
        <v>11.1</v>
      </c>
      <c r="H275" s="35">
        <v>10190</v>
      </c>
      <c r="I275" s="35">
        <f>36.28*($T$2)</f>
        <v>72.56</v>
      </c>
      <c r="J275" s="35">
        <f>402.7*($T$2)</f>
        <v>805.4</v>
      </c>
      <c r="K275" s="35">
        <f t="shared" si="21"/>
        <v>7.4422647131859954</v>
      </c>
      <c r="L275" s="35">
        <f t="shared" si="22"/>
        <v>7.4421168687982355</v>
      </c>
      <c r="M275" s="35">
        <f>2.944*($T$2)</f>
        <v>5.8879999999999999</v>
      </c>
      <c r="N275" s="35">
        <v>106.2</v>
      </c>
      <c r="O275" s="35">
        <f t="shared" si="20"/>
        <v>0.73106530916314871</v>
      </c>
      <c r="P275" s="35">
        <f t="shared" si="23"/>
        <v>43.820054631239138</v>
      </c>
      <c r="Q275" s="35">
        <f>('Batt Capacity and Sys Weight'!$I$2) + (B275*$T$2)</f>
        <v>41.273000000000003</v>
      </c>
      <c r="R275" s="35">
        <f>'Batt Capacity and Sys Weight'!$H$2</f>
        <v>99.9</v>
      </c>
    </row>
    <row r="276" spans="1:18" x14ac:dyDescent="0.3">
      <c r="A276" s="35" t="s">
        <v>254</v>
      </c>
      <c r="B276" s="35">
        <v>5.22</v>
      </c>
      <c r="C276" s="35">
        <v>1080</v>
      </c>
      <c r="D276" s="35" t="s">
        <v>103</v>
      </c>
      <c r="E276" s="36" t="str" cm="1">
        <f t="array" ref="E276">GetNumber(D276,1)</f>
        <v>9</v>
      </c>
      <c r="F276" s="36" t="str" cm="1">
        <f t="array" ref="F276">GetNumber(D276,2)</f>
        <v>9</v>
      </c>
      <c r="G276" s="35">
        <v>11.1</v>
      </c>
      <c r="H276" s="35">
        <v>9903</v>
      </c>
      <c r="I276" s="35">
        <f>42.05*($T$2)</f>
        <v>84.1</v>
      </c>
      <c r="J276" s="35">
        <f>466.8*($T$2)</f>
        <v>933.6</v>
      </c>
      <c r="K276" s="35">
        <f t="shared" si="21"/>
        <v>6.4203084832904889</v>
      </c>
      <c r="L276" s="35">
        <f t="shared" si="22"/>
        <v>6.4209274673008325</v>
      </c>
      <c r="M276" s="35">
        <f>2.865*($T$2)</f>
        <v>5.73</v>
      </c>
      <c r="N276" s="35">
        <v>123.8</v>
      </c>
      <c r="O276" s="35">
        <f t="shared" si="20"/>
        <v>0.61375321336760935</v>
      </c>
      <c r="P276" s="35">
        <f t="shared" si="23"/>
        <v>36.788367609254507</v>
      </c>
      <c r="Q276" s="35">
        <f>('Batt Capacity and Sys Weight'!$I$2) + (B276*$T$2)</f>
        <v>41.273000000000003</v>
      </c>
      <c r="R276" s="35">
        <f>'Batt Capacity and Sys Weight'!$H$2</f>
        <v>99.9</v>
      </c>
    </row>
    <row r="277" spans="1:18" x14ac:dyDescent="0.3">
      <c r="A277" s="35" t="s">
        <v>254</v>
      </c>
      <c r="B277" s="35">
        <v>5.22</v>
      </c>
      <c r="C277" s="35">
        <v>1080</v>
      </c>
      <c r="D277" s="35" t="s">
        <v>67</v>
      </c>
      <c r="E277" s="36" t="str" cm="1">
        <f t="array" ref="E277">GetNumber(D277,1)</f>
        <v>10</v>
      </c>
      <c r="F277" s="36" t="str" cm="1">
        <f t="array" ref="F277">GetNumber(D277,2)</f>
        <v>6</v>
      </c>
      <c r="G277" s="35">
        <v>11.1</v>
      </c>
      <c r="H277" s="35">
        <v>10356</v>
      </c>
      <c r="I277" s="35">
        <f>33.07*($T$2)</f>
        <v>66.14</v>
      </c>
      <c r="J277" s="35">
        <f>367.1*($T$2)</f>
        <v>734.2</v>
      </c>
      <c r="K277" s="35">
        <f t="shared" si="21"/>
        <v>8.1639880141650778</v>
      </c>
      <c r="L277" s="35">
        <f t="shared" si="22"/>
        <v>8.1644995464166925</v>
      </c>
      <c r="M277" s="35">
        <f>3.56*($T$2)</f>
        <v>7.12</v>
      </c>
      <c r="N277" s="35">
        <v>86.2</v>
      </c>
      <c r="O277" s="35">
        <f t="shared" si="20"/>
        <v>0.96976300735494414</v>
      </c>
      <c r="P277" s="35">
        <f t="shared" si="23"/>
        <v>58.127594660855358</v>
      </c>
      <c r="Q277" s="35">
        <f>('Batt Capacity and Sys Weight'!$I$2) + (B277*$T$2)</f>
        <v>41.273000000000003</v>
      </c>
      <c r="R277" s="35">
        <f>'Batt Capacity and Sys Weight'!$H$2</f>
        <v>99.9</v>
      </c>
    </row>
    <row r="278" spans="1:18" x14ac:dyDescent="0.3">
      <c r="A278" s="35" t="s">
        <v>254</v>
      </c>
      <c r="B278" s="35">
        <v>5.22</v>
      </c>
      <c r="C278" s="35">
        <v>1080</v>
      </c>
      <c r="D278" s="35" t="s">
        <v>68</v>
      </c>
      <c r="E278" s="36" t="str" cm="1">
        <f t="array" ref="E278">GetNumber(D278,1)</f>
        <v>10</v>
      </c>
      <c r="F278" s="36" t="str" cm="1">
        <f t="array" ref="F278">GetNumber(D278,2)</f>
        <v>7</v>
      </c>
      <c r="G278" s="35">
        <v>11.1</v>
      </c>
      <c r="H278" s="35">
        <v>10097</v>
      </c>
      <c r="I278" s="35">
        <f>38.23*($T$2)</f>
        <v>76.459999999999994</v>
      </c>
      <c r="J278" s="35">
        <f>424.4*($T$2)</f>
        <v>848.8</v>
      </c>
      <c r="K278" s="35">
        <f t="shared" si="21"/>
        <v>7.0617342130065985</v>
      </c>
      <c r="L278" s="35">
        <f t="shared" si="22"/>
        <v>7.062516348417474</v>
      </c>
      <c r="M278" s="35">
        <f>3.736*($T$2)</f>
        <v>7.4720000000000004</v>
      </c>
      <c r="N278" s="35">
        <v>98.1</v>
      </c>
      <c r="O278" s="35">
        <f t="shared" si="20"/>
        <v>0.88030160226201704</v>
      </c>
      <c r="P278" s="35">
        <f t="shared" si="23"/>
        <v>52.765278039585304</v>
      </c>
      <c r="Q278" s="35">
        <f>('Batt Capacity and Sys Weight'!$I$2) + (B278*$T$2)</f>
        <v>41.273000000000003</v>
      </c>
      <c r="R278" s="35">
        <f>'Batt Capacity and Sys Weight'!$H$2</f>
        <v>99.9</v>
      </c>
    </row>
    <row r="279" spans="1:18" x14ac:dyDescent="0.3">
      <c r="A279" s="35" t="s">
        <v>254</v>
      </c>
      <c r="B279" s="35">
        <v>5.22</v>
      </c>
      <c r="C279" s="35">
        <v>1080</v>
      </c>
      <c r="D279" s="35" t="s">
        <v>69</v>
      </c>
      <c r="E279" s="36" t="str" cm="1">
        <f t="array" ref="E279">GetNumber(D279,1)</f>
        <v>10</v>
      </c>
      <c r="F279" s="36" t="str" cm="1">
        <f t="array" ref="F279">GetNumber(D279,2)</f>
        <v>8</v>
      </c>
      <c r="G279" s="35">
        <v>11.1</v>
      </c>
      <c r="H279" s="35">
        <v>9884</v>
      </c>
      <c r="I279" s="35">
        <f>41.92*($T$2)</f>
        <v>83.84</v>
      </c>
      <c r="J279" s="35">
        <f>465.3*($T$2)</f>
        <v>930.6</v>
      </c>
      <c r="K279" s="35">
        <f t="shared" si="21"/>
        <v>6.4410058027079309</v>
      </c>
      <c r="L279" s="35">
        <f t="shared" si="22"/>
        <v>6.4408396946564883</v>
      </c>
      <c r="M279" s="35">
        <f>3.833*($T$2)</f>
        <v>7.6660000000000004</v>
      </c>
      <c r="N279" s="35">
        <v>109.9</v>
      </c>
      <c r="O279" s="35">
        <f t="shared" si="20"/>
        <v>0.82376961100365365</v>
      </c>
      <c r="P279" s="35">
        <f t="shared" si="23"/>
        <v>49.376750483559</v>
      </c>
      <c r="Q279" s="35">
        <f>('Batt Capacity and Sys Weight'!$I$2) + (B279*$T$2)</f>
        <v>41.273000000000003</v>
      </c>
      <c r="R279" s="35">
        <f>'Batt Capacity and Sys Weight'!$H$2</f>
        <v>99.9</v>
      </c>
    </row>
    <row r="280" spans="1:18" x14ac:dyDescent="0.3">
      <c r="A280" s="35" t="s">
        <v>254</v>
      </c>
      <c r="B280" s="35">
        <v>5.22</v>
      </c>
      <c r="C280" s="35">
        <v>1080</v>
      </c>
      <c r="D280" s="35" t="s">
        <v>55</v>
      </c>
      <c r="E280" s="36" t="str" cm="1">
        <f t="array" ref="E280">GetNumber(D280,1)</f>
        <v>10</v>
      </c>
      <c r="F280" s="36" t="str" cm="1">
        <f t="array" ref="F280">GetNumber(D280,2)</f>
        <v>10</v>
      </c>
      <c r="G280" s="35">
        <v>11.1</v>
      </c>
      <c r="H280" s="35">
        <v>9253</v>
      </c>
      <c r="I280" s="35">
        <f>54.22*($T$2)</f>
        <v>108.44</v>
      </c>
      <c r="J280" s="35">
        <f>601.9*($T$2)</f>
        <v>1203.8</v>
      </c>
      <c r="K280" s="35">
        <f t="shared" si="21"/>
        <v>4.9792324306363192</v>
      </c>
      <c r="L280" s="35">
        <f t="shared" si="22"/>
        <v>4.9797122832902989</v>
      </c>
      <c r="M280" s="35">
        <f>3.202*($T$2)</f>
        <v>6.4039999999999999</v>
      </c>
      <c r="N280" s="35">
        <v>128.5</v>
      </c>
      <c r="O280" s="35">
        <f t="shared" si="20"/>
        <v>0.53198205682006972</v>
      </c>
      <c r="P280" s="35">
        <f t="shared" si="23"/>
        <v>31.887004485794986</v>
      </c>
      <c r="Q280" s="35">
        <f>('Batt Capacity and Sys Weight'!$I$2) + (B280*$T$2)</f>
        <v>41.273000000000003</v>
      </c>
      <c r="R280" s="35">
        <f>'Batt Capacity and Sys Weight'!$H$2</f>
        <v>99.9</v>
      </c>
    </row>
    <row r="281" spans="1:18" x14ac:dyDescent="0.3">
      <c r="A281" s="35" t="s">
        <v>254</v>
      </c>
      <c r="B281" s="35">
        <v>5.22</v>
      </c>
      <c r="C281" s="35">
        <v>1080</v>
      </c>
      <c r="D281" s="35" t="s">
        <v>70</v>
      </c>
      <c r="E281" s="36" t="str" cm="1">
        <f t="array" ref="E281">GetNumber(D281,1)</f>
        <v>11</v>
      </c>
      <c r="F281" s="36" cm="1">
        <f t="array" ref="F281">GetNumber(D281,2)+(GetNumber(D281,3)/10)</f>
        <v>5.5</v>
      </c>
      <c r="G281" s="35">
        <v>11.1</v>
      </c>
      <c r="H281" s="35">
        <v>9965</v>
      </c>
      <c r="I281" s="35">
        <f>40.7*($T$2)</f>
        <v>81.400000000000006</v>
      </c>
      <c r="J281" s="35">
        <f>451.7*($T$2)</f>
        <v>903.4</v>
      </c>
      <c r="K281" s="35">
        <f t="shared" si="21"/>
        <v>6.6349346911667038</v>
      </c>
      <c r="L281" s="35">
        <f t="shared" si="22"/>
        <v>6.6339066339066335</v>
      </c>
      <c r="M281" s="35">
        <f>4.634*($T$2)</f>
        <v>9.2680000000000007</v>
      </c>
      <c r="N281" s="35">
        <v>76.099999999999994</v>
      </c>
      <c r="O281" s="35">
        <f t="shared" si="20"/>
        <v>1.0259021474429932</v>
      </c>
      <c r="P281" s="35">
        <f t="shared" si="23"/>
        <v>61.492574717733014</v>
      </c>
      <c r="Q281" s="35">
        <f>('Batt Capacity and Sys Weight'!$I$2) + (B281*$T$2)</f>
        <v>41.273000000000003</v>
      </c>
      <c r="R281" s="35">
        <f>'Batt Capacity and Sys Weight'!$H$2</f>
        <v>99.9</v>
      </c>
    </row>
    <row r="282" spans="1:18" x14ac:dyDescent="0.3">
      <c r="A282" s="35" t="s">
        <v>254</v>
      </c>
      <c r="B282" s="35">
        <v>5.22</v>
      </c>
      <c r="C282" s="35">
        <v>1080</v>
      </c>
      <c r="D282" s="35" t="s">
        <v>71</v>
      </c>
      <c r="E282" s="36" t="str" cm="1">
        <f t="array" ref="E282">GetNumber(D282,1)</f>
        <v>11</v>
      </c>
      <c r="F282" s="36" t="str" cm="1">
        <f t="array" ref="F282">GetNumber(D282,2)</f>
        <v>7</v>
      </c>
      <c r="G282" s="35">
        <v>11.1</v>
      </c>
      <c r="H282" s="35">
        <v>9598</v>
      </c>
      <c r="I282" s="35">
        <f>47.71*($T$2)</f>
        <v>95.42</v>
      </c>
      <c r="J282" s="35">
        <f>529.5*($T$2)</f>
        <v>1059</v>
      </c>
      <c r="K282" s="35">
        <f t="shared" si="21"/>
        <v>5.6600566572237963</v>
      </c>
      <c r="L282" s="35">
        <f t="shared" si="22"/>
        <v>5.6591909452944869</v>
      </c>
      <c r="M282" s="35">
        <f>4.868*($T$2)</f>
        <v>9.7360000000000007</v>
      </c>
      <c r="N282" s="35">
        <v>93.3</v>
      </c>
      <c r="O282" s="35">
        <f t="shared" si="20"/>
        <v>0.91935788479697833</v>
      </c>
      <c r="P282" s="35">
        <f t="shared" si="23"/>
        <v>55.106311614730885</v>
      </c>
      <c r="Q282" s="35">
        <f>('Batt Capacity and Sys Weight'!$I$2) + (B282*$T$2)</f>
        <v>41.273000000000003</v>
      </c>
      <c r="R282" s="35">
        <f>'Batt Capacity and Sys Weight'!$H$2</f>
        <v>99.9</v>
      </c>
    </row>
    <row r="283" spans="1:18" x14ac:dyDescent="0.3">
      <c r="A283" s="35" t="s">
        <v>254</v>
      </c>
      <c r="B283" s="35">
        <v>5.22</v>
      </c>
      <c r="C283" s="35">
        <v>1080</v>
      </c>
      <c r="D283" s="35" t="s">
        <v>132</v>
      </c>
      <c r="E283" s="36" t="str" cm="1">
        <f t="array" ref="E283">GetNumber(D283,1)</f>
        <v>11</v>
      </c>
      <c r="F283" s="36" t="str" cm="1">
        <f t="array" ref="F283">GetNumber(D283,2)</f>
        <v>8</v>
      </c>
      <c r="G283" s="35">
        <v>11.1</v>
      </c>
      <c r="H283" s="35">
        <v>9818</v>
      </c>
      <c r="I283" s="35">
        <f>43.52*($T$2)</f>
        <v>87.04</v>
      </c>
      <c r="J283" s="35">
        <f>483.1*($T$2)</f>
        <v>966.2</v>
      </c>
      <c r="K283" s="35">
        <f t="shared" si="21"/>
        <v>6.2036845373628653</v>
      </c>
      <c r="L283" s="35">
        <f t="shared" si="22"/>
        <v>6.204044117647058</v>
      </c>
      <c r="M283" s="35">
        <f>4.55*($T$2)</f>
        <v>9.1</v>
      </c>
      <c r="N283" s="35">
        <v>109.1</v>
      </c>
      <c r="O283" s="35">
        <f t="shared" si="20"/>
        <v>0.94183398882219005</v>
      </c>
      <c r="P283" s="35">
        <f t="shared" si="23"/>
        <v>56.453529290002074</v>
      </c>
      <c r="Q283" s="35">
        <f>('Batt Capacity and Sys Weight'!$I$2) + (B283*$T$2)</f>
        <v>41.273000000000003</v>
      </c>
      <c r="R283" s="35">
        <f>'Batt Capacity and Sys Weight'!$H$2</f>
        <v>99.9</v>
      </c>
    </row>
    <row r="284" spans="1:18" x14ac:dyDescent="0.3">
      <c r="A284" s="35" t="s">
        <v>254</v>
      </c>
      <c r="B284" s="35">
        <v>5.22</v>
      </c>
      <c r="C284" s="35">
        <v>1080</v>
      </c>
      <c r="D284" s="35" t="s">
        <v>58</v>
      </c>
      <c r="E284" s="36" t="str" cm="1">
        <f t="array" ref="E284">GetNumber(D284,1)</f>
        <v>12</v>
      </c>
      <c r="F284" s="36" t="str" cm="1">
        <f t="array" ref="F284">GetNumber(D284,2)</f>
        <v>6</v>
      </c>
      <c r="G284" s="35">
        <v>11.1</v>
      </c>
      <c r="H284" s="35">
        <v>9387</v>
      </c>
      <c r="I284" s="35">
        <f>51.77*($T$2)</f>
        <v>103.54</v>
      </c>
      <c r="J284" s="35">
        <f>574.7*($T$2)</f>
        <v>1149.4000000000001</v>
      </c>
      <c r="K284" s="35">
        <f t="shared" si="21"/>
        <v>5.2148947276840092</v>
      </c>
      <c r="L284" s="35">
        <f t="shared" si="22"/>
        <v>5.2153757002124781</v>
      </c>
      <c r="M284" s="35">
        <f>5.609*($T$2)</f>
        <v>11.218</v>
      </c>
      <c r="N284" s="35">
        <v>78.2</v>
      </c>
      <c r="O284" s="35">
        <f t="shared" si="20"/>
        <v>0.97598747172437783</v>
      </c>
      <c r="P284" s="35">
        <f t="shared" si="23"/>
        <v>58.500689055159214</v>
      </c>
      <c r="Q284" s="35">
        <f>('Batt Capacity and Sys Weight'!$I$2) + (B284*$T$2)</f>
        <v>41.273000000000003</v>
      </c>
      <c r="R284" s="35">
        <f>'Batt Capacity and Sys Weight'!$H$2</f>
        <v>99.9</v>
      </c>
    </row>
    <row r="285" spans="1:18" x14ac:dyDescent="0.3">
      <c r="A285" s="35" t="s">
        <v>254</v>
      </c>
      <c r="B285" s="35">
        <v>5.22</v>
      </c>
      <c r="C285" s="35">
        <v>1080</v>
      </c>
      <c r="D285" s="35" t="s">
        <v>98</v>
      </c>
      <c r="E285" s="36" t="str" cm="1">
        <f t="array" ref="E285">GetNumber(D285,1)</f>
        <v>13</v>
      </c>
      <c r="F285" s="36" t="str" cm="1">
        <f t="array" ref="F285">GetNumber(D285,2)</f>
        <v>4</v>
      </c>
      <c r="G285" s="35">
        <v>11.1</v>
      </c>
      <c r="H285" s="35">
        <v>9708</v>
      </c>
      <c r="I285" s="35">
        <f>46.01*($T$2)</f>
        <v>92.02</v>
      </c>
      <c r="J285" s="35">
        <f>510.7*($T$2)</f>
        <v>1021.4</v>
      </c>
      <c r="K285" s="35">
        <f t="shared" si="21"/>
        <v>5.8684158997454476</v>
      </c>
      <c r="L285" s="35">
        <f t="shared" si="22"/>
        <v>5.8682895022821127</v>
      </c>
      <c r="M285" s="35">
        <f>5.675*($T$2)</f>
        <v>11.35</v>
      </c>
      <c r="N285" s="35">
        <v>54</v>
      </c>
      <c r="O285" s="35">
        <f t="shared" si="20"/>
        <v>1.1112198942627767</v>
      </c>
      <c r="P285" s="35">
        <f t="shared" si="23"/>
        <v>66.606520462110822</v>
      </c>
      <c r="Q285" s="35">
        <f>('Batt Capacity and Sys Weight'!$I$2) + (B285*$T$2)</f>
        <v>41.273000000000003</v>
      </c>
      <c r="R285" s="35">
        <f>'Batt Capacity and Sys Weight'!$H$2</f>
        <v>99.9</v>
      </c>
    </row>
    <row r="286" spans="1:18" x14ac:dyDescent="0.3">
      <c r="A286" s="35" t="s">
        <v>254</v>
      </c>
      <c r="B286" s="35">
        <v>5.22</v>
      </c>
      <c r="C286" s="35">
        <v>1080</v>
      </c>
      <c r="D286" s="35" t="s">
        <v>101</v>
      </c>
      <c r="E286" s="36" t="str" cm="1">
        <f t="array" ref="E286">GetNumber(D286,1)</f>
        <v>9</v>
      </c>
      <c r="F286" s="36" t="str" cm="1">
        <f t="array" ref="F286">GetNumber(D286,2)</f>
        <v>7</v>
      </c>
      <c r="G286" s="35">
        <v>11.1</v>
      </c>
      <c r="H286" s="35">
        <v>10342</v>
      </c>
      <c r="I286" s="35">
        <f>33.54*($T$2)</f>
        <v>67.08</v>
      </c>
      <c r="J286" s="35">
        <f>373.3*($T$2)</f>
        <v>746.6</v>
      </c>
      <c r="K286" s="35">
        <f t="shared" si="21"/>
        <v>8.0283953924457538</v>
      </c>
      <c r="L286" s="35">
        <f t="shared" si="22"/>
        <v>8.0500894454382816</v>
      </c>
      <c r="M286" s="35">
        <f>3.582*($T$2)</f>
        <v>7.1639999999999997</v>
      </c>
      <c r="N286" s="35">
        <v>100.6</v>
      </c>
      <c r="O286" s="35">
        <f t="shared" si="20"/>
        <v>0.95954995981784086</v>
      </c>
      <c r="P286" s="35">
        <f t="shared" si="23"/>
        <v>57.515424591481377</v>
      </c>
      <c r="Q286" s="35">
        <f>('Batt Capacity and Sys Weight'!$I$2) + (B286*$T$2)</f>
        <v>41.273000000000003</v>
      </c>
      <c r="R286" s="35">
        <f>'Batt Capacity and Sys Weight'!$H$2</f>
        <v>99.9</v>
      </c>
    </row>
    <row r="287" spans="1:18" x14ac:dyDescent="0.3">
      <c r="A287" s="35" t="s">
        <v>254</v>
      </c>
      <c r="B287" s="35">
        <v>5.22</v>
      </c>
      <c r="C287" s="35">
        <v>1080</v>
      </c>
      <c r="D287" s="35" t="s">
        <v>80</v>
      </c>
      <c r="E287" s="36" t="str" cm="1">
        <f t="array" ref="E287">GetNumber(D287,1)</f>
        <v>10</v>
      </c>
      <c r="F287" s="36" t="str" cm="1">
        <f t="array" ref="F287">GetNumber(D287,2)</f>
        <v>7</v>
      </c>
      <c r="G287" s="35">
        <v>11.1</v>
      </c>
      <c r="H287" s="35">
        <v>9856</v>
      </c>
      <c r="I287" s="35">
        <f>42.99*($T$2)</f>
        <v>85.98</v>
      </c>
      <c r="J287" s="35">
        <f>477.1*($T$2)</f>
        <v>954.2</v>
      </c>
      <c r="K287" s="35">
        <f t="shared" si="21"/>
        <v>6.2817019492768811</v>
      </c>
      <c r="L287" s="35">
        <f t="shared" si="22"/>
        <v>6.2805303558967198</v>
      </c>
      <c r="M287" s="35">
        <f>4.495*($T$2)</f>
        <v>8.99</v>
      </c>
      <c r="N287" s="35">
        <v>95.8</v>
      </c>
      <c r="O287" s="35">
        <f t="shared" si="20"/>
        <v>0.94215049255921191</v>
      </c>
      <c r="P287" s="35">
        <f t="shared" si="23"/>
        <v>56.472500523999159</v>
      </c>
      <c r="Q287" s="35">
        <f>('Batt Capacity and Sys Weight'!$I$2) + (B287*$T$2)</f>
        <v>41.273000000000003</v>
      </c>
      <c r="R287" s="35">
        <f>'Batt Capacity and Sys Weight'!$H$2</f>
        <v>99.9</v>
      </c>
    </row>
    <row r="288" spans="1:18" x14ac:dyDescent="0.3">
      <c r="A288" s="35" t="s">
        <v>254</v>
      </c>
      <c r="B288" s="35">
        <v>5.22</v>
      </c>
      <c r="C288" s="35">
        <v>1080</v>
      </c>
      <c r="D288" s="35" t="s">
        <v>81</v>
      </c>
      <c r="E288" s="36" t="str" cm="1">
        <f t="array" ref="E288">GetNumber(D288,1)</f>
        <v>11</v>
      </c>
      <c r="F288" s="36" t="str" cm="1">
        <f t="array" ref="F288">GetNumber(D288,2)</f>
        <v>7</v>
      </c>
      <c r="G288" s="35">
        <v>11.1</v>
      </c>
      <c r="H288" s="35">
        <v>9399</v>
      </c>
      <c r="I288" s="35">
        <f>51.03*($T$2)</f>
        <v>102.06</v>
      </c>
      <c r="J288" s="35">
        <f>566.4*($T$2)</f>
        <v>1132.8</v>
      </c>
      <c r="K288" s="35">
        <f t="shared" si="21"/>
        <v>5.2913135593220346</v>
      </c>
      <c r="L288" s="35">
        <f t="shared" si="22"/>
        <v>5.2910052910052912</v>
      </c>
      <c r="M288" s="35">
        <f>5.163*($T$2)</f>
        <v>10.326000000000001</v>
      </c>
      <c r="N288" s="35">
        <v>91.4</v>
      </c>
      <c r="O288" s="35">
        <f t="shared" si="20"/>
        <v>0.91154661016949157</v>
      </c>
      <c r="P288" s="35">
        <f t="shared" si="23"/>
        <v>54.638103813559333</v>
      </c>
      <c r="Q288" s="35">
        <f>('Batt Capacity and Sys Weight'!$I$2) + (B288*$T$2)</f>
        <v>41.273000000000003</v>
      </c>
      <c r="R288" s="35">
        <f>'Batt Capacity and Sys Weight'!$H$2</f>
        <v>99.9</v>
      </c>
    </row>
    <row r="289" spans="1:18" x14ac:dyDescent="0.3">
      <c r="A289" s="35" t="s">
        <v>254</v>
      </c>
      <c r="B289" s="35">
        <v>5.22</v>
      </c>
      <c r="C289" s="35">
        <v>1080</v>
      </c>
      <c r="D289" s="35" t="s">
        <v>127</v>
      </c>
      <c r="E289" s="36" t="str" cm="1">
        <f t="array" ref="E289">GetNumber(D289,1)</f>
        <v>8</v>
      </c>
      <c r="F289" s="36" t="str" cm="1">
        <f t="array" ref="F289">GetNumber(D289,2)</f>
        <v>6</v>
      </c>
      <c r="G289" s="35">
        <v>14.8</v>
      </c>
      <c r="H289" s="35">
        <v>13813</v>
      </c>
      <c r="I289" s="35">
        <f>38.72*($T$2)</f>
        <v>77.44</v>
      </c>
      <c r="J289" s="35">
        <f>573.1*($T$2)</f>
        <v>1146.2</v>
      </c>
      <c r="K289" s="35">
        <f t="shared" si="21"/>
        <v>5.113243761996161</v>
      </c>
      <c r="L289" s="35">
        <f t="shared" si="22"/>
        <v>5.1136363636363642</v>
      </c>
      <c r="M289" s="35">
        <f>3.58*($T$2)</f>
        <v>7.16</v>
      </c>
      <c r="N289" s="35">
        <v>115.1</v>
      </c>
      <c r="O289" s="35">
        <f t="shared" si="20"/>
        <v>0.62467283196649792</v>
      </c>
      <c r="P289" s="35">
        <f t="shared" si="23"/>
        <v>36.610825335892514</v>
      </c>
      <c r="Q289" s="35">
        <f>('Batt Capacity and Sys Weight'!$I$3) + (B289*$T$2)</f>
        <v>36.828474999999997</v>
      </c>
      <c r="R289" s="35">
        <f>'Batt Capacity and Sys Weight'!$H$3</f>
        <v>97.68</v>
      </c>
    </row>
    <row r="290" spans="1:18" x14ac:dyDescent="0.3">
      <c r="A290" s="35" t="s">
        <v>254</v>
      </c>
      <c r="B290" s="35">
        <v>5.22</v>
      </c>
      <c r="C290" s="35">
        <v>1080</v>
      </c>
      <c r="D290" s="35" t="s">
        <v>128</v>
      </c>
      <c r="E290" s="36" t="str" cm="1">
        <f t="array" ref="E290">GetNumber(D290,1)</f>
        <v>8</v>
      </c>
      <c r="F290" s="36" t="str" cm="1">
        <f t="array" ref="F290">GetNumber(D290,2)</f>
        <v>8</v>
      </c>
      <c r="G290" s="35">
        <v>14.8</v>
      </c>
      <c r="H290" s="35">
        <v>13173</v>
      </c>
      <c r="I290" s="35">
        <f>49.25*($T$2)</f>
        <v>98.5</v>
      </c>
      <c r="J290" s="35">
        <f>728.9*($T$2)</f>
        <v>1457.8</v>
      </c>
      <c r="K290" s="35">
        <f t="shared" si="21"/>
        <v>4.0203045685279193</v>
      </c>
      <c r="L290" s="35">
        <f t="shared" si="22"/>
        <v>4.0203045685279193</v>
      </c>
      <c r="M290" s="35">
        <f>3.273*($T$2)</f>
        <v>6.5460000000000003</v>
      </c>
      <c r="N290" s="35">
        <v>146.4</v>
      </c>
      <c r="O290" s="35">
        <f t="shared" si="20"/>
        <v>0.44903278913431199</v>
      </c>
      <c r="P290" s="35">
        <f t="shared" si="23"/>
        <v>26.316913705583762</v>
      </c>
      <c r="Q290" s="35">
        <f>('Batt Capacity and Sys Weight'!$I$3) + (B290*$T$2)</f>
        <v>36.828474999999997</v>
      </c>
      <c r="R290" s="35">
        <f>'Batt Capacity and Sys Weight'!$H$3</f>
        <v>97.68</v>
      </c>
    </row>
    <row r="291" spans="1:18" x14ac:dyDescent="0.3">
      <c r="A291" s="35" t="s">
        <v>254</v>
      </c>
      <c r="B291" s="35">
        <v>5.22</v>
      </c>
      <c r="C291" s="35">
        <v>1080</v>
      </c>
      <c r="D291" s="35" t="s">
        <v>129</v>
      </c>
      <c r="E291" s="36" t="str" cm="1">
        <f t="array" ref="E291">GetNumber(D291,1)</f>
        <v>9</v>
      </c>
      <c r="F291" s="36" cm="1">
        <f t="array" ref="F291">GetNumber(D291,2)+(GetNumber(D291,3)/10)</f>
        <v>4.5</v>
      </c>
      <c r="G291" s="35">
        <v>14.8</v>
      </c>
      <c r="H291" s="35">
        <v>14040</v>
      </c>
      <c r="I291" s="35">
        <f>34.56*($T$2)</f>
        <v>69.12</v>
      </c>
      <c r="J291" s="35">
        <f>511.5*($T$2)</f>
        <v>1023</v>
      </c>
      <c r="K291" s="35">
        <f t="shared" si="21"/>
        <v>5.7290322580645165</v>
      </c>
      <c r="L291" s="35">
        <f t="shared" si="22"/>
        <v>5.729166666666667</v>
      </c>
      <c r="M291" s="35">
        <f>4.484*($T$2)</f>
        <v>8.968</v>
      </c>
      <c r="N291" s="35">
        <v>87.7</v>
      </c>
      <c r="O291" s="35">
        <f t="shared" si="20"/>
        <v>0.87663734115347014</v>
      </c>
      <c r="P291" s="35">
        <f t="shared" si="23"/>
        <v>51.377961290322581</v>
      </c>
      <c r="Q291" s="35">
        <f>('Batt Capacity and Sys Weight'!$I$3) + (B291*$T$2)</f>
        <v>36.828474999999997</v>
      </c>
      <c r="R291" s="35">
        <f>'Batt Capacity and Sys Weight'!$H$3</f>
        <v>97.68</v>
      </c>
    </row>
    <row r="292" spans="1:18" x14ac:dyDescent="0.3">
      <c r="A292" s="35" t="s">
        <v>254</v>
      </c>
      <c r="B292" s="35">
        <v>5.22</v>
      </c>
      <c r="C292" s="35">
        <v>1080</v>
      </c>
      <c r="D292" s="35" t="s">
        <v>107</v>
      </c>
      <c r="E292" s="36" t="str" cm="1">
        <f t="array" ref="E292">GetNumber(D292,1)</f>
        <v>9</v>
      </c>
      <c r="F292" s="36" t="str" cm="1">
        <f t="array" ref="F292">GetNumber(D292,2)</f>
        <v>6</v>
      </c>
      <c r="G292" s="35">
        <v>14.8</v>
      </c>
      <c r="H292" s="35">
        <v>13702</v>
      </c>
      <c r="I292" s="35">
        <f>40.84*($T$2)</f>
        <v>81.680000000000007</v>
      </c>
      <c r="J292" s="35">
        <f>604.5*($T$2)</f>
        <v>1209</v>
      </c>
      <c r="K292" s="35">
        <f t="shared" si="21"/>
        <v>4.847642679900745</v>
      </c>
      <c r="L292" s="35">
        <f t="shared" si="22"/>
        <v>4.8481880509304602</v>
      </c>
      <c r="M292" s="35">
        <f>4.36*($T$2)</f>
        <v>8.7200000000000006</v>
      </c>
      <c r="N292" s="35">
        <v>114.3</v>
      </c>
      <c r="O292" s="35">
        <f t="shared" si="20"/>
        <v>0.72125723738626968</v>
      </c>
      <c r="P292" s="35">
        <f t="shared" si="23"/>
        <v>42.271444168734497</v>
      </c>
      <c r="Q292" s="35">
        <f>('Batt Capacity and Sys Weight'!$I$3) + (B292*$T$2)</f>
        <v>36.828474999999997</v>
      </c>
      <c r="R292" s="35">
        <f>'Batt Capacity and Sys Weight'!$H$3</f>
        <v>97.68</v>
      </c>
    </row>
    <row r="293" spans="1:18" x14ac:dyDescent="0.3">
      <c r="A293" s="35" t="s">
        <v>254</v>
      </c>
      <c r="B293" s="35">
        <v>5.22</v>
      </c>
      <c r="C293" s="35">
        <v>1080</v>
      </c>
      <c r="D293" s="35" t="s">
        <v>99</v>
      </c>
      <c r="E293" s="36" t="str" cm="1">
        <f t="array" ref="E293">GetNumber(D293,1)</f>
        <v>10</v>
      </c>
      <c r="F293" s="36" t="str" cm="1">
        <f t="array" ref="F293">GetNumber(D293,2)</f>
        <v>5</v>
      </c>
      <c r="G293" s="35">
        <v>14.8</v>
      </c>
      <c r="H293" s="35">
        <v>13220</v>
      </c>
      <c r="I293" s="35">
        <f>49.06*($T$2)</f>
        <v>98.12</v>
      </c>
      <c r="J293" s="35">
        <f>726.1*($T$2)</f>
        <v>1452.2</v>
      </c>
      <c r="K293" s="35">
        <f t="shared" si="21"/>
        <v>4.0358077399807195</v>
      </c>
      <c r="L293" s="35">
        <f t="shared" si="22"/>
        <v>4.0358744394618835</v>
      </c>
      <c r="M293" s="35">
        <f>5.41*($T$2)</f>
        <v>10.82</v>
      </c>
      <c r="N293" s="35">
        <v>91.8</v>
      </c>
      <c r="O293" s="35">
        <f t="shared" si="20"/>
        <v>0.74507643575265114</v>
      </c>
      <c r="P293" s="35">
        <f t="shared" si="23"/>
        <v>43.667439746591384</v>
      </c>
      <c r="Q293" s="35">
        <f>('Batt Capacity and Sys Weight'!$I$3) + (B293*$T$2)</f>
        <v>36.828474999999997</v>
      </c>
      <c r="R293" s="35">
        <f>'Batt Capacity and Sys Weight'!$H$3</f>
        <v>97.68</v>
      </c>
    </row>
    <row r="294" spans="1:18" x14ac:dyDescent="0.3">
      <c r="A294" s="35" t="s">
        <v>254</v>
      </c>
      <c r="B294" s="35">
        <v>5.22</v>
      </c>
      <c r="C294" s="35">
        <v>1080</v>
      </c>
      <c r="D294" s="35" t="s">
        <v>131</v>
      </c>
      <c r="E294" s="36" t="str" cm="1">
        <f t="array" ref="E294">GetNumber(D294,1)</f>
        <v>10</v>
      </c>
      <c r="F294" s="36" t="str" cm="1">
        <f t="array" ref="F294">GetNumber(D294,2)</f>
        <v>6</v>
      </c>
      <c r="G294" s="35">
        <v>14.8</v>
      </c>
      <c r="H294" s="35">
        <v>13550</v>
      </c>
      <c r="I294" s="35">
        <f>42.85*($T$2)</f>
        <v>85.7</v>
      </c>
      <c r="J294" s="35">
        <f>634.2*($T$2)</f>
        <v>1268.4000000000001</v>
      </c>
      <c r="K294" s="35">
        <f t="shared" si="21"/>
        <v>4.620624408703879</v>
      </c>
      <c r="L294" s="35">
        <f t="shared" si="22"/>
        <v>4.6207701283547262</v>
      </c>
      <c r="M294" s="35">
        <f>5.185*($T$2)</f>
        <v>10.37</v>
      </c>
      <c r="N294" s="35">
        <v>112.9</v>
      </c>
      <c r="O294" s="35">
        <f t="shared" si="20"/>
        <v>0.81756543677073468</v>
      </c>
      <c r="P294" s="35">
        <f t="shared" si="23"/>
        <v>47.915875118259223</v>
      </c>
      <c r="Q294" s="35">
        <f>('Batt Capacity and Sys Weight'!$I$3) + (B294*$T$2)</f>
        <v>36.828474999999997</v>
      </c>
      <c r="R294" s="35">
        <f>'Batt Capacity and Sys Weight'!$H$3</f>
        <v>97.68</v>
      </c>
    </row>
    <row r="295" spans="1:18" x14ac:dyDescent="0.3">
      <c r="A295" s="35" t="s">
        <v>254</v>
      </c>
      <c r="B295" s="35">
        <v>5.22</v>
      </c>
      <c r="C295" s="35">
        <v>1080</v>
      </c>
      <c r="D295" s="35" t="s">
        <v>145</v>
      </c>
      <c r="E295" s="36" t="str" cm="1">
        <f t="array" ref="E295">GetNumber(D295,1)</f>
        <v>8</v>
      </c>
      <c r="F295" s="36" t="str" cm="1">
        <f t="array" ref="F295">GetNumber(D295,2)</f>
        <v>6</v>
      </c>
      <c r="G295" s="35">
        <v>14.8</v>
      </c>
      <c r="H295" s="35">
        <v>14099</v>
      </c>
      <c r="I295" s="35">
        <f>34.01*($T$2)</f>
        <v>68.02</v>
      </c>
      <c r="J295" s="35">
        <f>503.4*($T$2)</f>
        <v>1006.8</v>
      </c>
      <c r="K295" s="35">
        <f t="shared" si="21"/>
        <v>5.821215733015495</v>
      </c>
      <c r="L295" s="35">
        <f t="shared" si="22"/>
        <v>5.821817112613938</v>
      </c>
      <c r="M295" s="35">
        <f>4.069*($T$2)</f>
        <v>8.1379999999999999</v>
      </c>
      <c r="N295" s="35">
        <v>117.5</v>
      </c>
      <c r="O295" s="35">
        <f t="shared" si="20"/>
        <v>0.80830353595550264</v>
      </c>
      <c r="P295" s="35">
        <f t="shared" si="23"/>
        <v>47.373053635280101</v>
      </c>
      <c r="Q295" s="35">
        <f>('Batt Capacity and Sys Weight'!$I$3) + (B295*$T$2)</f>
        <v>36.828474999999997</v>
      </c>
      <c r="R295" s="35">
        <f>'Batt Capacity and Sys Weight'!$H$3</f>
        <v>97.68</v>
      </c>
    </row>
    <row r="296" spans="1:18" x14ac:dyDescent="0.3">
      <c r="A296" s="35" t="s">
        <v>254</v>
      </c>
      <c r="B296" s="35">
        <v>5.22</v>
      </c>
      <c r="C296" s="35">
        <v>1080</v>
      </c>
      <c r="D296" s="35" t="s">
        <v>79</v>
      </c>
      <c r="E296" s="36" t="str" cm="1">
        <f t="array" ref="E296">GetNumber(D296,1)</f>
        <v>10</v>
      </c>
      <c r="F296" s="36" t="str" cm="1">
        <f t="array" ref="F296">GetNumber(D296,2)</f>
        <v>5</v>
      </c>
      <c r="G296" s="35">
        <v>14.8</v>
      </c>
      <c r="H296" s="35">
        <v>13258</v>
      </c>
      <c r="I296" s="35">
        <f>47.95*($T$2)</f>
        <v>95.9</v>
      </c>
      <c r="J296" s="35">
        <f>709.6*($T$2)</f>
        <v>1419.2</v>
      </c>
      <c r="K296" s="35">
        <f t="shared" si="21"/>
        <v>4.1296505073280718</v>
      </c>
      <c r="L296" s="35">
        <f t="shared" si="22"/>
        <v>4.1293013555787281</v>
      </c>
      <c r="M296" s="35">
        <f>5.953*($T$2)</f>
        <v>11.906000000000001</v>
      </c>
      <c r="N296" s="35">
        <v>92.1</v>
      </c>
      <c r="O296" s="35">
        <f t="shared" si="20"/>
        <v>0.83892333709131905</v>
      </c>
      <c r="P296" s="35">
        <f t="shared" si="23"/>
        <v>49.167618940248026</v>
      </c>
      <c r="Q296" s="35">
        <f>('Batt Capacity and Sys Weight'!$I$3) + (B296*$T$2)</f>
        <v>36.828474999999997</v>
      </c>
      <c r="R296" s="35">
        <f>'Batt Capacity and Sys Weight'!$H$3</f>
        <v>97.68</v>
      </c>
    </row>
    <row r="297" spans="1:18" x14ac:dyDescent="0.3">
      <c r="A297" s="35" t="s">
        <v>254</v>
      </c>
      <c r="B297" s="35">
        <v>5.22</v>
      </c>
      <c r="C297" s="35">
        <v>1080</v>
      </c>
      <c r="D297" s="35" t="s">
        <v>125</v>
      </c>
      <c r="E297" s="36" t="str" cm="1">
        <f t="array" ref="E297">GetNumber(D297,1)</f>
        <v>7</v>
      </c>
      <c r="F297" s="36" t="str" cm="1">
        <f t="array" ref="F297">GetNumber(D297,2)</f>
        <v>7</v>
      </c>
      <c r="G297" s="35">
        <v>18.5</v>
      </c>
      <c r="H297" s="35">
        <v>17465</v>
      </c>
      <c r="I297" s="35">
        <f>39.61*($T$2)</f>
        <v>79.22</v>
      </c>
      <c r="J297" s="35">
        <f>732.7*($T$2)</f>
        <v>1465.4</v>
      </c>
      <c r="K297" s="35">
        <f t="shared" si="21"/>
        <v>3.7873618124744093</v>
      </c>
      <c r="L297" s="35">
        <f t="shared" si="22"/>
        <v>3.7869224943196165</v>
      </c>
      <c r="M297" s="35">
        <f>3.498*($T$2)</f>
        <v>6.9960000000000004</v>
      </c>
      <c r="N297" s="35">
        <v>169.8</v>
      </c>
      <c r="O297" s="35">
        <f t="shared" si="20"/>
        <v>0.47741231063190942</v>
      </c>
      <c r="P297" s="35">
        <f t="shared" si="23"/>
        <v>26.496383240070969</v>
      </c>
      <c r="Q297" s="35">
        <f>('Batt Capacity and Sys Weight'!$I$4) + (B297*$T$2)</f>
        <v>37.604503000000001</v>
      </c>
      <c r="R297" s="35">
        <f>'Batt Capacity and Sys Weight'!$H$4</f>
        <v>92.5</v>
      </c>
    </row>
    <row r="298" spans="1:18" x14ac:dyDescent="0.3">
      <c r="A298" s="35" t="s">
        <v>254</v>
      </c>
      <c r="B298" s="35">
        <v>5.22</v>
      </c>
      <c r="C298" s="35">
        <v>1080</v>
      </c>
      <c r="D298" s="35" t="s">
        <v>126</v>
      </c>
      <c r="E298" s="36" t="str" cm="1">
        <f t="array" ref="E298">GetNumber(D298,1)</f>
        <v>8</v>
      </c>
      <c r="F298" s="36" t="str" cm="1">
        <f t="array" ref="F298">GetNumber(D298,2)</f>
        <v>4</v>
      </c>
      <c r="G298" s="35">
        <v>18.5</v>
      </c>
      <c r="H298" s="35">
        <v>17658</v>
      </c>
      <c r="I298" s="35">
        <f>36.71*($T$2)</f>
        <v>73.42</v>
      </c>
      <c r="J298" s="35">
        <f>679.2*($T$2)</f>
        <v>1358.4</v>
      </c>
      <c r="K298" s="35">
        <f t="shared" si="21"/>
        <v>4.0856890459363955</v>
      </c>
      <c r="L298" s="35">
        <f t="shared" si="22"/>
        <v>4.0860800871697078</v>
      </c>
      <c r="M298" s="35">
        <f>4.462*($T$2)</f>
        <v>8.9239999999999995</v>
      </c>
      <c r="N298" s="35">
        <v>98.1</v>
      </c>
      <c r="O298" s="35">
        <f t="shared" si="20"/>
        <v>0.65694935217903405</v>
      </c>
      <c r="P298" s="35">
        <f t="shared" si="23"/>
        <v>36.460689045936391</v>
      </c>
      <c r="Q298" s="35">
        <f>('Batt Capacity and Sys Weight'!$I$4) + (B298*$T$2)</f>
        <v>37.604503000000001</v>
      </c>
      <c r="R298" s="35">
        <f>'Batt Capacity and Sys Weight'!$H$4</f>
        <v>92.5</v>
      </c>
    </row>
    <row r="299" spans="1:18" x14ac:dyDescent="0.3">
      <c r="A299" s="35" t="s">
        <v>254</v>
      </c>
      <c r="B299" s="35">
        <v>5.22</v>
      </c>
      <c r="C299" s="35">
        <v>1080</v>
      </c>
      <c r="D299" s="35" t="s">
        <v>129</v>
      </c>
      <c r="E299" s="36" t="str" cm="1">
        <f t="array" ref="E299">GetNumber(D299,1)</f>
        <v>9</v>
      </c>
      <c r="F299" s="36" cm="1">
        <f t="array" ref="F299">GetNumber(D299,2)+(GetNumber(D299,3)/10)</f>
        <v>4.5</v>
      </c>
      <c r="G299" s="35">
        <v>18.5</v>
      </c>
      <c r="H299" s="35">
        <v>16703</v>
      </c>
      <c r="I299" s="35">
        <f>51.78*($T$2)</f>
        <v>103.56</v>
      </c>
      <c r="J299" s="35">
        <f>958*($T$2)</f>
        <v>1916</v>
      </c>
      <c r="K299" s="35">
        <f t="shared" si="21"/>
        <v>2.8966597077244263</v>
      </c>
      <c r="L299" s="35">
        <f t="shared" si="22"/>
        <v>2.8968713789107765</v>
      </c>
      <c r="M299" s="35">
        <f>6.592*($T$2)</f>
        <v>13.183999999999999</v>
      </c>
      <c r="N299" s="35">
        <v>104.4</v>
      </c>
      <c r="O299" s="35">
        <f t="shared" si="20"/>
        <v>0.68810020876826716</v>
      </c>
      <c r="P299" s="35">
        <f t="shared" si="23"/>
        <v>38.189561586638831</v>
      </c>
      <c r="Q299" s="35">
        <f>('Batt Capacity and Sys Weight'!$I$4) + (B299*$T$2)</f>
        <v>37.604503000000001</v>
      </c>
      <c r="R299" s="35">
        <f>'Batt Capacity and Sys Weight'!$H$4</f>
        <v>92.5</v>
      </c>
    </row>
    <row r="300" spans="1:18" x14ac:dyDescent="0.3">
      <c r="A300" s="35" t="s">
        <v>254</v>
      </c>
      <c r="B300" s="35">
        <v>5.22</v>
      </c>
      <c r="C300" s="35">
        <v>1080</v>
      </c>
      <c r="D300" s="35" t="s">
        <v>145</v>
      </c>
      <c r="E300" s="36" t="str" cm="1">
        <f t="array" ref="E300">GetNumber(D300,1)</f>
        <v>8</v>
      </c>
      <c r="F300" s="36" t="str" cm="1">
        <f t="array" ref="F300">GetNumber(D300,2)</f>
        <v>6</v>
      </c>
      <c r="G300" s="35">
        <v>18.5</v>
      </c>
      <c r="H300" s="35">
        <v>16912</v>
      </c>
      <c r="I300" s="35">
        <f>48.49*($T$2)</f>
        <v>96.98</v>
      </c>
      <c r="J300" s="35">
        <f>897.1*($T$2)</f>
        <v>1794.2</v>
      </c>
      <c r="K300" s="35">
        <f t="shared" si="21"/>
        <v>3.0933006353806709</v>
      </c>
      <c r="L300" s="35">
        <f t="shared" si="22"/>
        <v>3.0934213239843267</v>
      </c>
      <c r="M300" s="35">
        <f>5.917*($T$2)</f>
        <v>11.834</v>
      </c>
      <c r="N300" s="35">
        <v>140.9</v>
      </c>
      <c r="O300" s="35">
        <f t="shared" si="20"/>
        <v>0.65956972466837582</v>
      </c>
      <c r="P300" s="35">
        <f t="shared" si="23"/>
        <v>36.606119719094856</v>
      </c>
      <c r="Q300" s="35">
        <f>('Batt Capacity and Sys Weight'!$I$4) + (B300*$T$2)</f>
        <v>37.604503000000001</v>
      </c>
      <c r="R300" s="35">
        <f>'Batt Capacity and Sys Weight'!$H$4</f>
        <v>92.5</v>
      </c>
    </row>
    <row r="301" spans="1:18" x14ac:dyDescent="0.3">
      <c r="A301" s="35" t="s">
        <v>254</v>
      </c>
      <c r="B301" s="35">
        <v>5.22</v>
      </c>
      <c r="C301" s="35">
        <v>1080</v>
      </c>
      <c r="D301" s="35" t="s">
        <v>146</v>
      </c>
      <c r="E301" s="36" t="str" cm="1">
        <f t="array" ref="E301">GetNumber(D301,1)</f>
        <v>7</v>
      </c>
      <c r="F301" s="36" t="str" cm="1">
        <f t="array" ref="F301">GetNumber(D301,2)</f>
        <v>4</v>
      </c>
      <c r="G301" s="35">
        <v>22.2</v>
      </c>
      <c r="H301" s="35">
        <v>21505</v>
      </c>
      <c r="I301" s="35">
        <f>34.08*($T$2)</f>
        <v>68.16</v>
      </c>
      <c r="J301" s="35">
        <f>756.6*($T$2)</f>
        <v>1513.2</v>
      </c>
      <c r="K301" s="35">
        <f t="shared" si="21"/>
        <v>3.9611419508326726</v>
      </c>
      <c r="L301" s="35">
        <f t="shared" si="22"/>
        <v>3.9612676056338034</v>
      </c>
      <c r="M301" s="35">
        <f>4.393*($T$2)</f>
        <v>8.7859999999999996</v>
      </c>
      <c r="N301" s="35">
        <v>119.5</v>
      </c>
      <c r="O301" s="35">
        <f t="shared" si="20"/>
        <v>0.58062384351044138</v>
      </c>
      <c r="P301" s="35">
        <f t="shared" si="23"/>
        <v>34.802593180015862</v>
      </c>
      <c r="Q301" s="35">
        <f>('Batt Capacity and Sys Weight'!$I$5) + (B301*$T$2)</f>
        <v>42.013753000000001</v>
      </c>
      <c r="R301" s="35">
        <f>'Batt Capacity and Sys Weight'!$H$5</f>
        <v>99.9</v>
      </c>
    </row>
    <row r="302" spans="1:18" x14ac:dyDescent="0.3">
      <c r="A302" s="35" t="s">
        <v>254</v>
      </c>
      <c r="B302" s="35">
        <v>5.22</v>
      </c>
      <c r="C302" s="35">
        <v>1080</v>
      </c>
      <c r="D302" s="35" t="s">
        <v>148</v>
      </c>
      <c r="E302" s="36" t="str" cm="1">
        <f t="array" ref="E302">GetNumber(D302,1)</f>
        <v>7</v>
      </c>
      <c r="F302" s="36" t="str" cm="1">
        <f t="array" ref="F302">GetNumber(D302,2)</f>
        <v>5</v>
      </c>
      <c r="G302" s="35">
        <v>22.2</v>
      </c>
      <c r="H302" s="35">
        <v>20906</v>
      </c>
      <c r="I302" s="35">
        <f>43.08*($T$2)</f>
        <v>86.16</v>
      </c>
      <c r="J302" s="35">
        <f>956.3*($T$2)</f>
        <v>1912.6</v>
      </c>
      <c r="K302" s="35">
        <f t="shared" si="21"/>
        <v>3.1339537801945001</v>
      </c>
      <c r="L302" s="35">
        <f t="shared" si="22"/>
        <v>3.1337047353760448</v>
      </c>
      <c r="M302" s="35">
        <f>4.466*($T$2)</f>
        <v>8.9320000000000004</v>
      </c>
      <c r="N302" s="35">
        <v>145.19999999999999</v>
      </c>
      <c r="O302" s="35">
        <f t="shared" si="20"/>
        <v>0.46700826100596049</v>
      </c>
      <c r="P302" s="35">
        <f t="shared" si="23"/>
        <v>27.992475164697275</v>
      </c>
      <c r="Q302" s="35">
        <f>('Batt Capacity and Sys Weight'!$I$5) + (B302*$T$2)</f>
        <v>42.013753000000001</v>
      </c>
      <c r="R302" s="35">
        <f>'Batt Capacity and Sys Weight'!$H$5</f>
        <v>99.9</v>
      </c>
    </row>
    <row r="303" spans="1:18" x14ac:dyDescent="0.3">
      <c r="A303" s="35" t="s">
        <v>254</v>
      </c>
      <c r="B303" s="35">
        <v>5.22</v>
      </c>
      <c r="C303" s="35">
        <v>1080</v>
      </c>
      <c r="D303" s="35" t="s">
        <v>149</v>
      </c>
      <c r="E303" s="36" t="str" cm="1">
        <f t="array" ref="E303">GetNumber(D303,1)</f>
        <v>7</v>
      </c>
      <c r="F303" s="36" t="str" cm="1">
        <f t="array" ref="F303">GetNumber(D303,2)</f>
        <v>6</v>
      </c>
      <c r="G303" s="35">
        <v>22.2</v>
      </c>
      <c r="H303" s="35">
        <v>20828</v>
      </c>
      <c r="I303" s="35">
        <f>44.12*($T$2)</f>
        <v>88.24</v>
      </c>
      <c r="J303" s="35">
        <f>979.4*($T$2)</f>
        <v>1958.8</v>
      </c>
      <c r="K303" s="35">
        <f t="shared" si="21"/>
        <v>3.0600367571982847</v>
      </c>
      <c r="L303" s="35">
        <f t="shared" si="22"/>
        <v>3.0598368087035364</v>
      </c>
      <c r="M303" s="35">
        <f>4.678*($T$2)</f>
        <v>9.3559999999999999</v>
      </c>
      <c r="N303" s="35">
        <v>173.5</v>
      </c>
      <c r="O303" s="35">
        <f t="shared" si="20"/>
        <v>0.47763937104349602</v>
      </c>
      <c r="P303" s="35">
        <f t="shared" si="23"/>
        <v>28.629703900347153</v>
      </c>
      <c r="Q303" s="35">
        <f>('Batt Capacity and Sys Weight'!$I$5) + (B303*$T$2)</f>
        <v>42.013753000000001</v>
      </c>
      <c r="R303" s="35">
        <f>'Batt Capacity and Sys Weight'!$H$5</f>
        <v>99.9</v>
      </c>
    </row>
    <row r="304" spans="1:18" x14ac:dyDescent="0.3">
      <c r="A304" s="35" t="s">
        <v>260</v>
      </c>
      <c r="B304" s="35">
        <v>11.04</v>
      </c>
      <c r="C304" s="35">
        <v>470</v>
      </c>
      <c r="D304" s="35" t="s">
        <v>42</v>
      </c>
      <c r="E304" s="36" t="str" cm="1">
        <f t="array" ref="E304">GetNumber(D304,1)</f>
        <v>14</v>
      </c>
      <c r="F304" s="36" t="str" cm="1">
        <f t="array" ref="F304">GetNumber(D304,2)</f>
        <v>12</v>
      </c>
      <c r="G304" s="35">
        <v>14.8</v>
      </c>
      <c r="H304" s="35">
        <v>5960</v>
      </c>
      <c r="I304" s="35">
        <f>35.83*($T$2)</f>
        <v>71.66</v>
      </c>
      <c r="J304" s="35">
        <f>530.3*($T$2)</f>
        <v>1060.5999999999999</v>
      </c>
      <c r="K304" s="35">
        <f t="shared" si="21"/>
        <v>5.5259287195926845</v>
      </c>
      <c r="L304" s="35">
        <f t="shared" si="22"/>
        <v>5.5260954507396036</v>
      </c>
      <c r="M304" s="35">
        <f>4.179*($T$2)</f>
        <v>8.3580000000000005</v>
      </c>
      <c r="N304" s="35">
        <v>99.3</v>
      </c>
      <c r="O304" s="35">
        <f t="shared" si="20"/>
        <v>0.78804450311144647</v>
      </c>
      <c r="P304" s="35">
        <f t="shared" si="23"/>
        <v>46.185712238355663</v>
      </c>
      <c r="Q304" s="35">
        <f>('Batt Capacity and Sys Weight'!$I$3) + (B304*$T$2)</f>
        <v>48.468474999999998</v>
      </c>
      <c r="R304" s="35">
        <f>'Batt Capacity and Sys Weight'!$H$3</f>
        <v>97.68</v>
      </c>
    </row>
    <row r="305" spans="1:18" x14ac:dyDescent="0.3">
      <c r="A305" s="35" t="s">
        <v>260</v>
      </c>
      <c r="B305" s="35">
        <v>11.04</v>
      </c>
      <c r="C305" s="35">
        <v>470</v>
      </c>
      <c r="D305" s="35" t="s">
        <v>1</v>
      </c>
      <c r="E305" s="36" t="str" cm="1">
        <f t="array" ref="E305">GetNumber(D305,1)</f>
        <v>15</v>
      </c>
      <c r="F305" s="36" t="str" cm="1">
        <f t="array" ref="F305">GetNumber(D305,2)</f>
        <v>10</v>
      </c>
      <c r="G305" s="35">
        <v>14.8</v>
      </c>
      <c r="H305" s="35">
        <v>5928</v>
      </c>
      <c r="I305" s="35">
        <f>36.19*($T$2)</f>
        <v>72.38</v>
      </c>
      <c r="J305" s="35">
        <f>535.6*($T$2)</f>
        <v>1071.2</v>
      </c>
      <c r="K305" s="35">
        <f t="shared" si="21"/>
        <v>5.4712471994025398</v>
      </c>
      <c r="L305" s="35">
        <f t="shared" si="22"/>
        <v>5.4711246200607908</v>
      </c>
      <c r="M305" s="35">
        <f>5.765*($T$2)</f>
        <v>11.53</v>
      </c>
      <c r="N305" s="35">
        <v>82.3</v>
      </c>
      <c r="O305" s="35">
        <f t="shared" si="20"/>
        <v>1.0763629574309186</v>
      </c>
      <c r="P305" s="35">
        <f t="shared" si="23"/>
        <v>63.083480209111279</v>
      </c>
      <c r="Q305" s="35">
        <f>('Batt Capacity and Sys Weight'!$I$3) + (B305*$T$2)</f>
        <v>48.468474999999998</v>
      </c>
      <c r="R305" s="35">
        <f>'Batt Capacity and Sys Weight'!$H$3</f>
        <v>97.68</v>
      </c>
    </row>
    <row r="306" spans="1:18" x14ac:dyDescent="0.3">
      <c r="A306" s="35" t="s">
        <v>260</v>
      </c>
      <c r="B306" s="35">
        <v>11.04</v>
      </c>
      <c r="C306" s="35">
        <v>470</v>
      </c>
      <c r="D306" s="35" t="s">
        <v>2</v>
      </c>
      <c r="E306" s="36" t="str" cm="1">
        <f t="array" ref="E306">GetNumber(D306,1)</f>
        <v>16</v>
      </c>
      <c r="F306" s="36" t="str" cm="1">
        <f t="array" ref="F306">GetNumber(D306,2)</f>
        <v>7</v>
      </c>
      <c r="G306" s="35">
        <v>14.8</v>
      </c>
      <c r="H306" s="35">
        <v>6095</v>
      </c>
      <c r="I306" s="35">
        <f>30.74*($T$2)</f>
        <v>61.48</v>
      </c>
      <c r="J306" s="35">
        <f>455*($T$2)</f>
        <v>910</v>
      </c>
      <c r="K306" s="35">
        <f t="shared" si="21"/>
        <v>6.440439560439561</v>
      </c>
      <c r="L306" s="35">
        <f t="shared" si="22"/>
        <v>6.4411190631099551</v>
      </c>
      <c r="M306" s="35">
        <f>6.334*($T$2)</f>
        <v>12.667999999999999</v>
      </c>
      <c r="N306" s="35">
        <v>59.3</v>
      </c>
      <c r="O306" s="35">
        <f t="shared" si="20"/>
        <v>1.3920879120879119</v>
      </c>
      <c r="P306" s="35">
        <f t="shared" si="23"/>
        <v>81.587488351648361</v>
      </c>
      <c r="Q306" s="35">
        <f>('Batt Capacity and Sys Weight'!$I$3) + (B306*$T$2)</f>
        <v>48.468474999999998</v>
      </c>
      <c r="R306" s="35">
        <f>'Batt Capacity and Sys Weight'!$H$3</f>
        <v>97.68</v>
      </c>
    </row>
    <row r="307" spans="1:18" x14ac:dyDescent="0.3">
      <c r="A307" s="35" t="s">
        <v>260</v>
      </c>
      <c r="B307" s="35">
        <v>11.04</v>
      </c>
      <c r="C307" s="35">
        <v>470</v>
      </c>
      <c r="D307" s="35" t="s">
        <v>3</v>
      </c>
      <c r="E307" s="36" t="str" cm="1">
        <f t="array" ref="E307">GetNumber(D307,1)</f>
        <v>16</v>
      </c>
      <c r="F307" s="36" t="str" cm="1">
        <f t="array" ref="F307">GetNumber(D307,2)</f>
        <v>8</v>
      </c>
      <c r="G307" s="35">
        <v>14.8</v>
      </c>
      <c r="H307" s="35">
        <v>5888</v>
      </c>
      <c r="I307" s="35">
        <f>37.61*($T$2)</f>
        <v>75.22</v>
      </c>
      <c r="J307" s="35">
        <f>556.7*($T$2)</f>
        <v>1113.4000000000001</v>
      </c>
      <c r="K307" s="35">
        <f t="shared" si="21"/>
        <v>5.2638764145859529</v>
      </c>
      <c r="L307" s="35">
        <f t="shared" si="22"/>
        <v>5.2645572985908009</v>
      </c>
      <c r="M307" s="35">
        <f>6.815*($T$2)</f>
        <v>13.63</v>
      </c>
      <c r="N307" s="35">
        <v>65.400000000000006</v>
      </c>
      <c r="O307" s="35">
        <f t="shared" si="20"/>
        <v>1.2241781929225795</v>
      </c>
      <c r="P307" s="35">
        <f t="shared" si="23"/>
        <v>71.746635530806543</v>
      </c>
      <c r="Q307" s="35">
        <f>('Batt Capacity and Sys Weight'!$I$3) + (B307*$T$2)</f>
        <v>48.468474999999998</v>
      </c>
      <c r="R307" s="35">
        <f>'Batt Capacity and Sys Weight'!$H$3</f>
        <v>97.68</v>
      </c>
    </row>
    <row r="308" spans="1:18" x14ac:dyDescent="0.3">
      <c r="A308" s="35" t="s">
        <v>260</v>
      </c>
      <c r="B308" s="35">
        <v>11.04</v>
      </c>
      <c r="C308" s="35">
        <v>470</v>
      </c>
      <c r="D308" s="35" t="s">
        <v>4</v>
      </c>
      <c r="E308" s="36" t="str" cm="1">
        <f t="array" ref="E308">GetNumber(D308,1)</f>
        <v>16</v>
      </c>
      <c r="F308" s="36" t="str" cm="1">
        <f t="array" ref="F308">GetNumber(D308,2)</f>
        <v>10</v>
      </c>
      <c r="G308" s="35">
        <v>14.8</v>
      </c>
      <c r="H308" s="35">
        <v>5753</v>
      </c>
      <c r="I308" s="35">
        <f>41.6*($T$2)</f>
        <v>83.2</v>
      </c>
      <c r="J308" s="35">
        <f>615.7*($T$2)</f>
        <v>1231.4000000000001</v>
      </c>
      <c r="K308" s="35">
        <f t="shared" si="21"/>
        <v>4.7594607763521202</v>
      </c>
      <c r="L308" s="35">
        <f t="shared" si="22"/>
        <v>4.759615384615385</v>
      </c>
      <c r="M308" s="35">
        <f>6.903*($T$2)</f>
        <v>13.805999999999999</v>
      </c>
      <c r="N308" s="35">
        <v>79.900000000000006</v>
      </c>
      <c r="O308" s="35">
        <f t="shared" si="20"/>
        <v>1.1211629040116939</v>
      </c>
      <c r="P308" s="35">
        <f t="shared" si="23"/>
        <v>65.709115478317372</v>
      </c>
      <c r="Q308" s="35">
        <f>('Batt Capacity and Sys Weight'!$I$3) + (B308*$T$2)</f>
        <v>48.468474999999998</v>
      </c>
      <c r="R308" s="35">
        <f>'Batt Capacity and Sys Weight'!$H$3</f>
        <v>97.68</v>
      </c>
    </row>
    <row r="309" spans="1:18" x14ac:dyDescent="0.3">
      <c r="A309" s="35" t="s">
        <v>260</v>
      </c>
      <c r="B309" s="35">
        <v>11.04</v>
      </c>
      <c r="C309" s="35">
        <v>470</v>
      </c>
      <c r="D309" s="35" t="s">
        <v>6</v>
      </c>
      <c r="E309" s="36" t="str" cm="1">
        <f t="array" ref="E309">GetNumber(D309,1)</f>
        <v>17</v>
      </c>
      <c r="F309" s="36" t="str" cm="1">
        <f t="array" ref="F309">GetNumber(D309,2)</f>
        <v>7</v>
      </c>
      <c r="G309" s="35">
        <v>14.8</v>
      </c>
      <c r="H309" s="35">
        <v>5972</v>
      </c>
      <c r="I309" s="35">
        <f>35.03*($T$2)</f>
        <v>70.06</v>
      </c>
      <c r="J309" s="35">
        <f>518.4*($T$2)</f>
        <v>1036.8</v>
      </c>
      <c r="K309" s="35">
        <f t="shared" si="21"/>
        <v>5.6527777777777786</v>
      </c>
      <c r="L309" s="35">
        <f t="shared" si="22"/>
        <v>5.652298030259777</v>
      </c>
      <c r="M309" s="35">
        <f>7.194*($T$2)</f>
        <v>14.388</v>
      </c>
      <c r="N309" s="35">
        <v>58.1</v>
      </c>
      <c r="O309" s="35">
        <f t="shared" si="20"/>
        <v>1.3877314814814814</v>
      </c>
      <c r="P309" s="35">
        <f t="shared" si="23"/>
        <v>81.33216666666668</v>
      </c>
      <c r="Q309" s="35">
        <f>('Batt Capacity and Sys Weight'!$I$3) + (B309*$T$2)</f>
        <v>48.468474999999998</v>
      </c>
      <c r="R309" s="35">
        <f>'Batt Capacity and Sys Weight'!$H$3</f>
        <v>97.68</v>
      </c>
    </row>
    <row r="310" spans="1:18" x14ac:dyDescent="0.3">
      <c r="A310" s="35" t="s">
        <v>260</v>
      </c>
      <c r="B310" s="35">
        <v>11.04</v>
      </c>
      <c r="C310" s="35">
        <v>470</v>
      </c>
      <c r="D310" s="35" t="s">
        <v>7</v>
      </c>
      <c r="E310" s="36" t="str" cm="1">
        <f t="array" ref="E310">GetNumber(D310,1)</f>
        <v>17</v>
      </c>
      <c r="F310" s="36" t="str" cm="1">
        <f t="array" ref="F310">GetNumber(D310,2)</f>
        <v>8</v>
      </c>
      <c r="G310" s="35">
        <v>14.8</v>
      </c>
      <c r="H310" s="35">
        <v>5766</v>
      </c>
      <c r="I310" s="35">
        <f>41.59*($T$2)</f>
        <v>83.18</v>
      </c>
      <c r="J310" s="35">
        <f>615.5*($T$2)</f>
        <v>1231</v>
      </c>
      <c r="K310" s="35">
        <f t="shared" si="21"/>
        <v>4.7610073111291644</v>
      </c>
      <c r="L310" s="35">
        <f t="shared" si="22"/>
        <v>4.7607597980283725</v>
      </c>
      <c r="M310" s="35">
        <f>7.649*($T$2)</f>
        <v>15.298</v>
      </c>
      <c r="N310" s="35">
        <v>64.099999999999994</v>
      </c>
      <c r="O310" s="35">
        <f t="shared" si="20"/>
        <v>1.2427294882209585</v>
      </c>
      <c r="P310" s="35">
        <f t="shared" si="23"/>
        <v>72.833889845653957</v>
      </c>
      <c r="Q310" s="35">
        <f>('Batt Capacity and Sys Weight'!$I$3) + (B310*$T$2)</f>
        <v>48.468474999999998</v>
      </c>
      <c r="R310" s="35">
        <f>'Batt Capacity and Sys Weight'!$H$3</f>
        <v>97.68</v>
      </c>
    </row>
    <row r="311" spans="1:18" x14ac:dyDescent="0.3">
      <c r="A311" s="35" t="s">
        <v>260</v>
      </c>
      <c r="B311" s="35">
        <v>11.04</v>
      </c>
      <c r="C311" s="35">
        <v>470</v>
      </c>
      <c r="D311" s="35" t="s">
        <v>10</v>
      </c>
      <c r="E311" s="36" t="str" cm="1">
        <f t="array" ref="E311">GetNumber(D311,1)</f>
        <v>18</v>
      </c>
      <c r="F311" s="36" t="str" cm="1">
        <f t="array" ref="F311">GetNumber(D311,2)</f>
        <v>8</v>
      </c>
      <c r="G311" s="35">
        <v>14.8</v>
      </c>
      <c r="H311" s="35">
        <v>5653</v>
      </c>
      <c r="I311" s="35">
        <f>45.21*($T$2)</f>
        <v>90.42</v>
      </c>
      <c r="J311" s="35">
        <f>669*($T$2)</f>
        <v>1338</v>
      </c>
      <c r="K311" s="35">
        <f t="shared" si="21"/>
        <v>4.3802690582959647</v>
      </c>
      <c r="L311" s="35">
        <f t="shared" si="22"/>
        <v>4.3795620437956213</v>
      </c>
      <c r="M311" s="35">
        <f>8.546*($T$2)</f>
        <v>17.091999999999999</v>
      </c>
      <c r="N311" s="35">
        <v>62.8</v>
      </c>
      <c r="O311" s="35">
        <f t="shared" si="20"/>
        <v>1.2774289985052316</v>
      </c>
      <c r="P311" s="35">
        <f t="shared" si="23"/>
        <v>74.867558744394628</v>
      </c>
      <c r="Q311" s="35">
        <f>('Batt Capacity and Sys Weight'!$I$3) + (B311*$T$2)</f>
        <v>48.468474999999998</v>
      </c>
      <c r="R311" s="35">
        <f>'Batt Capacity and Sys Weight'!$H$3</f>
        <v>97.68</v>
      </c>
    </row>
    <row r="312" spans="1:18" x14ac:dyDescent="0.3">
      <c r="A312" s="35" t="s">
        <v>260</v>
      </c>
      <c r="B312" s="35">
        <v>11.04</v>
      </c>
      <c r="C312" s="35">
        <v>470</v>
      </c>
      <c r="D312" s="35" t="s">
        <v>27</v>
      </c>
      <c r="E312" s="36" t="str" cm="1">
        <f t="array" ref="E312">GetNumber(D312,1)</f>
        <v>14</v>
      </c>
      <c r="F312" s="36" t="str" cm="1">
        <f t="array" ref="F312">GetNumber(D312,2)</f>
        <v>9</v>
      </c>
      <c r="G312" s="35">
        <v>14.8</v>
      </c>
      <c r="H312" s="35">
        <v>6023</v>
      </c>
      <c r="I312" s="35">
        <f>33.14*($T$2)</f>
        <v>66.28</v>
      </c>
      <c r="J312" s="35">
        <f>490.4*($T$2)</f>
        <v>980.8</v>
      </c>
      <c r="K312" s="35">
        <f t="shared" si="21"/>
        <v>5.9755301794453519</v>
      </c>
      <c r="L312" s="35">
        <f t="shared" si="22"/>
        <v>5.9746529873264933</v>
      </c>
      <c r="M312" s="35">
        <f>6.003*($T$2)</f>
        <v>12.006</v>
      </c>
      <c r="N312" s="35">
        <v>75.2</v>
      </c>
      <c r="O312" s="35">
        <f t="shared" si="20"/>
        <v>1.2241027732463297</v>
      </c>
      <c r="P312" s="35">
        <f t="shared" si="23"/>
        <v>71.742215334420891</v>
      </c>
      <c r="Q312" s="35">
        <f>('Batt Capacity and Sys Weight'!$I$3) + (B312*$T$2)</f>
        <v>48.468474999999998</v>
      </c>
      <c r="R312" s="35">
        <f>'Batt Capacity and Sys Weight'!$H$3</f>
        <v>97.68</v>
      </c>
    </row>
    <row r="313" spans="1:18" x14ac:dyDescent="0.3">
      <c r="A313" s="35" t="s">
        <v>260</v>
      </c>
      <c r="B313" s="35">
        <v>11.04</v>
      </c>
      <c r="C313" s="35">
        <v>470</v>
      </c>
      <c r="D313" s="35" t="s">
        <v>28</v>
      </c>
      <c r="E313" s="36" t="str" cm="1">
        <f t="array" ref="E313">GetNumber(D313,1)</f>
        <v>15</v>
      </c>
      <c r="F313" s="36" t="str" cm="1">
        <f t="array" ref="F313">GetNumber(D313,2)</f>
        <v>7</v>
      </c>
      <c r="G313" s="35">
        <v>14.8</v>
      </c>
      <c r="H313" s="35">
        <v>5891</v>
      </c>
      <c r="I313" s="35">
        <f>34.37*($T$2)</f>
        <v>68.739999999999995</v>
      </c>
      <c r="J313" s="35">
        <f>508.7*($T$2)</f>
        <v>1017.4</v>
      </c>
      <c r="K313" s="35">
        <f t="shared" si="21"/>
        <v>5.7605661490072739</v>
      </c>
      <c r="L313" s="35">
        <f t="shared" si="22"/>
        <v>5.7608379400640102</v>
      </c>
      <c r="M313" s="35">
        <f>6.451*($T$2)</f>
        <v>12.901999999999999</v>
      </c>
      <c r="N313" s="35">
        <v>57.3</v>
      </c>
      <c r="O313" s="35">
        <f t="shared" si="20"/>
        <v>1.2681344603892273</v>
      </c>
      <c r="P313" s="35">
        <f t="shared" si="23"/>
        <v>74.322824454491837</v>
      </c>
      <c r="Q313" s="35">
        <f>('Batt Capacity and Sys Weight'!$I$3) + (B313*$T$2)</f>
        <v>48.468474999999998</v>
      </c>
      <c r="R313" s="35">
        <f>'Batt Capacity and Sys Weight'!$H$3</f>
        <v>97.68</v>
      </c>
    </row>
    <row r="314" spans="1:18" x14ac:dyDescent="0.3">
      <c r="A314" s="35" t="s">
        <v>260</v>
      </c>
      <c r="B314" s="35">
        <v>11.04</v>
      </c>
      <c r="C314" s="35">
        <v>470</v>
      </c>
      <c r="D314" s="35" t="s">
        <v>29</v>
      </c>
      <c r="E314" s="36" t="str" cm="1">
        <f t="array" ref="E314">GetNumber(D314,1)</f>
        <v>16</v>
      </c>
      <c r="F314" s="36" t="str" cm="1">
        <f t="array" ref="F314">GetNumber(D314,2)</f>
        <v>8</v>
      </c>
      <c r="G314" s="35">
        <v>14.8</v>
      </c>
      <c r="H314" s="35">
        <v>5814</v>
      </c>
      <c r="I314" s="35">
        <f>40.42*($T$2)</f>
        <v>80.84</v>
      </c>
      <c r="J314" s="35">
        <f>598.2*($T$2)</f>
        <v>1196.4000000000001</v>
      </c>
      <c r="K314" s="35">
        <f t="shared" si="21"/>
        <v>4.8986960882647939</v>
      </c>
      <c r="L314" s="35">
        <f t="shared" si="22"/>
        <v>4.8985650667986151</v>
      </c>
      <c r="M314" s="35">
        <f>7.38*($T$2)</f>
        <v>14.76</v>
      </c>
      <c r="N314" s="35">
        <v>64.5</v>
      </c>
      <c r="O314" s="35">
        <f t="shared" si="20"/>
        <v>1.2337011033099297</v>
      </c>
      <c r="P314" s="35">
        <f t="shared" si="23"/>
        <v>72.30475426278835</v>
      </c>
      <c r="Q314" s="35">
        <f>('Batt Capacity and Sys Weight'!$I$3) + (B314*$T$2)</f>
        <v>48.468474999999998</v>
      </c>
      <c r="R314" s="35">
        <f>'Batt Capacity and Sys Weight'!$H$3</f>
        <v>97.68</v>
      </c>
    </row>
    <row r="315" spans="1:18" x14ac:dyDescent="0.3">
      <c r="A315" s="35" t="s">
        <v>260</v>
      </c>
      <c r="B315" s="35">
        <v>11.04</v>
      </c>
      <c r="C315" s="35">
        <v>470</v>
      </c>
      <c r="D315" s="35" t="s">
        <v>37</v>
      </c>
      <c r="E315" s="36" t="str" cm="1">
        <f t="array" ref="E315">GetNumber(D315,1)</f>
        <v>13</v>
      </c>
      <c r="F315" s="36" t="str" cm="1">
        <f t="array" ref="F315">GetNumber(D315,2)</f>
        <v>10</v>
      </c>
      <c r="G315" s="35">
        <v>18.5</v>
      </c>
      <c r="H315" s="35">
        <v>7425</v>
      </c>
      <c r="I315" s="35">
        <f>37.69*($T$2)</f>
        <v>75.38</v>
      </c>
      <c r="J315" s="35">
        <f>697.3*($T$2)</f>
        <v>1394.6</v>
      </c>
      <c r="K315" s="35">
        <f t="shared" si="21"/>
        <v>3.9796357378459781</v>
      </c>
      <c r="L315" s="35">
        <f t="shared" si="22"/>
        <v>3.9798355001326611</v>
      </c>
      <c r="M315" s="35">
        <f>5.364*($T$2)</f>
        <v>10.728</v>
      </c>
      <c r="N315" s="35">
        <v>103.1</v>
      </c>
      <c r="O315" s="35">
        <f t="shared" si="20"/>
        <v>0.76925283235336306</v>
      </c>
      <c r="P315" s="35">
        <f t="shared" si="23"/>
        <v>42.693532195611652</v>
      </c>
      <c r="Q315" s="35">
        <f>('Batt Capacity and Sys Weight'!$I$4) + (B315*$T$2)</f>
        <v>49.244502999999995</v>
      </c>
      <c r="R315" s="35">
        <f>'Batt Capacity and Sys Weight'!$H$4</f>
        <v>92.5</v>
      </c>
    </row>
    <row r="316" spans="1:18" x14ac:dyDescent="0.3">
      <c r="A316" s="35" t="s">
        <v>260</v>
      </c>
      <c r="B316" s="35">
        <v>11.04</v>
      </c>
      <c r="C316" s="35">
        <v>470</v>
      </c>
      <c r="D316" s="35" t="s">
        <v>39</v>
      </c>
      <c r="E316" s="36" t="str" cm="1">
        <f t="array" ref="E316">GetNumber(D316,1)</f>
        <v>14</v>
      </c>
      <c r="F316" s="36" t="str" cm="1">
        <f t="array" ref="F316">GetNumber(D316,2)</f>
        <v>7</v>
      </c>
      <c r="G316" s="35">
        <v>18.5</v>
      </c>
      <c r="H316" s="35">
        <v>7632</v>
      </c>
      <c r="I316" s="35">
        <f>32.28*($T$2)</f>
        <v>64.56</v>
      </c>
      <c r="J316" s="35">
        <f>597.2*($T$2)</f>
        <v>1194.4000000000001</v>
      </c>
      <c r="K316" s="35">
        <f t="shared" si="21"/>
        <v>4.6466845277963822</v>
      </c>
      <c r="L316" s="35">
        <f t="shared" si="22"/>
        <v>4.6468401486988844</v>
      </c>
      <c r="M316" s="35">
        <f>6.603*($T$2)</f>
        <v>13.206</v>
      </c>
      <c r="N316" s="35">
        <v>74.2</v>
      </c>
      <c r="O316" s="35">
        <f t="shared" si="20"/>
        <v>1.1056597454789014</v>
      </c>
      <c r="P316" s="35">
        <f t="shared" si="23"/>
        <v>61.364115874079019</v>
      </c>
      <c r="Q316" s="35">
        <f>('Batt Capacity and Sys Weight'!$I$4) + (B316*$T$2)</f>
        <v>49.244502999999995</v>
      </c>
      <c r="R316" s="35">
        <f>'Batt Capacity and Sys Weight'!$H$4</f>
        <v>92.5</v>
      </c>
    </row>
    <row r="317" spans="1:18" x14ac:dyDescent="0.3">
      <c r="A317" s="35" t="s">
        <v>260</v>
      </c>
      <c r="B317" s="35">
        <v>11.04</v>
      </c>
      <c r="C317" s="35">
        <v>470</v>
      </c>
      <c r="D317" s="35" t="s">
        <v>40</v>
      </c>
      <c r="E317" s="36" t="str" cm="1">
        <f t="array" ref="E317">GetNumber(D317,1)</f>
        <v>14</v>
      </c>
      <c r="F317" s="36" cm="1">
        <f t="array" ref="F317">GetNumber(D317,2)+(GetNumber(D317,3)/10)</f>
        <v>8.5</v>
      </c>
      <c r="G317" s="35">
        <v>18.5</v>
      </c>
      <c r="H317" s="35">
        <v>7535</v>
      </c>
      <c r="I317" s="35">
        <f>34.68*($T$2)</f>
        <v>69.36</v>
      </c>
      <c r="J317" s="35">
        <f>641.5*($T$2)</f>
        <v>1283</v>
      </c>
      <c r="K317" s="35">
        <f t="shared" si="21"/>
        <v>4.3257989088074824</v>
      </c>
      <c r="L317" s="35">
        <f t="shared" si="22"/>
        <v>4.3252595155709344</v>
      </c>
      <c r="M317" s="35">
        <f>6.74*($T$2)</f>
        <v>13.48</v>
      </c>
      <c r="N317" s="35">
        <v>89</v>
      </c>
      <c r="O317" s="35">
        <f t="shared" si="20"/>
        <v>1.0506625097427902</v>
      </c>
      <c r="P317" s="35">
        <f t="shared" si="23"/>
        <v>58.311769290724868</v>
      </c>
      <c r="Q317" s="35">
        <f>('Batt Capacity and Sys Weight'!$I$4) + (B317*$T$2)</f>
        <v>49.244502999999995</v>
      </c>
      <c r="R317" s="35">
        <f>'Batt Capacity and Sys Weight'!$H$4</f>
        <v>92.5</v>
      </c>
    </row>
    <row r="318" spans="1:18" x14ac:dyDescent="0.3">
      <c r="A318" s="35" t="s">
        <v>260</v>
      </c>
      <c r="B318" s="35">
        <v>11.04</v>
      </c>
      <c r="C318" s="35">
        <v>470</v>
      </c>
      <c r="D318" s="35" t="s">
        <v>41</v>
      </c>
      <c r="E318" s="36" t="str" cm="1">
        <f t="array" ref="E318">GetNumber(D318,1)</f>
        <v>14</v>
      </c>
      <c r="F318" s="36" t="str" cm="1">
        <f t="array" ref="F318">GetNumber(D318,2)</f>
        <v>10</v>
      </c>
      <c r="G318" s="35">
        <v>18.5</v>
      </c>
      <c r="H318" s="35">
        <v>7526</v>
      </c>
      <c r="I318" s="35">
        <f>34.66*($T$2)</f>
        <v>69.319999999999993</v>
      </c>
      <c r="J318" s="35">
        <f>641.2*($T$2)</f>
        <v>1282.4000000000001</v>
      </c>
      <c r="K318" s="35">
        <f t="shared" si="21"/>
        <v>4.3278228321896437</v>
      </c>
      <c r="L318" s="35">
        <f t="shared" si="22"/>
        <v>4.3277553375649163</v>
      </c>
      <c r="M318" s="35">
        <f>6.652*($T$2)</f>
        <v>13.304</v>
      </c>
      <c r="N318" s="35">
        <v>104.6</v>
      </c>
      <c r="O318" s="35">
        <f t="shared" si="20"/>
        <v>1.0374298190892077</v>
      </c>
      <c r="P318" s="35">
        <f t="shared" si="23"/>
        <v>57.577354959451021</v>
      </c>
      <c r="Q318" s="35">
        <f>('Batt Capacity and Sys Weight'!$I$4) + (B318*$T$2)</f>
        <v>49.244502999999995</v>
      </c>
      <c r="R318" s="35">
        <f>'Batt Capacity and Sys Weight'!$H$4</f>
        <v>92.5</v>
      </c>
    </row>
    <row r="319" spans="1:18" x14ac:dyDescent="0.3">
      <c r="A319" s="35" t="s">
        <v>260</v>
      </c>
      <c r="B319" s="35">
        <v>11.04</v>
      </c>
      <c r="C319" s="35">
        <v>470</v>
      </c>
      <c r="D319" s="35" t="s">
        <v>112</v>
      </c>
      <c r="E319" s="36" t="str" cm="1">
        <f t="array" ref="E319">GetNumber(D319,1)</f>
        <v>14</v>
      </c>
      <c r="F319" s="36" t="str" cm="1">
        <f t="array" ref="F319">GetNumber(D319,2)</f>
        <v>10</v>
      </c>
      <c r="G319" s="35">
        <v>18.5</v>
      </c>
      <c r="H319" s="35">
        <v>7487</v>
      </c>
      <c r="I319" s="35">
        <f>36.07*($T$2)</f>
        <v>72.14</v>
      </c>
      <c r="J319" s="35">
        <f>667.3*($T$2)</f>
        <v>1334.6</v>
      </c>
      <c r="K319" s="35">
        <f t="shared" si="21"/>
        <v>4.1585493780908136</v>
      </c>
      <c r="L319" s="35">
        <f t="shared" si="22"/>
        <v>4.1585805378430827</v>
      </c>
      <c r="M319" s="35">
        <f>7.029*($T$2)</f>
        <v>14.058</v>
      </c>
      <c r="N319" s="35">
        <v>104</v>
      </c>
      <c r="O319" s="35">
        <f t="shared" si="20"/>
        <v>1.0533493181477596</v>
      </c>
      <c r="P319" s="35">
        <f t="shared" si="23"/>
        <v>58.460887157200659</v>
      </c>
      <c r="Q319" s="35">
        <f>('Batt Capacity and Sys Weight'!$I$4) + (B319*$T$2)</f>
        <v>49.244502999999995</v>
      </c>
      <c r="R319" s="35">
        <f>'Batt Capacity and Sys Weight'!$H$4</f>
        <v>92.5</v>
      </c>
    </row>
    <row r="320" spans="1:18" x14ac:dyDescent="0.3">
      <c r="A320" s="35" t="s">
        <v>260</v>
      </c>
      <c r="B320" s="35">
        <v>11.04</v>
      </c>
      <c r="C320" s="35">
        <v>470</v>
      </c>
      <c r="D320" s="35" t="s">
        <v>43</v>
      </c>
      <c r="E320" s="36" t="str" cm="1">
        <f t="array" ref="E320">GetNumber(D320,1)</f>
        <v>15</v>
      </c>
      <c r="F320" s="36" t="str" cm="1">
        <f t="array" ref="F320">GetNumber(D320,2)</f>
        <v>6</v>
      </c>
      <c r="G320" s="35">
        <v>18.5</v>
      </c>
      <c r="H320" s="35">
        <v>7547</v>
      </c>
      <c r="I320" s="35">
        <f>34.27*($T$2)</f>
        <v>68.540000000000006</v>
      </c>
      <c r="J320" s="35">
        <f>633.9*($T$2)</f>
        <v>1267.8</v>
      </c>
      <c r="K320" s="35">
        <f t="shared" si="21"/>
        <v>4.3776620918125886</v>
      </c>
      <c r="L320" s="35">
        <f t="shared" si="22"/>
        <v>4.3770061278085777</v>
      </c>
      <c r="M320" s="35">
        <f>7.58*($T$2)</f>
        <v>15.16</v>
      </c>
      <c r="N320" s="35">
        <v>62.9</v>
      </c>
      <c r="O320" s="35">
        <f t="shared" si="20"/>
        <v>1.1957722038176368</v>
      </c>
      <c r="P320" s="35">
        <f t="shared" si="23"/>
        <v>66.365357311878839</v>
      </c>
      <c r="Q320" s="35">
        <f>('Batt Capacity and Sys Weight'!$I$4) + (B320*$T$2)</f>
        <v>49.244502999999995</v>
      </c>
      <c r="R320" s="35">
        <f>'Batt Capacity and Sys Weight'!$H$4</f>
        <v>92.5</v>
      </c>
    </row>
    <row r="321" spans="1:18" x14ac:dyDescent="0.3">
      <c r="A321" s="35" t="s">
        <v>260</v>
      </c>
      <c r="B321" s="35">
        <v>11.04</v>
      </c>
      <c r="C321" s="35">
        <v>470</v>
      </c>
      <c r="D321" s="35" t="s">
        <v>44</v>
      </c>
      <c r="E321" s="36" t="str" cm="1">
        <f t="array" ref="E321">GetNumber(D321,1)</f>
        <v>15</v>
      </c>
      <c r="F321" s="36" t="str" cm="1">
        <f t="array" ref="F321">GetNumber(D321,2)</f>
        <v>7</v>
      </c>
      <c r="G321" s="35">
        <v>18.5</v>
      </c>
      <c r="H321" s="35">
        <v>7568</v>
      </c>
      <c r="I321" s="35">
        <f>33.41*($T$2)</f>
        <v>66.819999999999993</v>
      </c>
      <c r="J321" s="35">
        <f>618*($T$2)</f>
        <v>1236</v>
      </c>
      <c r="K321" s="35">
        <f t="shared" si="21"/>
        <v>4.4902912621359219</v>
      </c>
      <c r="L321" s="35">
        <f t="shared" si="22"/>
        <v>4.4896737503741404</v>
      </c>
      <c r="M321" s="35">
        <f>7.461*($T$2)</f>
        <v>14.922000000000001</v>
      </c>
      <c r="N321" s="35">
        <v>73.599999999999994</v>
      </c>
      <c r="O321" s="35">
        <f t="shared" si="20"/>
        <v>1.2072815533980583</v>
      </c>
      <c r="P321" s="35">
        <f t="shared" si="23"/>
        <v>67.00412621359223</v>
      </c>
      <c r="Q321" s="35">
        <f>('Batt Capacity and Sys Weight'!$I$4) + (B321*$T$2)</f>
        <v>49.244502999999995</v>
      </c>
      <c r="R321" s="35">
        <f>'Batt Capacity and Sys Weight'!$H$4</f>
        <v>92.5</v>
      </c>
    </row>
    <row r="322" spans="1:18" x14ac:dyDescent="0.3">
      <c r="A322" s="35" t="s">
        <v>260</v>
      </c>
      <c r="B322" s="35">
        <v>11.04</v>
      </c>
      <c r="C322" s="35">
        <v>470</v>
      </c>
      <c r="D322" s="35" t="s">
        <v>0</v>
      </c>
      <c r="E322" s="36" t="str" cm="1">
        <f t="array" ref="E322">GetNumber(D322,1)</f>
        <v>15</v>
      </c>
      <c r="F322" s="36" t="str" cm="1">
        <f t="array" ref="F322">GetNumber(D322,2)</f>
        <v>8</v>
      </c>
      <c r="G322" s="35">
        <v>18.5</v>
      </c>
      <c r="H322" s="35">
        <v>7440</v>
      </c>
      <c r="I322" s="35">
        <f>37.49*($T$2)</f>
        <v>74.98</v>
      </c>
      <c r="J322" s="35">
        <f>693.6*($T$2)</f>
        <v>1387.2</v>
      </c>
      <c r="K322" s="35">
        <f t="shared" si="21"/>
        <v>4.0008650519031148</v>
      </c>
      <c r="L322" s="35">
        <f t="shared" si="22"/>
        <v>4.0010669511869823</v>
      </c>
      <c r="M322" s="35">
        <f>7.545*($T$2)</f>
        <v>15.09</v>
      </c>
      <c r="N322" s="35">
        <v>82.7</v>
      </c>
      <c r="O322" s="35">
        <f t="shared" ref="O322:O385" si="24" xml:space="preserve"> (M322/J322)*100</f>
        <v>1.08780276816609</v>
      </c>
      <c r="P322" s="35">
        <f t="shared" si="23"/>
        <v>60.373053633217999</v>
      </c>
      <c r="Q322" s="35">
        <f>('Batt Capacity and Sys Weight'!$I$4) + (B322*$T$2)</f>
        <v>49.244502999999995</v>
      </c>
      <c r="R322" s="35">
        <f>'Batt Capacity and Sys Weight'!$H$4</f>
        <v>92.5</v>
      </c>
    </row>
    <row r="323" spans="1:18" x14ac:dyDescent="0.3">
      <c r="A323" s="35" t="s">
        <v>260</v>
      </c>
      <c r="B323" s="35">
        <v>11.04</v>
      </c>
      <c r="C323" s="35">
        <v>470</v>
      </c>
      <c r="D323" s="35" t="s">
        <v>113</v>
      </c>
      <c r="E323" s="36" t="str" cm="1">
        <f t="array" ref="E323">GetNumber(D323,1)</f>
        <v>15</v>
      </c>
      <c r="F323" s="36" t="str" cm="1">
        <f t="array" ref="F323">GetNumber(D323,2)</f>
        <v>12</v>
      </c>
      <c r="G323" s="35">
        <v>18.5</v>
      </c>
      <c r="H323" s="35">
        <v>7133</v>
      </c>
      <c r="I323" s="35">
        <f>46.71*($T$2)</f>
        <v>93.42</v>
      </c>
      <c r="J323" s="35">
        <f>864*($T$2)</f>
        <v>1728</v>
      </c>
      <c r="K323" s="35">
        <f t="shared" ref="K323:K386" si="25" xml:space="preserve"> (R323/J323)*60</f>
        <v>3.2118055555555558</v>
      </c>
      <c r="L323" s="35">
        <f t="shared" ref="L323:L386" si="26">( (R323/G323)/I323)*60</f>
        <v>3.2113037893384715</v>
      </c>
      <c r="M323" s="35">
        <f>8.626*($T$2)</f>
        <v>17.251999999999999</v>
      </c>
      <c r="N323" s="35">
        <v>118.9</v>
      </c>
      <c r="O323" s="35">
        <f t="shared" si="24"/>
        <v>0.99837962962962967</v>
      </c>
      <c r="P323" s="35">
        <f t="shared" si="23"/>
        <v>55.410069444444446</v>
      </c>
      <c r="Q323" s="35">
        <f>('Batt Capacity and Sys Weight'!$I$4) + (B323*$T$2)</f>
        <v>49.244502999999995</v>
      </c>
      <c r="R323" s="35">
        <f>'Batt Capacity and Sys Weight'!$H$4</f>
        <v>92.5</v>
      </c>
    </row>
    <row r="324" spans="1:18" x14ac:dyDescent="0.3">
      <c r="A324" s="35" t="s">
        <v>260</v>
      </c>
      <c r="B324" s="35">
        <v>11.04</v>
      </c>
      <c r="C324" s="35">
        <v>470</v>
      </c>
      <c r="D324" s="35" t="s">
        <v>2</v>
      </c>
      <c r="E324" s="36" t="str" cm="1">
        <f t="array" ref="E324">GetNumber(D324,1)</f>
        <v>16</v>
      </c>
      <c r="F324" s="36" t="str" cm="1">
        <f t="array" ref="F324">GetNumber(D324,2)</f>
        <v>7</v>
      </c>
      <c r="G324" s="35">
        <v>18.5</v>
      </c>
      <c r="H324" s="35">
        <v>7235</v>
      </c>
      <c r="I324" s="35">
        <f>44.49*($T$2)</f>
        <v>88.98</v>
      </c>
      <c r="J324" s="35">
        <f>823.1*($T$2)</f>
        <v>1646.2</v>
      </c>
      <c r="K324" s="35">
        <f t="shared" si="25"/>
        <v>3.371400801846677</v>
      </c>
      <c r="L324" s="35">
        <f t="shared" si="26"/>
        <v>3.3715441672285902</v>
      </c>
      <c r="M324" s="35">
        <f>9.265*($T$2)</f>
        <v>18.53</v>
      </c>
      <c r="N324" s="35">
        <v>70.400000000000006</v>
      </c>
      <c r="O324" s="35">
        <f t="shared" si="24"/>
        <v>1.1256226460940348</v>
      </c>
      <c r="P324" s="35">
        <f t="shared" si="23"/>
        <v>62.472056858218927</v>
      </c>
      <c r="Q324" s="35">
        <f>('Batt Capacity and Sys Weight'!$I$4) + (B324*$T$2)</f>
        <v>49.244502999999995</v>
      </c>
      <c r="R324" s="35">
        <f>'Batt Capacity and Sys Weight'!$H$4</f>
        <v>92.5</v>
      </c>
    </row>
    <row r="325" spans="1:18" x14ac:dyDescent="0.3">
      <c r="A325" s="35" t="s">
        <v>260</v>
      </c>
      <c r="B325" s="35">
        <v>11.04</v>
      </c>
      <c r="C325" s="35">
        <v>470</v>
      </c>
      <c r="D325" s="35" t="s">
        <v>25</v>
      </c>
      <c r="E325" s="36" t="str" cm="1">
        <f t="array" ref="E325">GetNumber(D325,1)</f>
        <v>13</v>
      </c>
      <c r="F325" s="36" t="str" cm="1">
        <f t="array" ref="F325">GetNumber(D325,2)</f>
        <v>8</v>
      </c>
      <c r="G325" s="35">
        <v>18.5</v>
      </c>
      <c r="H325" s="35">
        <v>7604</v>
      </c>
      <c r="I325" s="35">
        <f>32.65*($T$2)</f>
        <v>65.3</v>
      </c>
      <c r="J325" s="35">
        <f>604.1*($T$2)</f>
        <v>1208.2</v>
      </c>
      <c r="K325" s="35">
        <f t="shared" si="25"/>
        <v>4.5936103294156601</v>
      </c>
      <c r="L325" s="35">
        <f t="shared" si="26"/>
        <v>4.5941807044410421</v>
      </c>
      <c r="M325" s="35">
        <f>6.599*($T$2)</f>
        <v>13.198</v>
      </c>
      <c r="N325" s="35">
        <v>84.5</v>
      </c>
      <c r="O325" s="35">
        <f t="shared" si="24"/>
        <v>1.0923688131104121</v>
      </c>
      <c r="P325" s="35">
        <f t="shared" si="23"/>
        <v>60.626469127627885</v>
      </c>
      <c r="Q325" s="35">
        <f>('Batt Capacity and Sys Weight'!$I$4) + (B325*$T$2)</f>
        <v>49.244502999999995</v>
      </c>
      <c r="R325" s="35">
        <f>'Batt Capacity and Sys Weight'!$H$4</f>
        <v>92.5</v>
      </c>
    </row>
    <row r="326" spans="1:18" x14ac:dyDescent="0.3">
      <c r="A326" s="35" t="s">
        <v>260</v>
      </c>
      <c r="B326" s="35">
        <v>11.04</v>
      </c>
      <c r="C326" s="35">
        <v>470</v>
      </c>
      <c r="D326" s="35" t="s">
        <v>26</v>
      </c>
      <c r="E326" s="36" t="str" cm="1">
        <f t="array" ref="E326">GetNumber(D326,1)</f>
        <v>14</v>
      </c>
      <c r="F326" s="36" t="str" cm="1">
        <f t="array" ref="F326">GetNumber(D326,2)</f>
        <v>7</v>
      </c>
      <c r="G326" s="35">
        <v>18.5</v>
      </c>
      <c r="H326" s="35">
        <v>7403</v>
      </c>
      <c r="I326" s="35">
        <f>38.32*($T$2)</f>
        <v>76.64</v>
      </c>
      <c r="J326" s="35">
        <f>708.8*($T$2)</f>
        <v>1417.6</v>
      </c>
      <c r="K326" s="35">
        <f t="shared" si="25"/>
        <v>3.9150677200902937</v>
      </c>
      <c r="L326" s="35">
        <f t="shared" si="26"/>
        <v>3.9144050104384136</v>
      </c>
      <c r="M326" s="35">
        <f>7.726*($T$2)</f>
        <v>15.452</v>
      </c>
      <c r="N326" s="35">
        <v>72</v>
      </c>
      <c r="O326" s="35">
        <f t="shared" si="24"/>
        <v>1.0900112866817155</v>
      </c>
      <c r="P326" s="35">
        <f t="shared" si="23"/>
        <v>60.495626410835214</v>
      </c>
      <c r="Q326" s="35">
        <f>('Batt Capacity and Sys Weight'!$I$4) + (B326*$T$2)</f>
        <v>49.244502999999995</v>
      </c>
      <c r="R326" s="35">
        <f>'Batt Capacity and Sys Weight'!$H$4</f>
        <v>92.5</v>
      </c>
    </row>
    <row r="327" spans="1:18" x14ac:dyDescent="0.3">
      <c r="A327" s="35" t="s">
        <v>260</v>
      </c>
      <c r="B327" s="35">
        <v>11.04</v>
      </c>
      <c r="C327" s="35">
        <v>470</v>
      </c>
      <c r="D327" s="35" t="s">
        <v>27</v>
      </c>
      <c r="E327" s="36" t="str" cm="1">
        <f t="array" ref="E327">GetNumber(D327,1)</f>
        <v>14</v>
      </c>
      <c r="F327" s="36" t="str" cm="1">
        <f t="array" ref="F327">GetNumber(D327,2)</f>
        <v>9</v>
      </c>
      <c r="G327" s="35">
        <v>18.5</v>
      </c>
      <c r="H327" s="35">
        <v>7183</v>
      </c>
      <c r="I327" s="35">
        <f>46.15*($T$2)</f>
        <v>92.3</v>
      </c>
      <c r="J327" s="35">
        <f>853.8*($T$2)</f>
        <v>1707.6</v>
      </c>
      <c r="K327" s="35">
        <f t="shared" si="25"/>
        <v>3.2501756851721715</v>
      </c>
      <c r="L327" s="35">
        <f t="shared" si="26"/>
        <v>3.2502708559046587</v>
      </c>
      <c r="M327" s="35">
        <f>8.747*($T$2)</f>
        <v>17.494</v>
      </c>
      <c r="N327" s="35">
        <v>89.8</v>
      </c>
      <c r="O327" s="35">
        <f t="shared" si="24"/>
        <v>1.0244788006558914</v>
      </c>
      <c r="P327" s="35">
        <f t="shared" si="23"/>
        <v>56.858573436401969</v>
      </c>
      <c r="Q327" s="35">
        <f>('Batt Capacity and Sys Weight'!$I$4) + (B327*$T$2)</f>
        <v>49.244502999999995</v>
      </c>
      <c r="R327" s="35">
        <f>'Batt Capacity and Sys Weight'!$H$4</f>
        <v>92.5</v>
      </c>
    </row>
    <row r="328" spans="1:18" x14ac:dyDescent="0.3">
      <c r="A328" s="35" t="s">
        <v>260</v>
      </c>
      <c r="B328" s="35">
        <v>11.04</v>
      </c>
      <c r="C328" s="35">
        <v>470</v>
      </c>
      <c r="D328" s="35" t="s">
        <v>28</v>
      </c>
      <c r="E328" s="36" t="str" cm="1">
        <f t="array" ref="E328">GetNumber(D328,1)</f>
        <v>15</v>
      </c>
      <c r="F328" s="36" t="str" cm="1">
        <f t="array" ref="F328">GetNumber(D328,2)</f>
        <v>7</v>
      </c>
      <c r="G328" s="35">
        <v>18.5</v>
      </c>
      <c r="H328" s="35">
        <v>7097</v>
      </c>
      <c r="I328" s="35">
        <f>47.99*($T$2)</f>
        <v>95.98</v>
      </c>
      <c r="J328" s="35">
        <f>887.8*($T$2)</f>
        <v>1775.6</v>
      </c>
      <c r="K328" s="35">
        <f t="shared" si="25"/>
        <v>3.1257039873845462</v>
      </c>
      <c r="L328" s="35">
        <f t="shared" si="26"/>
        <v>3.12565117732861</v>
      </c>
      <c r="M328" s="35">
        <f>9.25*($T$2)</f>
        <v>18.5</v>
      </c>
      <c r="N328" s="35">
        <v>68.900000000000006</v>
      </c>
      <c r="O328" s="35">
        <f t="shared" si="24"/>
        <v>1.041901329128182</v>
      </c>
      <c r="P328" s="35">
        <f t="shared" si="23"/>
        <v>57.825523766614104</v>
      </c>
      <c r="Q328" s="35">
        <f>('Batt Capacity and Sys Weight'!$I$4) + (B328*$T$2)</f>
        <v>49.244502999999995</v>
      </c>
      <c r="R328" s="35">
        <f>'Batt Capacity and Sys Weight'!$H$4</f>
        <v>92.5</v>
      </c>
    </row>
    <row r="329" spans="1:18" x14ac:dyDescent="0.3">
      <c r="A329" s="35" t="s">
        <v>260</v>
      </c>
      <c r="B329" s="35">
        <v>11.04</v>
      </c>
      <c r="C329" s="35">
        <v>470</v>
      </c>
      <c r="D329" s="35" t="s">
        <v>32</v>
      </c>
      <c r="E329" s="36" t="str" cm="1">
        <f t="array" ref="E329">GetNumber(D329,1)</f>
        <v>12</v>
      </c>
      <c r="F329" s="36" t="str" cm="1">
        <f t="array" ref="F329">GetNumber(D329,2)</f>
        <v>8</v>
      </c>
      <c r="G329" s="35">
        <v>22.2</v>
      </c>
      <c r="H329" s="35">
        <v>9009</v>
      </c>
      <c r="I329" s="35">
        <f>35.61*($T$2)</f>
        <v>71.22</v>
      </c>
      <c r="J329" s="35">
        <f>790.4*($T$2)</f>
        <v>1580.8</v>
      </c>
      <c r="K329" s="35">
        <f t="shared" si="25"/>
        <v>3.7917510121457494</v>
      </c>
      <c r="L329" s="35">
        <f t="shared" si="26"/>
        <v>3.7910699241786019</v>
      </c>
      <c r="M329" s="35">
        <f>5.902*($T$2)</f>
        <v>11.804</v>
      </c>
      <c r="N329" s="35">
        <v>100.2</v>
      </c>
      <c r="O329" s="35">
        <f t="shared" si="24"/>
        <v>0.74671052631578949</v>
      </c>
      <c r="P329" s="35">
        <f t="shared" si="23"/>
        <v>44.757828947368424</v>
      </c>
      <c r="Q329" s="35">
        <f>('Batt Capacity and Sys Weight'!$I$5) + (B329*$T$2)</f>
        <v>53.653752999999995</v>
      </c>
      <c r="R329" s="35">
        <f>'Batt Capacity and Sys Weight'!$H$5</f>
        <v>99.9</v>
      </c>
    </row>
    <row r="330" spans="1:18" x14ac:dyDescent="0.3">
      <c r="A330" s="35" t="s">
        <v>260</v>
      </c>
      <c r="B330" s="35">
        <v>11.04</v>
      </c>
      <c r="C330" s="35">
        <v>470</v>
      </c>
      <c r="D330" s="35" t="s">
        <v>33</v>
      </c>
      <c r="E330" s="36" t="str" cm="1">
        <f t="array" ref="E330">GetNumber(D330,1)</f>
        <v>12</v>
      </c>
      <c r="F330" s="36" t="str" cm="1">
        <f t="array" ref="F330">GetNumber(D330,2)</f>
        <v>10</v>
      </c>
      <c r="G330" s="35">
        <v>22.2</v>
      </c>
      <c r="H330" s="35">
        <v>8949</v>
      </c>
      <c r="I330" s="35">
        <f>38.08*($T$2)</f>
        <v>76.16</v>
      </c>
      <c r="J330" s="35">
        <f>845.3*($T$2)</f>
        <v>1690.6</v>
      </c>
      <c r="K330" s="35">
        <f t="shared" si="25"/>
        <v>3.5454868094167757</v>
      </c>
      <c r="L330" s="35">
        <f t="shared" si="26"/>
        <v>3.545168067226891</v>
      </c>
      <c r="M330" s="35">
        <f>5.818*($T$2)</f>
        <v>11.635999999999999</v>
      </c>
      <c r="N330" s="35">
        <v>124.2</v>
      </c>
      <c r="O330" s="35">
        <f t="shared" si="24"/>
        <v>0.68827635159115108</v>
      </c>
      <c r="P330" s="35">
        <f t="shared" si="23"/>
        <v>41.255284514373599</v>
      </c>
      <c r="Q330" s="35">
        <f>('Batt Capacity and Sys Weight'!$I$5) + (B330*$T$2)</f>
        <v>53.653752999999995</v>
      </c>
      <c r="R330" s="35">
        <f>'Batt Capacity and Sys Weight'!$H$5</f>
        <v>99.9</v>
      </c>
    </row>
    <row r="331" spans="1:18" x14ac:dyDescent="0.3">
      <c r="A331" s="35" t="s">
        <v>260</v>
      </c>
      <c r="B331" s="35">
        <v>11.04</v>
      </c>
      <c r="C331" s="35">
        <v>470</v>
      </c>
      <c r="D331" s="35" t="s">
        <v>34</v>
      </c>
      <c r="E331" s="36" t="str" cm="1">
        <f t="array" ref="E331">GetNumber(D331,1)</f>
        <v>12</v>
      </c>
      <c r="F331" s="36" t="str" cm="1">
        <f t="array" ref="F331">GetNumber(D331,2)</f>
        <v>12</v>
      </c>
      <c r="G331" s="35">
        <v>22.2</v>
      </c>
      <c r="H331" s="35">
        <v>8773</v>
      </c>
      <c r="I331" s="35">
        <f>41.9*($T$2)</f>
        <v>83.8</v>
      </c>
      <c r="J331" s="35">
        <f>930.1*($T$2)</f>
        <v>1860.2</v>
      </c>
      <c r="K331" s="35">
        <f t="shared" si="25"/>
        <v>3.2222341683689928</v>
      </c>
      <c r="L331" s="35">
        <f t="shared" si="26"/>
        <v>3.2219570405727929</v>
      </c>
      <c r="M331" s="35">
        <f>5.362*($T$2)</f>
        <v>10.724</v>
      </c>
      <c r="N331" s="35">
        <v>146.19999999999999</v>
      </c>
      <c r="O331" s="35">
        <f t="shared" si="24"/>
        <v>0.57649715084399522</v>
      </c>
      <c r="P331" s="35">
        <f t="shared" si="23"/>
        <v>34.555239221589076</v>
      </c>
      <c r="Q331" s="35">
        <f>('Batt Capacity and Sys Weight'!$I$5) + (B331*$T$2)</f>
        <v>53.653752999999995</v>
      </c>
      <c r="R331" s="35">
        <f>'Batt Capacity and Sys Weight'!$H$5</f>
        <v>99.9</v>
      </c>
    </row>
    <row r="332" spans="1:18" x14ac:dyDescent="0.3">
      <c r="A332" s="35" t="s">
        <v>260</v>
      </c>
      <c r="B332" s="35">
        <v>11.04</v>
      </c>
      <c r="C332" s="35">
        <v>470</v>
      </c>
      <c r="D332" s="35" t="s">
        <v>35</v>
      </c>
      <c r="E332" s="36" t="str" cm="1">
        <f t="array" ref="E332">GetNumber(D332,1)</f>
        <v>13</v>
      </c>
      <c r="F332" s="36" cm="1">
        <f t="array" ref="F332">GetNumber(D332,2)+(GetNumber(D332,3)/10)</f>
        <v>6.5</v>
      </c>
      <c r="G332" s="35">
        <v>22.2</v>
      </c>
      <c r="H332" s="35">
        <v>9072</v>
      </c>
      <c r="I332" s="35">
        <f>35.28*($T$2)</f>
        <v>70.56</v>
      </c>
      <c r="J332" s="35">
        <f>783.3*($T$2)</f>
        <v>1566.6</v>
      </c>
      <c r="K332" s="35">
        <f t="shared" si="25"/>
        <v>3.8261202604366149</v>
      </c>
      <c r="L332" s="35">
        <f t="shared" si="26"/>
        <v>3.8265306122448979</v>
      </c>
      <c r="M332" s="35">
        <f>7.342*($T$2)</f>
        <v>14.683999999999999</v>
      </c>
      <c r="N332" s="35">
        <v>81.8</v>
      </c>
      <c r="O332" s="35">
        <f t="shared" si="24"/>
        <v>0.93731648155240643</v>
      </c>
      <c r="P332" s="35">
        <f t="shared" si="23"/>
        <v>56.182749904251253</v>
      </c>
      <c r="Q332" s="35">
        <f>('Batt Capacity and Sys Weight'!$I$5) + (B332*$T$2)</f>
        <v>53.653752999999995</v>
      </c>
      <c r="R332" s="35">
        <f>'Batt Capacity and Sys Weight'!$H$5</f>
        <v>99.9</v>
      </c>
    </row>
    <row r="333" spans="1:18" x14ac:dyDescent="0.3">
      <c r="A333" s="35" t="s">
        <v>260</v>
      </c>
      <c r="B333" s="35">
        <v>11.04</v>
      </c>
      <c r="C333" s="35">
        <v>470</v>
      </c>
      <c r="D333" s="35" t="s">
        <v>123</v>
      </c>
      <c r="E333" s="36" t="str" cm="1">
        <f t="array" ref="E333">GetNumber(D333,1)</f>
        <v>13</v>
      </c>
      <c r="F333" s="36" cm="1">
        <f t="array" ref="F333">GetNumber(D333,2)+(GetNumber(D333,3)/10)</f>
        <v>6.5</v>
      </c>
      <c r="G333" s="35">
        <v>22.2</v>
      </c>
      <c r="H333" s="35">
        <v>8913</v>
      </c>
      <c r="I333" s="35">
        <f>38.69*($T$2)</f>
        <v>77.38</v>
      </c>
      <c r="J333" s="35">
        <f>859*($T$2)</f>
        <v>1718</v>
      </c>
      <c r="K333" s="35">
        <f t="shared" si="25"/>
        <v>3.4889406286379514</v>
      </c>
      <c r="L333" s="35">
        <f t="shared" si="26"/>
        <v>3.4892737141380206</v>
      </c>
      <c r="M333" s="35">
        <f>6.813*($T$2)</f>
        <v>13.625999999999999</v>
      </c>
      <c r="N333" s="35">
        <v>80.5</v>
      </c>
      <c r="O333" s="35">
        <f t="shared" si="24"/>
        <v>0.79313154831199062</v>
      </c>
      <c r="P333" s="35">
        <f t="shared" si="23"/>
        <v>47.540305005820727</v>
      </c>
      <c r="Q333" s="35">
        <f>('Batt Capacity and Sys Weight'!$I$5) + (B333*$T$2)</f>
        <v>53.653752999999995</v>
      </c>
      <c r="R333" s="35">
        <f>'Batt Capacity and Sys Weight'!$H$5</f>
        <v>99.9</v>
      </c>
    </row>
    <row r="334" spans="1:18" x14ac:dyDescent="0.3">
      <c r="A334" s="35" t="s">
        <v>260</v>
      </c>
      <c r="B334" s="35">
        <v>11.04</v>
      </c>
      <c r="C334" s="35">
        <v>470</v>
      </c>
      <c r="D334" s="35" t="s">
        <v>36</v>
      </c>
      <c r="E334" s="36" t="str" cm="1">
        <f t="array" ref="E334">GetNumber(D334,1)</f>
        <v>13</v>
      </c>
      <c r="F334" s="36" t="str" cm="1">
        <f t="array" ref="F334">GetNumber(D334,2)</f>
        <v>8</v>
      </c>
      <c r="G334" s="35">
        <v>22.2</v>
      </c>
      <c r="H334" s="35">
        <v>8965</v>
      </c>
      <c r="I334" s="35">
        <f>38.92*($T$2)</f>
        <v>77.84</v>
      </c>
      <c r="J334" s="35">
        <f>864.1*($T$2)</f>
        <v>1728.2</v>
      </c>
      <c r="K334" s="35">
        <f t="shared" si="25"/>
        <v>3.4683485707672723</v>
      </c>
      <c r="L334" s="35">
        <f t="shared" si="26"/>
        <v>3.4686536485097634</v>
      </c>
      <c r="M334" s="35">
        <f>7.492*($T$2)</f>
        <v>14.984</v>
      </c>
      <c r="N334" s="35">
        <v>99.6</v>
      </c>
      <c r="O334" s="35">
        <f t="shared" si="24"/>
        <v>0.86702927901863203</v>
      </c>
      <c r="P334" s="35">
        <f t="shared" si="23"/>
        <v>51.969734984376807</v>
      </c>
      <c r="Q334" s="35">
        <f>('Batt Capacity and Sys Weight'!$I$5) + (B334*$T$2)</f>
        <v>53.653752999999995</v>
      </c>
      <c r="R334" s="35">
        <f>'Batt Capacity and Sys Weight'!$H$5</f>
        <v>99.9</v>
      </c>
    </row>
    <row r="335" spans="1:18" x14ac:dyDescent="0.3">
      <c r="A335" s="35" t="s">
        <v>260</v>
      </c>
      <c r="B335" s="35">
        <v>11.04</v>
      </c>
      <c r="C335" s="35">
        <v>470</v>
      </c>
      <c r="D335" s="35" t="s">
        <v>115</v>
      </c>
      <c r="E335" s="36" t="str" cm="1">
        <f t="array" ref="E335">GetNumber(D335,1)</f>
        <v>13</v>
      </c>
      <c r="F335" s="36" t="str" cm="1">
        <f t="array" ref="F335">GetNumber(D335,2)</f>
        <v>10</v>
      </c>
      <c r="G335" s="35">
        <v>22.2</v>
      </c>
      <c r="H335" s="35">
        <v>8974</v>
      </c>
      <c r="I335" s="35">
        <f>38.25*($T$2)</f>
        <v>76.5</v>
      </c>
      <c r="J335" s="35">
        <f>849.1*($T$2)</f>
        <v>1698.2</v>
      </c>
      <c r="K335" s="35">
        <f t="shared" si="25"/>
        <v>3.5296195972205866</v>
      </c>
      <c r="L335" s="35">
        <f t="shared" si="26"/>
        <v>3.5294117647058822</v>
      </c>
      <c r="M335" s="35">
        <f>7.869*($T$2)</f>
        <v>15.738</v>
      </c>
      <c r="N335" s="35">
        <v>124.7</v>
      </c>
      <c r="O335" s="35">
        <f t="shared" si="24"/>
        <v>0.92674596631727701</v>
      </c>
      <c r="P335" s="35">
        <f t="shared" si="23"/>
        <v>55.549153221057587</v>
      </c>
      <c r="Q335" s="35">
        <f>('Batt Capacity and Sys Weight'!$I$5) + (B335*$T$2)</f>
        <v>53.653752999999995</v>
      </c>
      <c r="R335" s="35">
        <f>'Batt Capacity and Sys Weight'!$H$5</f>
        <v>99.9</v>
      </c>
    </row>
    <row r="336" spans="1:18" x14ac:dyDescent="0.3">
      <c r="A336" s="35" t="s">
        <v>260</v>
      </c>
      <c r="B336" s="35">
        <v>11.04</v>
      </c>
      <c r="C336" s="35">
        <v>470</v>
      </c>
      <c r="D336" s="35" t="s">
        <v>38</v>
      </c>
      <c r="E336" s="36" t="str" cm="1">
        <f t="array" ref="E336">GetNumber(D336,1)</f>
        <v>14</v>
      </c>
      <c r="F336" s="36" t="str" cm="1">
        <f t="array" ref="F336">GetNumber(D336,2)</f>
        <v>6</v>
      </c>
      <c r="G336" s="35">
        <v>22.2</v>
      </c>
      <c r="H336" s="35">
        <v>9194</v>
      </c>
      <c r="I336" s="35">
        <f>32.18*($T$2)</f>
        <v>64.36</v>
      </c>
      <c r="J336" s="35">
        <f>714.4*($T$2)</f>
        <v>1428.8</v>
      </c>
      <c r="K336" s="35">
        <f t="shared" si="25"/>
        <v>4.1951287793952972</v>
      </c>
      <c r="L336" s="35">
        <f t="shared" si="26"/>
        <v>4.1951522684897453</v>
      </c>
      <c r="M336" s="35">
        <f>7.907*($T$2)</f>
        <v>15.814</v>
      </c>
      <c r="N336" s="35">
        <v>76.599999999999994</v>
      </c>
      <c r="O336" s="35">
        <f t="shared" si="24"/>
        <v>1.1068029115341544</v>
      </c>
      <c r="P336" s="35">
        <f t="shared" si="23"/>
        <v>66.341766517357229</v>
      </c>
      <c r="Q336" s="35">
        <f>('Batt Capacity and Sys Weight'!$I$5) + (B336*$T$2)</f>
        <v>53.653752999999995</v>
      </c>
      <c r="R336" s="35">
        <f>'Batt Capacity and Sys Weight'!$H$5</f>
        <v>99.9</v>
      </c>
    </row>
    <row r="337" spans="1:18" x14ac:dyDescent="0.3">
      <c r="A337" s="35" t="s">
        <v>260</v>
      </c>
      <c r="B337" s="35">
        <v>11.04</v>
      </c>
      <c r="C337" s="35">
        <v>470</v>
      </c>
      <c r="D337" s="35" t="s">
        <v>39</v>
      </c>
      <c r="E337" s="36" t="str" cm="1">
        <f t="array" ref="E337">GetNumber(D337,1)</f>
        <v>14</v>
      </c>
      <c r="F337" s="36" t="str" cm="1">
        <f t="array" ref="F337">GetNumber(D337,2)</f>
        <v>7</v>
      </c>
      <c r="G337" s="35">
        <v>22.2</v>
      </c>
      <c r="H337" s="35">
        <v>8750</v>
      </c>
      <c r="I337" s="35">
        <f>45.37*($T$2)</f>
        <v>90.74</v>
      </c>
      <c r="J337" s="35">
        <f>1007.2*($T$2)</f>
        <v>2014.4</v>
      </c>
      <c r="K337" s="35">
        <f t="shared" si="25"/>
        <v>2.9755758538522641</v>
      </c>
      <c r="L337" s="35">
        <f t="shared" si="26"/>
        <v>2.975534494159136</v>
      </c>
      <c r="M337" s="35">
        <f>8.888*($T$2)</f>
        <v>17.776</v>
      </c>
      <c r="N337" s="35">
        <v>85.1</v>
      </c>
      <c r="O337" s="35">
        <f t="shared" si="24"/>
        <v>0.88244638602065129</v>
      </c>
      <c r="P337" s="35">
        <f t="shared" ref="P337:P400" si="27">M337*K337</f>
        <v>52.893836378077843</v>
      </c>
      <c r="Q337" s="35">
        <f>('Batt Capacity and Sys Weight'!$I$5) + (B337*$T$2)</f>
        <v>53.653752999999995</v>
      </c>
      <c r="R337" s="35">
        <f>'Batt Capacity and Sys Weight'!$H$5</f>
        <v>99.9</v>
      </c>
    </row>
    <row r="338" spans="1:18" x14ac:dyDescent="0.3">
      <c r="A338" s="35" t="s">
        <v>260</v>
      </c>
      <c r="B338" s="35">
        <v>11.04</v>
      </c>
      <c r="C338" s="35">
        <v>470</v>
      </c>
      <c r="D338" s="35" t="s">
        <v>60</v>
      </c>
      <c r="E338" s="36" t="str" cm="1">
        <f t="array" ref="E338">GetNumber(D338,1)</f>
        <v>15</v>
      </c>
      <c r="F338" s="36" t="str" cm="1">
        <f t="array" ref="F338">GetNumber(D338,2)</f>
        <v>4</v>
      </c>
      <c r="G338" s="35">
        <v>22.2</v>
      </c>
      <c r="H338" s="35">
        <v>9078</v>
      </c>
      <c r="I338" s="35">
        <f>35.49*($T$2)</f>
        <v>70.98</v>
      </c>
      <c r="J338" s="35">
        <f>787.9*($T$2)</f>
        <v>1575.8</v>
      </c>
      <c r="K338" s="35">
        <f t="shared" si="25"/>
        <v>3.8037822058636883</v>
      </c>
      <c r="L338" s="35">
        <f t="shared" si="26"/>
        <v>3.8038884192730342</v>
      </c>
      <c r="M338" s="35">
        <f>8.963*($T$2)</f>
        <v>17.925999999999998</v>
      </c>
      <c r="N338" s="35">
        <v>50.5</v>
      </c>
      <c r="O338" s="35">
        <f t="shared" si="24"/>
        <v>1.1375809112831576</v>
      </c>
      <c r="P338" s="35">
        <f t="shared" si="27"/>
        <v>68.186599822312473</v>
      </c>
      <c r="Q338" s="35">
        <f>('Batt Capacity and Sys Weight'!$I$5) + (B338*$T$2)</f>
        <v>53.653752999999995</v>
      </c>
      <c r="R338" s="35">
        <f>'Batt Capacity and Sys Weight'!$H$5</f>
        <v>99.9</v>
      </c>
    </row>
    <row r="339" spans="1:18" x14ac:dyDescent="0.3">
      <c r="A339" s="35" t="s">
        <v>260</v>
      </c>
      <c r="B339" s="35">
        <v>11.04</v>
      </c>
      <c r="C339" s="35">
        <v>470</v>
      </c>
      <c r="D339" s="35" t="s">
        <v>43</v>
      </c>
      <c r="E339" s="36" t="str" cm="1">
        <f t="array" ref="E339">GetNumber(D339,1)</f>
        <v>15</v>
      </c>
      <c r="F339" s="36" t="str" cm="1">
        <f t="array" ref="F339">GetNumber(D339,2)</f>
        <v>6</v>
      </c>
      <c r="G339" s="35">
        <v>22.2</v>
      </c>
      <c r="H339" s="35">
        <v>8658</v>
      </c>
      <c r="I339" s="35">
        <f>47.92*($T$2)</f>
        <v>95.84</v>
      </c>
      <c r="J339" s="35">
        <f>1063.8*($T$2)</f>
        <v>2127.6</v>
      </c>
      <c r="K339" s="35">
        <f t="shared" si="25"/>
        <v>2.8172588832487309</v>
      </c>
      <c r="L339" s="35">
        <f t="shared" si="26"/>
        <v>2.817195325542571</v>
      </c>
      <c r="M339" s="35">
        <f>10.267*($T$2)</f>
        <v>20.533999999999999</v>
      </c>
      <c r="N339" s="35">
        <v>72.2</v>
      </c>
      <c r="O339" s="35">
        <f t="shared" si="24"/>
        <v>0.96512502350065799</v>
      </c>
      <c r="P339" s="35">
        <f t="shared" si="27"/>
        <v>57.849593908629437</v>
      </c>
      <c r="Q339" s="35">
        <f>('Batt Capacity and Sys Weight'!$I$5) + (B339*$T$2)</f>
        <v>53.653752999999995</v>
      </c>
      <c r="R339" s="35">
        <f>'Batt Capacity and Sys Weight'!$H$5</f>
        <v>99.9</v>
      </c>
    </row>
    <row r="340" spans="1:18" x14ac:dyDescent="0.3">
      <c r="A340" s="35" t="s">
        <v>260</v>
      </c>
      <c r="B340" s="35">
        <v>11.04</v>
      </c>
      <c r="C340" s="35">
        <v>470</v>
      </c>
      <c r="D340" s="35" t="s">
        <v>44</v>
      </c>
      <c r="E340" s="36" t="str" cm="1">
        <f t="array" ref="E340">GetNumber(D340,1)</f>
        <v>15</v>
      </c>
      <c r="F340" s="36" t="str" cm="1">
        <f t="array" ref="F340">GetNumber(D340,2)</f>
        <v>7</v>
      </c>
      <c r="G340" s="35">
        <v>22.2</v>
      </c>
      <c r="H340" s="35">
        <v>8736</v>
      </c>
      <c r="I340" s="35">
        <f>45.41*($T$2)</f>
        <v>90.82</v>
      </c>
      <c r="J340" s="35">
        <f>1008*($T$2)</f>
        <v>2016</v>
      </c>
      <c r="K340" s="35">
        <f t="shared" si="25"/>
        <v>2.973214285714286</v>
      </c>
      <c r="L340" s="35">
        <f t="shared" si="26"/>
        <v>2.9729134551860823</v>
      </c>
      <c r="M340" s="35">
        <f>10.218*($T$2)</f>
        <v>20.436</v>
      </c>
      <c r="N340" s="35">
        <v>84.9</v>
      </c>
      <c r="O340" s="35">
        <f t="shared" si="24"/>
        <v>1.0136904761904761</v>
      </c>
      <c r="P340" s="35">
        <f t="shared" si="27"/>
        <v>60.760607142857147</v>
      </c>
      <c r="Q340" s="35">
        <f>('Batt Capacity and Sys Weight'!$I$5) + (B340*$T$2)</f>
        <v>53.653752999999995</v>
      </c>
      <c r="R340" s="35">
        <f>'Batt Capacity and Sys Weight'!$H$5</f>
        <v>99.9</v>
      </c>
    </row>
    <row r="341" spans="1:18" x14ac:dyDescent="0.3">
      <c r="A341" s="35" t="s">
        <v>260</v>
      </c>
      <c r="B341" s="35">
        <v>11.04</v>
      </c>
      <c r="C341" s="35">
        <v>470</v>
      </c>
      <c r="D341" s="35" t="s">
        <v>54</v>
      </c>
      <c r="E341" s="36" t="str" cm="1">
        <f t="array" ref="E341">GetNumber(D341,1)</f>
        <v>12</v>
      </c>
      <c r="F341" s="36" t="str" cm="1">
        <f t="array" ref="F341">GetNumber(D341,2)</f>
        <v>8</v>
      </c>
      <c r="G341" s="35">
        <v>22.2</v>
      </c>
      <c r="H341" s="35">
        <v>8940</v>
      </c>
      <c r="I341" s="35">
        <f>39.19*($T$2)</f>
        <v>78.38</v>
      </c>
      <c r="J341" s="35">
        <f>869.9*($T$2)</f>
        <v>1739.8</v>
      </c>
      <c r="K341" s="35">
        <f t="shared" si="25"/>
        <v>3.4452235889182665</v>
      </c>
      <c r="L341" s="35">
        <f t="shared" si="26"/>
        <v>3.4447563153865786</v>
      </c>
      <c r="M341" s="35">
        <f>7.957*($T$2)</f>
        <v>15.914</v>
      </c>
      <c r="N341" s="35">
        <v>99.3</v>
      </c>
      <c r="O341" s="35">
        <f t="shared" si="24"/>
        <v>0.91470283940682828</v>
      </c>
      <c r="P341" s="35">
        <f t="shared" si="27"/>
        <v>54.827288194045295</v>
      </c>
      <c r="Q341" s="35">
        <f>('Batt Capacity and Sys Weight'!$I$5) + (B341*$T$2)</f>
        <v>53.653752999999995</v>
      </c>
      <c r="R341" s="35">
        <f>'Batt Capacity and Sys Weight'!$H$5</f>
        <v>99.9</v>
      </c>
    </row>
    <row r="342" spans="1:18" x14ac:dyDescent="0.3">
      <c r="A342" s="35" t="s">
        <v>260</v>
      </c>
      <c r="B342" s="35">
        <v>11.04</v>
      </c>
      <c r="C342" s="35">
        <v>470</v>
      </c>
      <c r="D342" s="35" t="s">
        <v>25</v>
      </c>
      <c r="E342" s="36" t="str" cm="1">
        <f t="array" ref="E342">GetNumber(D342,1)</f>
        <v>13</v>
      </c>
      <c r="F342" s="36" t="str" cm="1">
        <f t="array" ref="F342">GetNumber(D342,2)</f>
        <v>8</v>
      </c>
      <c r="G342" s="35">
        <v>22.2</v>
      </c>
      <c r="H342" s="35">
        <v>8803</v>
      </c>
      <c r="I342" s="35">
        <f>43.54*($T$2)</f>
        <v>87.08</v>
      </c>
      <c r="J342" s="35">
        <f>966.5*($T$2)</f>
        <v>1933</v>
      </c>
      <c r="K342" s="35">
        <f t="shared" si="25"/>
        <v>3.100879461976203</v>
      </c>
      <c r="L342" s="35">
        <f t="shared" si="26"/>
        <v>3.1005971520440974</v>
      </c>
      <c r="M342" s="35">
        <f>8.853*($T$2)</f>
        <v>17.706</v>
      </c>
      <c r="N342" s="35">
        <v>97.8</v>
      </c>
      <c r="O342" s="35">
        <f t="shared" si="24"/>
        <v>0.91598551474392131</v>
      </c>
      <c r="P342" s="35">
        <f t="shared" si="27"/>
        <v>54.904171753750646</v>
      </c>
      <c r="Q342" s="35">
        <f>('Batt Capacity and Sys Weight'!$I$5) + (B342*$T$2)</f>
        <v>53.653752999999995</v>
      </c>
      <c r="R342" s="35">
        <f>'Batt Capacity and Sys Weight'!$H$5</f>
        <v>99.9</v>
      </c>
    </row>
    <row r="343" spans="1:18" x14ac:dyDescent="0.3">
      <c r="A343" s="35" t="s">
        <v>260</v>
      </c>
      <c r="B343" s="35">
        <v>11.04</v>
      </c>
      <c r="C343" s="35">
        <v>470</v>
      </c>
      <c r="D343" s="35" t="s">
        <v>69</v>
      </c>
      <c r="E343" s="36" t="str" cm="1">
        <f t="array" ref="E343">GetNumber(D343,1)</f>
        <v>10</v>
      </c>
      <c r="F343" s="36" t="str" cm="1">
        <f t="array" ref="F343">GetNumber(D343,2)</f>
        <v>8</v>
      </c>
      <c r="G343" s="35">
        <v>29.6</v>
      </c>
      <c r="H343" s="35">
        <v>12005</v>
      </c>
      <c r="I343" s="35">
        <f>30.66*($T$2)</f>
        <v>61.32</v>
      </c>
      <c r="J343" s="35">
        <f>907.4*($T$2)</f>
        <v>1814.8</v>
      </c>
      <c r="K343" s="35">
        <f t="shared" si="25"/>
        <v>3.3061494379545957</v>
      </c>
      <c r="L343" s="35">
        <f t="shared" si="26"/>
        <v>3.3056539905854971</v>
      </c>
      <c r="M343" s="35">
        <f>5.509*($T$2)</f>
        <v>11.018000000000001</v>
      </c>
      <c r="N343" s="35">
        <v>133.30000000000001</v>
      </c>
      <c r="O343" s="35">
        <f t="shared" si="24"/>
        <v>0.60711924178972887</v>
      </c>
      <c r="P343" s="35">
        <f t="shared" si="27"/>
        <v>36.42715450738374</v>
      </c>
      <c r="Q343" s="35">
        <v>0</v>
      </c>
      <c r="R343" s="35">
        <f t="shared" ref="R343:R364" si="28">$T$1</f>
        <v>100</v>
      </c>
    </row>
    <row r="344" spans="1:18" x14ac:dyDescent="0.3">
      <c r="A344" s="35" t="s">
        <v>260</v>
      </c>
      <c r="B344" s="35">
        <v>11.04</v>
      </c>
      <c r="C344" s="35">
        <v>470</v>
      </c>
      <c r="D344" s="35" t="s">
        <v>55</v>
      </c>
      <c r="E344" s="36" t="str" cm="1">
        <f t="array" ref="E344">GetNumber(D344,1)</f>
        <v>10</v>
      </c>
      <c r="F344" s="36" t="str" cm="1">
        <f t="array" ref="F344">GetNumber(D344,2)</f>
        <v>10</v>
      </c>
      <c r="G344" s="35">
        <v>29.6</v>
      </c>
      <c r="H344" s="35">
        <v>11841</v>
      </c>
      <c r="I344" s="35">
        <f>41.14*($T$2)</f>
        <v>82.28</v>
      </c>
      <c r="J344" s="35">
        <f>1217.8*($T$2)</f>
        <v>2435.6</v>
      </c>
      <c r="K344" s="35">
        <f t="shared" si="25"/>
        <v>2.4634586960091971</v>
      </c>
      <c r="L344" s="35">
        <f t="shared" si="26"/>
        <v>2.4635719822885593</v>
      </c>
      <c r="M344" s="35">
        <f>5.196*($T$2)</f>
        <v>10.391999999999999</v>
      </c>
      <c r="N344" s="35">
        <v>164.4</v>
      </c>
      <c r="O344" s="35">
        <f t="shared" si="24"/>
        <v>0.42667104614879292</v>
      </c>
      <c r="P344" s="35">
        <f t="shared" si="27"/>
        <v>25.600262768927575</v>
      </c>
      <c r="Q344" s="35">
        <v>0</v>
      </c>
      <c r="R344" s="35">
        <f t="shared" si="28"/>
        <v>100</v>
      </c>
    </row>
    <row r="345" spans="1:18" x14ac:dyDescent="0.3">
      <c r="A345" s="35" t="s">
        <v>260</v>
      </c>
      <c r="B345" s="35">
        <v>11.04</v>
      </c>
      <c r="C345" s="35">
        <v>470</v>
      </c>
      <c r="D345" s="35" t="s">
        <v>70</v>
      </c>
      <c r="E345" s="36" t="str" cm="1">
        <f t="array" ref="E345">GetNumber(D345,1)</f>
        <v>11</v>
      </c>
      <c r="F345" s="36" cm="1">
        <f t="array" ref="F345">GetNumber(D345,2)+(GetNumber(D345,3)/10)</f>
        <v>5.5</v>
      </c>
      <c r="G345" s="35">
        <v>29.6</v>
      </c>
      <c r="H345" s="35">
        <v>12226</v>
      </c>
      <c r="I345" s="35">
        <f>31.68*($T$2)</f>
        <v>63.36</v>
      </c>
      <c r="J345" s="35">
        <f>937.8*($T$2)</f>
        <v>1875.6</v>
      </c>
      <c r="K345" s="35">
        <f t="shared" si="25"/>
        <v>3.1989763275751764</v>
      </c>
      <c r="L345" s="35">
        <f t="shared" si="26"/>
        <v>3.1992219492219491</v>
      </c>
      <c r="M345" s="35">
        <f>7.305*($T$2)</f>
        <v>14.61</v>
      </c>
      <c r="N345" s="35">
        <v>93.4</v>
      </c>
      <c r="O345" s="35">
        <f t="shared" si="24"/>
        <v>0.77895073576455531</v>
      </c>
      <c r="P345" s="35">
        <f t="shared" si="27"/>
        <v>46.737044145873327</v>
      </c>
      <c r="Q345" s="35">
        <v>0</v>
      </c>
      <c r="R345" s="35">
        <f t="shared" si="28"/>
        <v>100</v>
      </c>
    </row>
    <row r="346" spans="1:18" x14ac:dyDescent="0.3">
      <c r="A346" s="35" t="s">
        <v>260</v>
      </c>
      <c r="B346" s="35">
        <v>11.04</v>
      </c>
      <c r="C346" s="35">
        <v>470</v>
      </c>
      <c r="D346" s="35" t="s">
        <v>71</v>
      </c>
      <c r="E346" s="36" t="str" cm="1">
        <f t="array" ref="E346">GetNumber(D346,1)</f>
        <v>11</v>
      </c>
      <c r="F346" s="36" t="str" cm="1">
        <f t="array" ref="F346">GetNumber(D346,2)</f>
        <v>7</v>
      </c>
      <c r="G346" s="35">
        <v>29.6</v>
      </c>
      <c r="H346" s="35">
        <v>11789</v>
      </c>
      <c r="I346" s="35">
        <f>36.42*($T$2)</f>
        <v>72.84</v>
      </c>
      <c r="J346" s="35">
        <f>1077.9*($T$2)</f>
        <v>2155.8000000000002</v>
      </c>
      <c r="K346" s="35">
        <f t="shared" si="25"/>
        <v>2.7831895352073475</v>
      </c>
      <c r="L346" s="35">
        <f t="shared" si="26"/>
        <v>2.7828487466049241</v>
      </c>
      <c r="M346" s="35">
        <f>7.386*($T$2)</f>
        <v>14.772</v>
      </c>
      <c r="N346" s="35">
        <v>114.5</v>
      </c>
      <c r="O346" s="35">
        <f t="shared" si="24"/>
        <v>0.68522126356804891</v>
      </c>
      <c r="P346" s="35">
        <f t="shared" si="27"/>
        <v>41.11327581408294</v>
      </c>
      <c r="Q346" s="35">
        <v>0</v>
      </c>
      <c r="R346" s="35">
        <f t="shared" si="28"/>
        <v>100</v>
      </c>
    </row>
    <row r="347" spans="1:18" x14ac:dyDescent="0.3">
      <c r="A347" s="35" t="s">
        <v>260</v>
      </c>
      <c r="B347" s="35">
        <v>11.04</v>
      </c>
      <c r="C347" s="35">
        <v>470</v>
      </c>
      <c r="D347" s="35" t="s">
        <v>72</v>
      </c>
      <c r="E347" s="36" t="str" cm="1">
        <f t="array" ref="E347">GetNumber(D347,1)</f>
        <v>11</v>
      </c>
      <c r="F347" s="36" t="str" cm="1">
        <f t="array" ref="F347">GetNumber(D347,2)</f>
        <v>8</v>
      </c>
      <c r="G347" s="35">
        <v>29.6</v>
      </c>
      <c r="H347" s="35">
        <v>11759</v>
      </c>
      <c r="I347" s="35">
        <f>43.08*($T$2)</f>
        <v>86.16</v>
      </c>
      <c r="J347" s="35">
        <f>1275*($T$2)</f>
        <v>2550</v>
      </c>
      <c r="K347" s="35">
        <f t="shared" si="25"/>
        <v>2.3529411764705883</v>
      </c>
      <c r="L347" s="35">
        <f t="shared" si="26"/>
        <v>2.3526311827147479</v>
      </c>
      <c r="M347" s="35">
        <f>7.19*($T$2)</f>
        <v>14.38</v>
      </c>
      <c r="N347" s="35">
        <v>130.69999999999999</v>
      </c>
      <c r="O347" s="35">
        <f t="shared" si="24"/>
        <v>0.56392156862745102</v>
      </c>
      <c r="P347" s="35">
        <f t="shared" si="27"/>
        <v>33.835294117647059</v>
      </c>
      <c r="Q347" s="35">
        <v>0</v>
      </c>
      <c r="R347" s="35">
        <f t="shared" si="28"/>
        <v>100</v>
      </c>
    </row>
    <row r="348" spans="1:18" x14ac:dyDescent="0.3">
      <c r="A348" s="35" t="s">
        <v>260</v>
      </c>
      <c r="B348" s="35">
        <v>11.04</v>
      </c>
      <c r="C348" s="35">
        <v>470</v>
      </c>
      <c r="D348" s="35" t="s">
        <v>56</v>
      </c>
      <c r="E348" s="36" t="str" cm="1">
        <f t="array" ref="E348">GetNumber(D348,1)</f>
        <v>11</v>
      </c>
      <c r="F348" s="36" cm="1">
        <f t="array" ref="F348">GetNumber(D348,2)+(GetNumber(D348,3)/10)</f>
        <v>8.5</v>
      </c>
      <c r="G348" s="35">
        <v>29.6</v>
      </c>
      <c r="H348" s="35">
        <v>11646</v>
      </c>
      <c r="I348" s="35">
        <f>45.93*($T$2)</f>
        <v>91.86</v>
      </c>
      <c r="J348" s="35">
        <f>1359.5*($T$2)</f>
        <v>2719</v>
      </c>
      <c r="K348" s="35">
        <f t="shared" si="25"/>
        <v>2.2066936373666786</v>
      </c>
      <c r="L348" s="35">
        <f t="shared" si="26"/>
        <v>2.2066481896658252</v>
      </c>
      <c r="M348" s="35">
        <f>7.404*($T$2)</f>
        <v>14.808</v>
      </c>
      <c r="N348" s="35">
        <v>137.4</v>
      </c>
      <c r="O348" s="35">
        <f t="shared" si="24"/>
        <v>0.54461198970209634</v>
      </c>
      <c r="P348" s="35">
        <f t="shared" si="27"/>
        <v>32.676719382125775</v>
      </c>
      <c r="Q348" s="35">
        <v>0</v>
      </c>
      <c r="R348" s="35">
        <f t="shared" si="28"/>
        <v>100</v>
      </c>
    </row>
    <row r="349" spans="1:18" x14ac:dyDescent="0.3">
      <c r="A349" s="35" t="s">
        <v>260</v>
      </c>
      <c r="B349" s="35">
        <v>11.04</v>
      </c>
      <c r="C349" s="35">
        <v>470</v>
      </c>
      <c r="D349" s="35" t="s">
        <v>58</v>
      </c>
      <c r="E349" s="36" t="str" cm="1">
        <f t="array" ref="E349">GetNumber(D349,1)</f>
        <v>12</v>
      </c>
      <c r="F349" s="36" t="str" cm="1">
        <f t="array" ref="F349">GetNumber(D349,2)</f>
        <v>6</v>
      </c>
      <c r="G349" s="35">
        <v>29.6</v>
      </c>
      <c r="H349" s="35">
        <v>11719</v>
      </c>
      <c r="I349" s="35">
        <f>44.3*($T$2)</f>
        <v>88.6</v>
      </c>
      <c r="J349" s="35">
        <f>1311.3*($T$2)</f>
        <v>2622.6</v>
      </c>
      <c r="K349" s="35">
        <f t="shared" si="25"/>
        <v>2.2878059940517046</v>
      </c>
      <c r="L349" s="35">
        <f t="shared" si="26"/>
        <v>2.2878408882923553</v>
      </c>
      <c r="M349" s="35">
        <f>9.126*($T$2)</f>
        <v>18.251999999999999</v>
      </c>
      <c r="N349" s="35">
        <v>97.7</v>
      </c>
      <c r="O349" s="35">
        <f t="shared" si="24"/>
        <v>0.69595058339052851</v>
      </c>
      <c r="P349" s="35">
        <f t="shared" si="27"/>
        <v>41.75703500343171</v>
      </c>
      <c r="Q349" s="35">
        <v>0</v>
      </c>
      <c r="R349" s="35">
        <f t="shared" si="28"/>
        <v>100</v>
      </c>
    </row>
    <row r="350" spans="1:18" x14ac:dyDescent="0.3">
      <c r="A350" s="35" t="s">
        <v>260</v>
      </c>
      <c r="B350" s="35">
        <v>11.04</v>
      </c>
      <c r="C350" s="35">
        <v>470</v>
      </c>
      <c r="D350" s="35" t="s">
        <v>120</v>
      </c>
      <c r="E350" s="36" t="str" cm="1">
        <f t="array" ref="E350">GetNumber(D350,1)</f>
        <v>12</v>
      </c>
      <c r="F350" s="36" t="str" cm="1">
        <f t="array" ref="F350">GetNumber(D350,2)</f>
        <v>6</v>
      </c>
      <c r="G350" s="35">
        <v>29.6</v>
      </c>
      <c r="H350" s="35">
        <v>11538</v>
      </c>
      <c r="I350" s="35">
        <f>42.46*($T$2)</f>
        <v>84.92</v>
      </c>
      <c r="J350" s="35">
        <f>1256.8*($T$2)</f>
        <v>2513.6</v>
      </c>
      <c r="K350" s="35">
        <f t="shared" si="25"/>
        <v>2.3870146403564609</v>
      </c>
      <c r="L350" s="35">
        <f t="shared" si="26"/>
        <v>2.3869842522692264</v>
      </c>
      <c r="M350" s="35">
        <f>8.968*($T$2)</f>
        <v>17.936</v>
      </c>
      <c r="N350" s="35">
        <v>96.2</v>
      </c>
      <c r="O350" s="35">
        <f t="shared" si="24"/>
        <v>0.71355824315722471</v>
      </c>
      <c r="P350" s="35">
        <f t="shared" si="27"/>
        <v>42.813494589433482</v>
      </c>
      <c r="Q350" s="35">
        <v>0</v>
      </c>
      <c r="R350" s="35">
        <f t="shared" si="28"/>
        <v>100</v>
      </c>
    </row>
    <row r="351" spans="1:18" x14ac:dyDescent="0.3">
      <c r="A351" s="35" t="s">
        <v>260</v>
      </c>
      <c r="B351" s="35">
        <v>11.04</v>
      </c>
      <c r="C351" s="35">
        <v>470</v>
      </c>
      <c r="D351" s="35" t="s">
        <v>121</v>
      </c>
      <c r="E351" s="36">
        <v>12</v>
      </c>
      <c r="F351" s="36">
        <v>6.5</v>
      </c>
      <c r="G351" s="35">
        <v>29.6</v>
      </c>
      <c r="H351" s="35">
        <v>11606</v>
      </c>
      <c r="I351" s="35">
        <f>46.57*($T$2)</f>
        <v>93.14</v>
      </c>
      <c r="J351" s="35">
        <f>1378.5*($T$2)</f>
        <v>2757</v>
      </c>
      <c r="K351" s="35">
        <f t="shared" si="25"/>
        <v>2.1762785636561479</v>
      </c>
      <c r="L351" s="35">
        <f t="shared" si="26"/>
        <v>2.1763227689789852</v>
      </c>
      <c r="M351" s="35">
        <f>10.813*($T$2)</f>
        <v>21.626000000000001</v>
      </c>
      <c r="N351" s="35">
        <v>104.7</v>
      </c>
      <c r="O351" s="35">
        <f t="shared" si="24"/>
        <v>0.78440333696046438</v>
      </c>
      <c r="P351" s="35">
        <f t="shared" si="27"/>
        <v>47.064200217627857</v>
      </c>
      <c r="Q351" s="35">
        <v>0</v>
      </c>
      <c r="R351" s="35">
        <f t="shared" si="28"/>
        <v>100</v>
      </c>
    </row>
    <row r="352" spans="1:18" x14ac:dyDescent="0.3">
      <c r="A352" s="35" t="s">
        <v>260</v>
      </c>
      <c r="B352" s="35">
        <v>11.04</v>
      </c>
      <c r="C352" s="35">
        <v>470</v>
      </c>
      <c r="D352" s="35" t="s">
        <v>98</v>
      </c>
      <c r="E352" s="36" t="str" cm="1">
        <f t="array" ref="E352">GetNumber(D352,1)</f>
        <v>13</v>
      </c>
      <c r="F352" s="36" t="str" cm="1">
        <f t="array" ref="F352">GetNumber(D352,2)</f>
        <v>4</v>
      </c>
      <c r="G352" s="35">
        <v>29.6</v>
      </c>
      <c r="H352" s="35">
        <v>11930</v>
      </c>
      <c r="I352" s="35">
        <f>34.01*($T$2)</f>
        <v>68.02</v>
      </c>
      <c r="J352" s="35">
        <f>1006.8*($T$2)</f>
        <v>2013.6</v>
      </c>
      <c r="K352" s="35">
        <f t="shared" si="25"/>
        <v>2.9797377830750893</v>
      </c>
      <c r="L352" s="35">
        <f t="shared" si="26"/>
        <v>2.9800456145648733</v>
      </c>
      <c r="M352" s="35">
        <f>9.298*($T$2)</f>
        <v>18.596</v>
      </c>
      <c r="N352" s="35">
        <v>66.3</v>
      </c>
      <c r="O352" s="35">
        <f t="shared" si="24"/>
        <v>0.9235200635677393</v>
      </c>
      <c r="P352" s="35">
        <f t="shared" si="27"/>
        <v>55.411203814064358</v>
      </c>
      <c r="Q352" s="35">
        <v>0</v>
      </c>
      <c r="R352" s="35">
        <f t="shared" si="28"/>
        <v>100</v>
      </c>
    </row>
    <row r="353" spans="1:18" x14ac:dyDescent="0.3">
      <c r="A353" s="35" t="s">
        <v>260</v>
      </c>
      <c r="B353" s="35">
        <v>11.04</v>
      </c>
      <c r="C353" s="35">
        <v>470</v>
      </c>
      <c r="D353" s="35" t="s">
        <v>122</v>
      </c>
      <c r="E353" s="36" t="str" cm="1">
        <f t="array" ref="E353">GetNumber(D353,1)</f>
        <v>13</v>
      </c>
      <c r="F353" s="36" cm="1">
        <f t="array" ref="F353">GetNumber(D353,2)+(GetNumber(D353,3)/10)</f>
        <v>4.5</v>
      </c>
      <c r="G353" s="35">
        <v>29.6</v>
      </c>
      <c r="H353" s="35">
        <v>11665</v>
      </c>
      <c r="I353" s="35">
        <f>45.12*($T$2)</f>
        <v>90.24</v>
      </c>
      <c r="J353" s="35">
        <f>1335.5*($T$2)</f>
        <v>2671</v>
      </c>
      <c r="K353" s="35">
        <f t="shared" si="25"/>
        <v>2.2463496817671285</v>
      </c>
      <c r="L353" s="35">
        <f t="shared" si="26"/>
        <v>2.246262219666475</v>
      </c>
      <c r="M353" s="35">
        <f>10.253*($T$2)</f>
        <v>20.506</v>
      </c>
      <c r="N353" s="35">
        <v>72.900000000000006</v>
      </c>
      <c r="O353" s="35">
        <f t="shared" si="24"/>
        <v>0.76772744290527895</v>
      </c>
      <c r="P353" s="35">
        <f t="shared" si="27"/>
        <v>46.063646574316735</v>
      </c>
      <c r="Q353" s="35">
        <v>0</v>
      </c>
      <c r="R353" s="35">
        <f t="shared" si="28"/>
        <v>100</v>
      </c>
    </row>
    <row r="354" spans="1:18" x14ac:dyDescent="0.3">
      <c r="A354" s="35" t="s">
        <v>260</v>
      </c>
      <c r="B354" s="35">
        <v>11.04</v>
      </c>
      <c r="C354" s="35">
        <v>470</v>
      </c>
      <c r="D354" s="35" t="s">
        <v>59</v>
      </c>
      <c r="E354" s="36" t="str" cm="1">
        <f t="array" ref="E354">GetNumber(D354,1)</f>
        <v>13</v>
      </c>
      <c r="F354" s="36" cm="1">
        <f t="array" ref="F354">GetNumber(D354,2)+(GetNumber(D354,3)/10)</f>
        <v>5.5</v>
      </c>
      <c r="G354" s="35">
        <v>29.6</v>
      </c>
      <c r="H354" s="35">
        <v>11725</v>
      </c>
      <c r="I354" s="35">
        <f>44.68*($T$2)</f>
        <v>89.36</v>
      </c>
      <c r="J354" s="35">
        <f>1322.5*($T$2)</f>
        <v>2645</v>
      </c>
      <c r="K354" s="35">
        <f t="shared" si="25"/>
        <v>2.2684310018903591</v>
      </c>
      <c r="L354" s="35">
        <f t="shared" si="26"/>
        <v>2.2683829756345419</v>
      </c>
      <c r="M354" s="35">
        <f>10.641*($T$2)</f>
        <v>21.282</v>
      </c>
      <c r="N354" s="35">
        <v>89.6</v>
      </c>
      <c r="O354" s="35">
        <f t="shared" si="24"/>
        <v>0.80461247637051048</v>
      </c>
      <c r="P354" s="35">
        <f t="shared" si="27"/>
        <v>48.276748582230624</v>
      </c>
      <c r="Q354" s="35">
        <v>0</v>
      </c>
      <c r="R354" s="35">
        <f t="shared" si="28"/>
        <v>100</v>
      </c>
    </row>
    <row r="355" spans="1:18" x14ac:dyDescent="0.3">
      <c r="A355" s="35" t="s">
        <v>260</v>
      </c>
      <c r="B355" s="35">
        <v>11.04</v>
      </c>
      <c r="C355" s="35">
        <v>470</v>
      </c>
      <c r="D355" s="35" t="s">
        <v>81</v>
      </c>
      <c r="E355" s="36" t="str" cm="1">
        <f t="array" ref="E355">GetNumber(D355,1)</f>
        <v>11</v>
      </c>
      <c r="F355" s="36" t="str" cm="1">
        <f t="array" ref="F355">GetNumber(D355,2)</f>
        <v>7</v>
      </c>
      <c r="G355" s="35">
        <v>29.6</v>
      </c>
      <c r="H355" s="35">
        <v>12070</v>
      </c>
      <c r="I355" s="35">
        <f>36.86*($T$2)</f>
        <v>73.72</v>
      </c>
      <c r="J355" s="35">
        <f>1091*($T$2)</f>
        <v>2182</v>
      </c>
      <c r="K355" s="35">
        <f t="shared" si="25"/>
        <v>2.7497708524289641</v>
      </c>
      <c r="L355" s="35">
        <f t="shared" si="26"/>
        <v>2.7496297165315067</v>
      </c>
      <c r="M355" s="35">
        <f>8.507*($T$2)</f>
        <v>17.013999999999999</v>
      </c>
      <c r="N355" s="35">
        <v>117.3</v>
      </c>
      <c r="O355" s="35">
        <f t="shared" si="24"/>
        <v>0.77974335472043999</v>
      </c>
      <c r="P355" s="35">
        <f t="shared" si="27"/>
        <v>46.784601283226394</v>
      </c>
      <c r="Q355" s="35">
        <v>0</v>
      </c>
      <c r="R355" s="35">
        <f t="shared" si="28"/>
        <v>100</v>
      </c>
    </row>
    <row r="356" spans="1:18" x14ac:dyDescent="0.3">
      <c r="A356" s="35" t="s">
        <v>260</v>
      </c>
      <c r="B356" s="35">
        <v>11.04</v>
      </c>
      <c r="C356" s="35">
        <v>470</v>
      </c>
      <c r="D356" s="35" t="s">
        <v>66</v>
      </c>
      <c r="E356" s="36" t="str" cm="1">
        <f t="array" ref="E356">GetNumber(D356,1)</f>
        <v>11</v>
      </c>
      <c r="F356" s="36" t="str" cm="1">
        <f t="array" ref="F356">GetNumber(D356,2)</f>
        <v>8</v>
      </c>
      <c r="G356" s="35">
        <v>29.6</v>
      </c>
      <c r="H356" s="35">
        <v>11892</v>
      </c>
      <c r="I356" s="35">
        <f>41.13*($T$2)</f>
        <v>82.26</v>
      </c>
      <c r="J356" s="35">
        <f>1217.4*($T$2)</f>
        <v>2434.8000000000002</v>
      </c>
      <c r="K356" s="35">
        <f t="shared" si="25"/>
        <v>2.4642681123706258</v>
      </c>
      <c r="L356" s="35">
        <f t="shared" si="26"/>
        <v>2.464170954324127</v>
      </c>
      <c r="M356" s="35">
        <f>8.727*($T$2)</f>
        <v>17.454000000000001</v>
      </c>
      <c r="N356" s="35">
        <v>132.1</v>
      </c>
      <c r="O356" s="35">
        <f t="shared" si="24"/>
        <v>0.71685559388861508</v>
      </c>
      <c r="P356" s="35">
        <f t="shared" si="27"/>
        <v>43.011335633316904</v>
      </c>
      <c r="Q356" s="35">
        <v>0</v>
      </c>
      <c r="R356" s="35">
        <f t="shared" si="28"/>
        <v>100</v>
      </c>
    </row>
    <row r="357" spans="1:18" x14ac:dyDescent="0.3">
      <c r="A357" s="35" t="s">
        <v>260</v>
      </c>
      <c r="B357" s="35">
        <v>11.04</v>
      </c>
      <c r="C357" s="35">
        <v>470</v>
      </c>
      <c r="D357" s="35" t="s">
        <v>53</v>
      </c>
      <c r="E357" s="36" t="str" cm="1">
        <f t="array" ref="E357">GetNumber(D357,1)</f>
        <v>12</v>
      </c>
      <c r="F357" s="36" t="str" cm="1">
        <f t="array" ref="F357">GetNumber(D357,2)</f>
        <v>6</v>
      </c>
      <c r="G357" s="35">
        <v>29.6</v>
      </c>
      <c r="H357" s="35">
        <v>11831</v>
      </c>
      <c r="I357" s="35">
        <f>42.26*($T$2)</f>
        <v>84.52</v>
      </c>
      <c r="J357" s="35">
        <f>1250.7*($T$2)</f>
        <v>2501.4</v>
      </c>
      <c r="K357" s="35">
        <f t="shared" si="25"/>
        <v>2.3986567522187574</v>
      </c>
      <c r="L357" s="35">
        <f t="shared" si="26"/>
        <v>2.3982809122421047</v>
      </c>
      <c r="M357" s="35">
        <f>10.031*($T$2)</f>
        <v>20.062000000000001</v>
      </c>
      <c r="N357" s="35">
        <v>98.6</v>
      </c>
      <c r="O357" s="35">
        <f t="shared" si="24"/>
        <v>0.80203086271687862</v>
      </c>
      <c r="P357" s="35">
        <f t="shared" si="27"/>
        <v>48.121851763012714</v>
      </c>
      <c r="Q357" s="35">
        <v>0</v>
      </c>
      <c r="R357" s="35">
        <f t="shared" si="28"/>
        <v>100</v>
      </c>
    </row>
    <row r="358" spans="1:18" x14ac:dyDescent="0.3">
      <c r="A358" s="35" t="s">
        <v>261</v>
      </c>
      <c r="B358" s="35">
        <v>2.0499999999999998</v>
      </c>
      <c r="C358" s="35">
        <v>1850</v>
      </c>
      <c r="D358" s="35" t="s">
        <v>146</v>
      </c>
      <c r="E358" s="36" t="str" cm="1">
        <f t="array" ref="E358">GetNumber(D358,1)</f>
        <v>7</v>
      </c>
      <c r="F358" s="36" t="str" cm="1">
        <f t="array" ref="F358">GetNumber(D358,2)</f>
        <v>4</v>
      </c>
      <c r="G358" s="35">
        <v>7.4</v>
      </c>
      <c r="H358" s="35">
        <v>11247</v>
      </c>
      <c r="I358" s="35">
        <f>12.14*($T$2)</f>
        <v>24.28</v>
      </c>
      <c r="J358" s="35">
        <f>89.8*($T$2)</f>
        <v>179.6</v>
      </c>
      <c r="K358" s="35">
        <f t="shared" si="25"/>
        <v>33.407572383073493</v>
      </c>
      <c r="L358" s="35">
        <f t="shared" si="26"/>
        <v>33.394184959259086</v>
      </c>
      <c r="M358" s="35">
        <f>1.124*($T$2)</f>
        <v>2.2480000000000002</v>
      </c>
      <c r="N358" s="35">
        <v>62.5</v>
      </c>
      <c r="O358" s="35">
        <f t="shared" si="24"/>
        <v>1.2516703786191539</v>
      </c>
      <c r="P358" s="35">
        <f t="shared" si="27"/>
        <v>75.100222717149222</v>
      </c>
      <c r="Q358" s="35">
        <v>0</v>
      </c>
      <c r="R358" s="35">
        <f t="shared" si="28"/>
        <v>100</v>
      </c>
    </row>
    <row r="359" spans="1:18" x14ac:dyDescent="0.3">
      <c r="A359" s="35" t="s">
        <v>261</v>
      </c>
      <c r="B359" s="35">
        <v>2.0499999999999998</v>
      </c>
      <c r="C359" s="35">
        <v>1850</v>
      </c>
      <c r="D359" s="35" t="s">
        <v>148</v>
      </c>
      <c r="E359" s="36" t="str" cm="1">
        <f t="array" ref="E359">GetNumber(D359,1)</f>
        <v>7</v>
      </c>
      <c r="F359" s="36" t="str" cm="1">
        <f t="array" ref="F359">GetNumber(D359,2)</f>
        <v>5</v>
      </c>
      <c r="G359" s="35">
        <v>7.4</v>
      </c>
      <c r="H359" s="35">
        <v>10642</v>
      </c>
      <c r="I359" s="35">
        <f>14.97*($T$2)</f>
        <v>29.94</v>
      </c>
      <c r="J359" s="35">
        <f>110.8*($T$2)</f>
        <v>221.6</v>
      </c>
      <c r="K359" s="35">
        <f t="shared" si="25"/>
        <v>27.075812274368232</v>
      </c>
      <c r="L359" s="35">
        <f t="shared" si="26"/>
        <v>27.0811894058387</v>
      </c>
      <c r="M359" s="35">
        <f>1.125*($T$2)</f>
        <v>2.25</v>
      </c>
      <c r="N359" s="35">
        <v>73.900000000000006</v>
      </c>
      <c r="O359" s="35">
        <f t="shared" si="24"/>
        <v>1.0153429602888087</v>
      </c>
      <c r="P359" s="35">
        <f t="shared" si="27"/>
        <v>60.920577617328519</v>
      </c>
      <c r="Q359" s="35">
        <v>0</v>
      </c>
      <c r="R359" s="35">
        <f t="shared" si="28"/>
        <v>100</v>
      </c>
    </row>
    <row r="360" spans="1:18" x14ac:dyDescent="0.3">
      <c r="A360" s="35" t="s">
        <v>261</v>
      </c>
      <c r="B360" s="35">
        <v>2.0499999999999998</v>
      </c>
      <c r="C360" s="35">
        <v>1850</v>
      </c>
      <c r="D360" s="35" t="s">
        <v>149</v>
      </c>
      <c r="E360" s="36" t="str" cm="1">
        <f t="array" ref="E360">GetNumber(D360,1)</f>
        <v>7</v>
      </c>
      <c r="F360" s="36" t="str" cm="1">
        <f t="array" ref="F360">GetNumber(D360,2)</f>
        <v>6</v>
      </c>
      <c r="G360" s="35">
        <v>7.4</v>
      </c>
      <c r="H360" s="35">
        <v>10501</v>
      </c>
      <c r="I360" s="35">
        <f>15.68*($T$2)</f>
        <v>31.36</v>
      </c>
      <c r="J360" s="35">
        <f>116.1*($T$2)</f>
        <v>232.2</v>
      </c>
      <c r="K360" s="35">
        <f t="shared" si="25"/>
        <v>25.839793281653748</v>
      </c>
      <c r="L360" s="35">
        <f t="shared" si="26"/>
        <v>25.854936569222282</v>
      </c>
      <c r="M360" s="35">
        <f>1.21*($T$2)</f>
        <v>2.42</v>
      </c>
      <c r="N360" s="35">
        <v>87.6</v>
      </c>
      <c r="O360" s="35">
        <f t="shared" si="24"/>
        <v>1.0422049956933677</v>
      </c>
      <c r="P360" s="35">
        <f t="shared" si="27"/>
        <v>62.532299741602067</v>
      </c>
      <c r="Q360" s="35">
        <v>0</v>
      </c>
      <c r="R360" s="35">
        <f t="shared" si="28"/>
        <v>100</v>
      </c>
    </row>
    <row r="361" spans="1:18" x14ac:dyDescent="0.3">
      <c r="A361" s="35" t="s">
        <v>261</v>
      </c>
      <c r="B361" s="35">
        <v>2.0499999999999998</v>
      </c>
      <c r="C361" s="35">
        <v>1850</v>
      </c>
      <c r="D361" s="35" t="s">
        <v>126</v>
      </c>
      <c r="E361" s="36" t="str" cm="1">
        <f t="array" ref="E361">GetNumber(D361,1)</f>
        <v>8</v>
      </c>
      <c r="F361" s="36" t="str" cm="1">
        <f t="array" ref="F361">GetNumber(D361,2)</f>
        <v>4</v>
      </c>
      <c r="G361" s="35">
        <v>7.4</v>
      </c>
      <c r="H361" s="35">
        <v>10268</v>
      </c>
      <c r="I361" s="35">
        <f>16.85*($T$2)</f>
        <v>33.700000000000003</v>
      </c>
      <c r="J361" s="35">
        <f>124.7*($T$2)</f>
        <v>249.4</v>
      </c>
      <c r="K361" s="35">
        <f t="shared" si="25"/>
        <v>24.057738572574177</v>
      </c>
      <c r="L361" s="35">
        <f t="shared" si="26"/>
        <v>24.05966797658192</v>
      </c>
      <c r="M361" s="35">
        <f>1.473*($T$2)</f>
        <v>2.9460000000000002</v>
      </c>
      <c r="N361" s="35">
        <v>57.1</v>
      </c>
      <c r="O361" s="35">
        <f t="shared" si="24"/>
        <v>1.1812349639133923</v>
      </c>
      <c r="P361" s="35">
        <f t="shared" si="27"/>
        <v>70.874097834803536</v>
      </c>
      <c r="Q361" s="35">
        <v>0</v>
      </c>
      <c r="R361" s="35">
        <f t="shared" si="28"/>
        <v>100</v>
      </c>
    </row>
    <row r="362" spans="1:18" x14ac:dyDescent="0.3">
      <c r="A362" s="35" t="s">
        <v>261</v>
      </c>
      <c r="B362" s="35">
        <v>2.0499999999999998</v>
      </c>
      <c r="C362" s="35">
        <v>1850</v>
      </c>
      <c r="D362" s="35" t="s">
        <v>239</v>
      </c>
      <c r="E362" s="36" t="str" cm="1">
        <f t="array" ref="E362">GetNumber(D362,1)</f>
        <v>8</v>
      </c>
      <c r="F362" s="36" t="str" cm="1">
        <f t="array" ref="F362">GetNumber(D362,2)</f>
        <v>4</v>
      </c>
      <c r="G362" s="35">
        <v>7.4</v>
      </c>
      <c r="H362" s="35">
        <v>10858</v>
      </c>
      <c r="I362" s="35">
        <f>13.65*($T$2)</f>
        <v>27.3</v>
      </c>
      <c r="J362" s="35">
        <f>101*($T$2)</f>
        <v>202</v>
      </c>
      <c r="K362" s="35">
        <f t="shared" si="25"/>
        <v>29.702970297029701</v>
      </c>
      <c r="L362" s="35">
        <f t="shared" si="26"/>
        <v>29.700029700029695</v>
      </c>
      <c r="M362" s="35">
        <f>1.355*($T$2)</f>
        <v>2.71</v>
      </c>
      <c r="N362" s="35">
        <v>60.3</v>
      </c>
      <c r="O362" s="35">
        <f t="shared" si="24"/>
        <v>1.3415841584158417</v>
      </c>
      <c r="P362" s="35">
        <f t="shared" si="27"/>
        <v>80.495049504950487</v>
      </c>
      <c r="Q362" s="35">
        <v>0</v>
      </c>
      <c r="R362" s="35">
        <f t="shared" si="28"/>
        <v>100</v>
      </c>
    </row>
    <row r="363" spans="1:18" x14ac:dyDescent="0.3">
      <c r="A363" s="35" t="s">
        <v>261</v>
      </c>
      <c r="B363" s="35">
        <v>2.0499999999999998</v>
      </c>
      <c r="C363" s="35">
        <v>1850</v>
      </c>
      <c r="D363" s="35" t="s">
        <v>240</v>
      </c>
      <c r="E363" s="36" t="str" cm="1">
        <f t="array" ref="E363">GetNumber(D363,1)</f>
        <v>8</v>
      </c>
      <c r="F363" s="36" t="str" cm="1">
        <f t="array" ref="F363">GetNumber(D363,2)</f>
        <v>4</v>
      </c>
      <c r="G363" s="35">
        <v>7.4</v>
      </c>
      <c r="H363" s="35">
        <v>10384</v>
      </c>
      <c r="I363" s="35">
        <f>16.26*($T$2)</f>
        <v>32.520000000000003</v>
      </c>
      <c r="J363" s="35">
        <f>120.3*($T$2)</f>
        <v>240.6</v>
      </c>
      <c r="K363" s="35">
        <f t="shared" si="25"/>
        <v>24.937655860349128</v>
      </c>
      <c r="L363" s="35">
        <f t="shared" si="26"/>
        <v>24.93268175925002</v>
      </c>
      <c r="M363" s="35">
        <f>1.482*($T$2)</f>
        <v>2.964</v>
      </c>
      <c r="N363" s="35">
        <v>57.6</v>
      </c>
      <c r="O363" s="35">
        <f t="shared" si="24"/>
        <v>1.2319201995012468</v>
      </c>
      <c r="P363" s="35">
        <f t="shared" si="27"/>
        <v>73.915211970074822</v>
      </c>
      <c r="Q363" s="35">
        <v>0</v>
      </c>
      <c r="R363" s="35">
        <f t="shared" si="28"/>
        <v>100</v>
      </c>
    </row>
    <row r="364" spans="1:18" x14ac:dyDescent="0.3">
      <c r="A364" s="35" t="s">
        <v>261</v>
      </c>
      <c r="B364" s="35">
        <v>2.0499999999999998</v>
      </c>
      <c r="C364" s="35">
        <v>1850</v>
      </c>
      <c r="D364" s="35" t="s">
        <v>144</v>
      </c>
      <c r="E364" s="36" t="str" cm="1">
        <f t="array" ref="E364">GetNumber(D364,1)</f>
        <v>7</v>
      </c>
      <c r="F364" s="36" t="str" cm="1">
        <f t="array" ref="F364">GetNumber(D364,2)</f>
        <v>4</v>
      </c>
      <c r="G364" s="35">
        <v>7.4</v>
      </c>
      <c r="H364" s="35">
        <v>10879</v>
      </c>
      <c r="I364" s="35">
        <f>13.84*($T$2)</f>
        <v>27.68</v>
      </c>
      <c r="J364" s="35">
        <f>102.4*($T$2)</f>
        <v>204.8</v>
      </c>
      <c r="K364" s="35">
        <f t="shared" si="25"/>
        <v>29.296875</v>
      </c>
      <c r="L364" s="35">
        <f t="shared" si="26"/>
        <v>29.292298078425244</v>
      </c>
      <c r="M364" s="35">
        <f>1.039*($T$2)</f>
        <v>2.0779999999999998</v>
      </c>
      <c r="N364" s="35">
        <v>60.4</v>
      </c>
      <c r="O364" s="35">
        <f t="shared" si="24"/>
        <v>1.0146484374999998</v>
      </c>
      <c r="P364" s="35">
        <f t="shared" si="27"/>
        <v>60.878906249999993</v>
      </c>
      <c r="Q364" s="35">
        <v>0</v>
      </c>
      <c r="R364" s="35">
        <f t="shared" si="28"/>
        <v>100</v>
      </c>
    </row>
    <row r="365" spans="1:18" x14ac:dyDescent="0.3">
      <c r="A365" s="35" t="s">
        <v>261</v>
      </c>
      <c r="B365" s="35">
        <v>2.0499999999999998</v>
      </c>
      <c r="C365" s="35">
        <v>1850</v>
      </c>
      <c r="D365" s="35" t="s">
        <v>262</v>
      </c>
      <c r="E365" s="36" cm="1">
        <f t="array" ref="E365">GetNumber(D365,1)+(GetNumber(D365,2)/100)</f>
        <v>4.75</v>
      </c>
      <c r="F365" s="36" cm="1">
        <f t="array" ref="F365">GetNumber(D365,3)+(GetNumber(D365,4)/100)</f>
        <v>5.05</v>
      </c>
      <c r="G365" s="35">
        <v>11.1</v>
      </c>
      <c r="H365" s="35">
        <v>17615</v>
      </c>
      <c r="I365" s="35">
        <f>11.26*($T$2)</f>
        <v>22.52</v>
      </c>
      <c r="J365" s="35">
        <f>125*($T$2)</f>
        <v>250</v>
      </c>
      <c r="K365" s="35">
        <f t="shared" si="25"/>
        <v>23.975999999999999</v>
      </c>
      <c r="L365" s="35">
        <f t="shared" si="26"/>
        <v>23.978685612788631</v>
      </c>
      <c r="M365" s="35">
        <f>0.609*($T$2)</f>
        <v>1.218</v>
      </c>
      <c r="N365" s="35">
        <v>134.5</v>
      </c>
      <c r="O365" s="35">
        <f t="shared" si="24"/>
        <v>0.48719999999999997</v>
      </c>
      <c r="P365" s="35">
        <f t="shared" si="27"/>
        <v>29.202767999999999</v>
      </c>
      <c r="Q365" s="35">
        <f>('Batt Capacity and Sys Weight'!$I$2) + (B365*$T$2)</f>
        <v>34.933</v>
      </c>
      <c r="R365" s="35">
        <f>'Batt Capacity and Sys Weight'!$H$2</f>
        <v>99.9</v>
      </c>
    </row>
    <row r="366" spans="1:18" x14ac:dyDescent="0.3">
      <c r="A366" s="35" t="s">
        <v>261</v>
      </c>
      <c r="B366" s="35">
        <v>2.0499999999999998</v>
      </c>
      <c r="C366" s="35">
        <v>1850</v>
      </c>
      <c r="D366" s="35" t="s">
        <v>263</v>
      </c>
      <c r="E366" s="36" t="str" cm="1">
        <f t="array" ref="E366">GetNumber(D366,1)</f>
        <v>5</v>
      </c>
      <c r="F366" s="36" t="str" cm="1">
        <f t="array" ref="F366">GetNumber(D366,2)</f>
        <v>5</v>
      </c>
      <c r="G366" s="35">
        <v>11.1</v>
      </c>
      <c r="H366" s="35">
        <v>17582</v>
      </c>
      <c r="I366" s="35">
        <f>11.37*($T$2)</f>
        <v>22.74</v>
      </c>
      <c r="J366" s="35">
        <f>126.2*($T$2)</f>
        <v>252.4</v>
      </c>
      <c r="K366" s="35">
        <f t="shared" si="25"/>
        <v>23.748019017432647</v>
      </c>
      <c r="L366" s="35">
        <f t="shared" si="26"/>
        <v>23.746701846965699</v>
      </c>
      <c r="M366" s="35">
        <f>0.674*($T$2)</f>
        <v>1.3480000000000001</v>
      </c>
      <c r="N366" s="35">
        <v>122</v>
      </c>
      <c r="O366" s="35">
        <f t="shared" si="24"/>
        <v>0.53407290015847864</v>
      </c>
      <c r="P366" s="35">
        <f t="shared" si="27"/>
        <v>32.012329635499206</v>
      </c>
      <c r="Q366" s="35">
        <f>('Batt Capacity and Sys Weight'!$I$2) + (B366*$T$2)</f>
        <v>34.933</v>
      </c>
      <c r="R366" s="35">
        <f>'Batt Capacity and Sys Weight'!$H$2</f>
        <v>99.9</v>
      </c>
    </row>
    <row r="367" spans="1:18" x14ac:dyDescent="0.3">
      <c r="A367" s="35" t="s">
        <v>261</v>
      </c>
      <c r="B367" s="35">
        <v>2.0499999999999998</v>
      </c>
      <c r="C367" s="35">
        <v>1850</v>
      </c>
      <c r="D367" s="35" t="s">
        <v>264</v>
      </c>
      <c r="E367" s="36">
        <v>5.25</v>
      </c>
      <c r="F367" s="36">
        <v>4.75</v>
      </c>
      <c r="G367" s="35">
        <v>11.1</v>
      </c>
      <c r="H367" s="35">
        <v>17323</v>
      </c>
      <c r="I367" s="35">
        <f>12.48*($T$2)</f>
        <v>24.96</v>
      </c>
      <c r="J367" s="35">
        <f>138.5*($T$2)</f>
        <v>277</v>
      </c>
      <c r="K367" s="35">
        <f t="shared" si="25"/>
        <v>21.638989169675092</v>
      </c>
      <c r="L367" s="35">
        <f t="shared" si="26"/>
        <v>21.634615384615383</v>
      </c>
      <c r="M367" s="35">
        <f>0.95*($T$2)</f>
        <v>1.9</v>
      </c>
      <c r="N367" s="35">
        <v>114.3</v>
      </c>
      <c r="O367" s="35">
        <f t="shared" si="24"/>
        <v>0.6859205776173285</v>
      </c>
      <c r="P367" s="35">
        <f t="shared" si="27"/>
        <v>41.114079422382673</v>
      </c>
      <c r="Q367" s="35">
        <f>('Batt Capacity and Sys Weight'!$I$2) + (B367*$T$2)</f>
        <v>34.933</v>
      </c>
      <c r="R367" s="35">
        <f>'Batt Capacity and Sys Weight'!$H$2</f>
        <v>99.9</v>
      </c>
    </row>
    <row r="368" spans="1:18" x14ac:dyDescent="0.3">
      <c r="A368" s="35" t="s">
        <v>261</v>
      </c>
      <c r="B368" s="35">
        <v>2.0499999999999998</v>
      </c>
      <c r="C368" s="35">
        <v>1850</v>
      </c>
      <c r="D368" s="35" t="s">
        <v>265</v>
      </c>
      <c r="E368" s="36" cm="1">
        <f t="array" ref="E368">GetNumber(D368, 1) + (GetNumber(D368, 2)/10)</f>
        <v>5.5</v>
      </c>
      <c r="F368" s="36" cm="1">
        <f t="array" ref="F368">GetNumber(D368, 3) + (GetNumber(D368, 4)/10)</f>
        <v>4.5</v>
      </c>
      <c r="G368" s="35">
        <v>11.1</v>
      </c>
      <c r="H368" s="35">
        <v>17188</v>
      </c>
      <c r="I368" s="35">
        <f>12.97*($T$2)</f>
        <v>25.94</v>
      </c>
      <c r="J368" s="35">
        <f>143.9*($T$2)</f>
        <v>287.8</v>
      </c>
      <c r="K368" s="35">
        <f t="shared" si="25"/>
        <v>20.82696316886727</v>
      </c>
      <c r="L368" s="35">
        <f t="shared" si="26"/>
        <v>20.817270624518116</v>
      </c>
      <c r="M368" s="35">
        <f>0.981*($T$2)</f>
        <v>1.962</v>
      </c>
      <c r="N368" s="35">
        <v>107.4</v>
      </c>
      <c r="O368" s="35">
        <f t="shared" si="24"/>
        <v>0.68172341904100064</v>
      </c>
      <c r="P368" s="35">
        <f t="shared" si="27"/>
        <v>40.862501737317579</v>
      </c>
      <c r="Q368" s="35">
        <f>('Batt Capacity and Sys Weight'!$I$2) + (B368*$T$2)</f>
        <v>34.933</v>
      </c>
      <c r="R368" s="35">
        <f>'Batt Capacity and Sys Weight'!$H$2</f>
        <v>99.9</v>
      </c>
    </row>
    <row r="369" spans="1:18" x14ac:dyDescent="0.3">
      <c r="A369" s="35" t="s">
        <v>261</v>
      </c>
      <c r="B369" s="35">
        <v>2.0499999999999998</v>
      </c>
      <c r="C369" s="35">
        <v>1850</v>
      </c>
      <c r="D369" s="35" t="s">
        <v>159</v>
      </c>
      <c r="E369" s="36" t="str" cm="1">
        <f t="array" ref="E369">GetNumber(D369,1)</f>
        <v>6</v>
      </c>
      <c r="F369" s="36" t="str" cm="1">
        <f t="array" ref="F369">GetNumber(D369,2)</f>
        <v>4</v>
      </c>
      <c r="G369" s="35">
        <v>11.1</v>
      </c>
      <c r="H369" s="35">
        <v>16781</v>
      </c>
      <c r="I369" s="35">
        <f>14.51*($T$2)</f>
        <v>29.02</v>
      </c>
      <c r="J369" s="35">
        <f>161.1*($T$2)</f>
        <v>322.2</v>
      </c>
      <c r="K369" s="35">
        <f t="shared" si="25"/>
        <v>18.603351955307264</v>
      </c>
      <c r="L369" s="35">
        <f t="shared" si="26"/>
        <v>18.607856650585802</v>
      </c>
      <c r="M369" s="35">
        <f>1.316*($T$2)</f>
        <v>2.6320000000000001</v>
      </c>
      <c r="N369" s="35">
        <v>93.3</v>
      </c>
      <c r="O369" s="35">
        <f t="shared" si="24"/>
        <v>0.81688392302917445</v>
      </c>
      <c r="P369" s="35">
        <f t="shared" si="27"/>
        <v>48.964022346368722</v>
      </c>
      <c r="Q369" s="35">
        <f>('Batt Capacity and Sys Weight'!$I$2) + (B369*$T$2)</f>
        <v>34.933</v>
      </c>
      <c r="R369" s="35">
        <f>'Batt Capacity and Sys Weight'!$H$2</f>
        <v>99.9</v>
      </c>
    </row>
    <row r="370" spans="1:18" x14ac:dyDescent="0.3">
      <c r="A370" s="35" t="s">
        <v>266</v>
      </c>
      <c r="B370" s="35">
        <v>1.59</v>
      </c>
      <c r="C370" s="35">
        <v>1280</v>
      </c>
      <c r="D370" s="35" t="s">
        <v>127</v>
      </c>
      <c r="E370" s="36" t="str" cm="1">
        <f t="array" ref="E370">GetNumber(D370,1)</f>
        <v>8</v>
      </c>
      <c r="F370" s="36" t="str" cm="1">
        <f t="array" ref="F370">GetNumber(D370,2)</f>
        <v>6</v>
      </c>
      <c r="G370" s="35">
        <v>7.4</v>
      </c>
      <c r="H370" s="35">
        <v>6684</v>
      </c>
      <c r="I370" s="35">
        <f>7.85*($T$2)</f>
        <v>15.7</v>
      </c>
      <c r="J370" s="35">
        <f>58.1*($T$2)</f>
        <v>116.2</v>
      </c>
      <c r="K370" s="35">
        <f t="shared" si="25"/>
        <v>51.635111876075733</v>
      </c>
      <c r="L370" s="35">
        <f t="shared" si="26"/>
        <v>51.644000688586672</v>
      </c>
      <c r="M370" s="35">
        <f>0.753*($T$2)</f>
        <v>1.506</v>
      </c>
      <c r="N370" s="35">
        <v>55.7</v>
      </c>
      <c r="O370" s="35">
        <f t="shared" si="24"/>
        <v>1.2960413080895008</v>
      </c>
      <c r="P370" s="35">
        <f t="shared" si="27"/>
        <v>77.762478485370053</v>
      </c>
      <c r="Q370" s="35">
        <v>0</v>
      </c>
      <c r="R370" s="35">
        <f t="shared" ref="R370:R394" si="29">$T$1</f>
        <v>100</v>
      </c>
    </row>
    <row r="371" spans="1:18" x14ac:dyDescent="0.3">
      <c r="A371" s="35" t="s">
        <v>266</v>
      </c>
      <c r="B371" s="35">
        <v>1.59</v>
      </c>
      <c r="C371" s="35">
        <v>1280</v>
      </c>
      <c r="D371" s="35" t="s">
        <v>184</v>
      </c>
      <c r="E371" s="36" t="str" cm="1">
        <f t="array" ref="E371">GetNumber(D371,1)</f>
        <v>8</v>
      </c>
      <c r="F371" s="36" t="str" cm="1">
        <f t="array" ref="F371">GetNumber(D371,2)</f>
        <v>6</v>
      </c>
      <c r="G371" s="35">
        <v>7.4</v>
      </c>
      <c r="H371" s="35">
        <v>6228</v>
      </c>
      <c r="I371" s="35">
        <f>9.18*($T$2)</f>
        <v>18.36</v>
      </c>
      <c r="J371" s="35">
        <f>67.9*($T$2)</f>
        <v>135.80000000000001</v>
      </c>
      <c r="K371" s="35">
        <f t="shared" si="25"/>
        <v>44.18262150220913</v>
      </c>
      <c r="L371" s="35">
        <f t="shared" si="26"/>
        <v>44.161808867691221</v>
      </c>
      <c r="M371" s="35">
        <f>0.854*($T$2)</f>
        <v>1.708</v>
      </c>
      <c r="N371" s="35">
        <v>51.9</v>
      </c>
      <c r="O371" s="35">
        <f t="shared" si="24"/>
        <v>1.2577319587628863</v>
      </c>
      <c r="P371" s="35">
        <f t="shared" si="27"/>
        <v>75.463917525773198</v>
      </c>
      <c r="Q371" s="35">
        <v>0</v>
      </c>
      <c r="R371" s="35">
        <f t="shared" si="29"/>
        <v>100</v>
      </c>
    </row>
    <row r="372" spans="1:18" x14ac:dyDescent="0.3">
      <c r="A372" s="35" t="s">
        <v>266</v>
      </c>
      <c r="B372" s="35">
        <v>1.59</v>
      </c>
      <c r="C372" s="35">
        <v>1280</v>
      </c>
      <c r="D372" s="35" t="s">
        <v>128</v>
      </c>
      <c r="E372" s="36" t="str" cm="1">
        <f t="array" ref="E372">GetNumber(D372,1)</f>
        <v>8</v>
      </c>
      <c r="F372" s="36" t="str" cm="1">
        <f t="array" ref="F372">GetNumber(D372,2)</f>
        <v>8</v>
      </c>
      <c r="G372" s="35">
        <v>7.4</v>
      </c>
      <c r="H372" s="35">
        <v>6006</v>
      </c>
      <c r="I372" s="35">
        <f>9.86*($T$2)</f>
        <v>19.72</v>
      </c>
      <c r="J372" s="35">
        <f>72.9*($T$2)</f>
        <v>145.80000000000001</v>
      </c>
      <c r="K372" s="35">
        <f t="shared" si="25"/>
        <v>41.152263374485592</v>
      </c>
      <c r="L372" s="35">
        <f t="shared" si="26"/>
        <v>41.11616687681596</v>
      </c>
      <c r="M372" s="35">
        <f>0.672*($T$2)</f>
        <v>1.3440000000000001</v>
      </c>
      <c r="N372" s="35">
        <v>66.7</v>
      </c>
      <c r="O372" s="35">
        <f t="shared" si="24"/>
        <v>0.92181069958847739</v>
      </c>
      <c r="P372" s="35">
        <f t="shared" si="27"/>
        <v>55.308641975308639</v>
      </c>
      <c r="Q372" s="35">
        <v>0</v>
      </c>
      <c r="R372" s="35">
        <f t="shared" si="29"/>
        <v>100</v>
      </c>
    </row>
    <row r="373" spans="1:18" x14ac:dyDescent="0.3">
      <c r="A373" s="35" t="s">
        <v>266</v>
      </c>
      <c r="B373" s="35">
        <v>1.59</v>
      </c>
      <c r="C373" s="35">
        <v>1280</v>
      </c>
      <c r="D373" s="35" t="s">
        <v>185</v>
      </c>
      <c r="E373" s="36" t="str" cm="1">
        <f t="array" ref="E373">GetNumber(D373,1)</f>
        <v>9</v>
      </c>
      <c r="F373" s="36" cm="1">
        <f t="array" ref="F373">GetNumber(D373,2)+(GetNumber(D373,3)/10)</f>
        <v>3.8</v>
      </c>
      <c r="G373" s="35">
        <v>7.4</v>
      </c>
      <c r="H373" s="35">
        <v>6629</v>
      </c>
      <c r="I373" s="35">
        <f>8.07*($T$2)</f>
        <v>16.14</v>
      </c>
      <c r="J373" s="35">
        <f>59.7*($T$2)</f>
        <v>119.4</v>
      </c>
      <c r="K373" s="35">
        <f t="shared" si="25"/>
        <v>50.251256281407031</v>
      </c>
      <c r="L373" s="35">
        <f t="shared" si="26"/>
        <v>50.236109715663609</v>
      </c>
      <c r="M373" s="35">
        <f>0.977*($T$2)</f>
        <v>1.954</v>
      </c>
      <c r="N373" s="35">
        <v>35.1</v>
      </c>
      <c r="O373" s="35">
        <f t="shared" si="24"/>
        <v>1.6365159128978224</v>
      </c>
      <c r="P373" s="35">
        <f t="shared" si="27"/>
        <v>98.190954773869336</v>
      </c>
      <c r="Q373" s="35">
        <v>0</v>
      </c>
      <c r="R373" s="35">
        <f t="shared" si="29"/>
        <v>100</v>
      </c>
    </row>
    <row r="374" spans="1:18" x14ac:dyDescent="0.3">
      <c r="A374" s="35" t="s">
        <v>266</v>
      </c>
      <c r="B374" s="35">
        <v>1.59</v>
      </c>
      <c r="C374" s="35">
        <v>1280</v>
      </c>
      <c r="D374" s="35" t="s">
        <v>129</v>
      </c>
      <c r="E374" s="36" t="str" cm="1">
        <f t="array" ref="E374">GetNumber(D374,1)</f>
        <v>9</v>
      </c>
      <c r="F374" s="36" cm="1">
        <f t="array" ref="F374">GetNumber(D374,2)+(GetNumber(D374,3)/10)</f>
        <v>4.5</v>
      </c>
      <c r="G374" s="35">
        <v>7.4</v>
      </c>
      <c r="H374" s="35">
        <v>6775</v>
      </c>
      <c r="I374" s="35">
        <f>7.67*($T$2)</f>
        <v>15.34</v>
      </c>
      <c r="J374" s="35">
        <f>56.8*($T$2)</f>
        <v>113.6</v>
      </c>
      <c r="K374" s="35">
        <f t="shared" si="25"/>
        <v>52.816901408450704</v>
      </c>
      <c r="L374" s="35">
        <f t="shared" si="26"/>
        <v>52.855985059374881</v>
      </c>
      <c r="M374" s="35">
        <f>0.959*($T$2)</f>
        <v>1.9179999999999999</v>
      </c>
      <c r="N374" s="35">
        <v>42.4</v>
      </c>
      <c r="O374" s="35">
        <f t="shared" si="24"/>
        <v>1.6883802816901408</v>
      </c>
      <c r="P374" s="35">
        <f t="shared" si="27"/>
        <v>101.30281690140845</v>
      </c>
      <c r="Q374" s="35">
        <v>0</v>
      </c>
      <c r="R374" s="35">
        <f t="shared" si="29"/>
        <v>100</v>
      </c>
    </row>
    <row r="375" spans="1:18" x14ac:dyDescent="0.3">
      <c r="A375" s="35" t="s">
        <v>266</v>
      </c>
      <c r="B375" s="35">
        <v>1.59</v>
      </c>
      <c r="C375" s="35">
        <v>1280</v>
      </c>
      <c r="D375" s="35" t="s">
        <v>186</v>
      </c>
      <c r="E375" s="36" t="str" cm="1">
        <f t="array" ref="E375">GetNumber(D375,1)</f>
        <v>9</v>
      </c>
      <c r="F375" s="36" cm="1">
        <f t="array" ref="F375">GetNumber(D375,2)+(GetNumber(D375,3)/10)</f>
        <v>4.7</v>
      </c>
      <c r="G375" s="35">
        <v>7.4</v>
      </c>
      <c r="H375" s="35">
        <v>6480</v>
      </c>
      <c r="I375" s="35">
        <f>8.5*($T$2)</f>
        <v>17</v>
      </c>
      <c r="J375" s="35">
        <f>62.9*($T$2)</f>
        <v>125.8</v>
      </c>
      <c r="K375" s="35">
        <f t="shared" si="25"/>
        <v>47.694753577106518</v>
      </c>
      <c r="L375" s="35">
        <f t="shared" si="26"/>
        <v>47.694753577106511</v>
      </c>
      <c r="M375" s="35">
        <f>1.013*($T$2)</f>
        <v>2.0259999999999998</v>
      </c>
      <c r="N375" s="35">
        <v>42.2</v>
      </c>
      <c r="O375" s="35">
        <f t="shared" si="24"/>
        <v>1.6104928457869632</v>
      </c>
      <c r="P375" s="35">
        <f t="shared" si="27"/>
        <v>96.629570747217798</v>
      </c>
      <c r="Q375" s="35">
        <v>0</v>
      </c>
      <c r="R375" s="35">
        <f t="shared" si="29"/>
        <v>100</v>
      </c>
    </row>
    <row r="376" spans="1:18" x14ac:dyDescent="0.3">
      <c r="A376" s="35" t="s">
        <v>266</v>
      </c>
      <c r="B376" s="35">
        <v>1.59</v>
      </c>
      <c r="C376" s="35">
        <v>1280</v>
      </c>
      <c r="D376" s="35" t="s">
        <v>107</v>
      </c>
      <c r="E376" s="36" t="str" cm="1">
        <f t="array" ref="E376">GetNumber(D376,1)</f>
        <v>9</v>
      </c>
      <c r="F376" s="36" t="str" cm="1">
        <f t="array" ref="F376">GetNumber(D376,2)</f>
        <v>6</v>
      </c>
      <c r="G376" s="35">
        <v>7.4</v>
      </c>
      <c r="H376" s="35">
        <v>6413</v>
      </c>
      <c r="I376" s="35">
        <f>8.69*($T$2)</f>
        <v>17.38</v>
      </c>
      <c r="J376" s="35">
        <f>64.3*($T$2)</f>
        <v>128.6</v>
      </c>
      <c r="K376" s="35">
        <f t="shared" si="25"/>
        <v>46.65629860031104</v>
      </c>
      <c r="L376" s="35">
        <f t="shared" si="26"/>
        <v>46.651945386122598</v>
      </c>
      <c r="M376" s="35">
        <f>0.944*($T$2)</f>
        <v>1.8879999999999999</v>
      </c>
      <c r="N376" s="35">
        <v>53.4</v>
      </c>
      <c r="O376" s="35">
        <f t="shared" si="24"/>
        <v>1.468118195956454</v>
      </c>
      <c r="P376" s="35">
        <f t="shared" si="27"/>
        <v>88.087091757387242</v>
      </c>
      <c r="Q376" s="35">
        <v>0</v>
      </c>
      <c r="R376" s="35">
        <f t="shared" si="29"/>
        <v>100</v>
      </c>
    </row>
    <row r="377" spans="1:18" x14ac:dyDescent="0.3">
      <c r="A377" s="35" t="s">
        <v>266</v>
      </c>
      <c r="B377" s="35">
        <v>1.59</v>
      </c>
      <c r="C377" s="35">
        <v>1280</v>
      </c>
      <c r="D377" s="35" t="s">
        <v>104</v>
      </c>
      <c r="E377" s="36" t="str" cm="1">
        <f t="array" ref="E377">GetNumber(D377,1)</f>
        <v>9</v>
      </c>
      <c r="F377" s="36" cm="1">
        <f t="array" ref="F377">GetNumber(D377,2)+(GetNumber(D377,3)/10)</f>
        <v>7.5</v>
      </c>
      <c r="G377" s="35">
        <v>7.4</v>
      </c>
      <c r="H377" s="35">
        <v>5538</v>
      </c>
      <c r="I377" s="35">
        <f>11.17*($T$2)</f>
        <v>22.34</v>
      </c>
      <c r="J377" s="35">
        <f>82.6*($T$2)</f>
        <v>165.2</v>
      </c>
      <c r="K377" s="35">
        <f t="shared" si="25"/>
        <v>36.319612590799032</v>
      </c>
      <c r="L377" s="35">
        <f t="shared" si="26"/>
        <v>36.294127610152671</v>
      </c>
      <c r="M377" s="35">
        <f>0.85*($T$2)</f>
        <v>1.7</v>
      </c>
      <c r="N377" s="35">
        <v>57.6</v>
      </c>
      <c r="O377" s="35">
        <f t="shared" si="24"/>
        <v>1.0290556900726393</v>
      </c>
      <c r="P377" s="35">
        <f t="shared" si="27"/>
        <v>61.743341404358354</v>
      </c>
      <c r="Q377" s="35">
        <v>0</v>
      </c>
      <c r="R377" s="35">
        <f t="shared" si="29"/>
        <v>100</v>
      </c>
    </row>
    <row r="378" spans="1:18" x14ac:dyDescent="0.3">
      <c r="A378" s="35" t="s">
        <v>266</v>
      </c>
      <c r="B378" s="35">
        <v>1.59</v>
      </c>
      <c r="C378" s="35">
        <v>1280</v>
      </c>
      <c r="D378" s="35" t="s">
        <v>189</v>
      </c>
      <c r="E378" s="36" t="str" cm="1">
        <f t="array" ref="E378">GetNumber(D378,1)</f>
        <v>10</v>
      </c>
      <c r="F378" s="36" cm="1">
        <f t="array" ref="F378">GetNumber(D378,2)+(GetNumber(D378,3)/10)</f>
        <v>3.8</v>
      </c>
      <c r="G378" s="35">
        <v>7.4</v>
      </c>
      <c r="H378" s="35">
        <v>5663</v>
      </c>
      <c r="I378" s="35">
        <f>10.7*($T$2)</f>
        <v>21.4</v>
      </c>
      <c r="J378" s="35">
        <f>79.2*($T$2)</f>
        <v>158.4</v>
      </c>
      <c r="K378" s="35">
        <f t="shared" si="25"/>
        <v>37.878787878787875</v>
      </c>
      <c r="L378" s="35">
        <f t="shared" si="26"/>
        <v>37.888355645364989</v>
      </c>
      <c r="M378" s="35">
        <f>1.171*($T$2)</f>
        <v>2.3420000000000001</v>
      </c>
      <c r="N378" s="35">
        <v>29.9</v>
      </c>
      <c r="O378" s="35">
        <f t="shared" si="24"/>
        <v>1.4785353535353536</v>
      </c>
      <c r="P378" s="35">
        <f t="shared" si="27"/>
        <v>88.712121212121204</v>
      </c>
      <c r="Q378" s="35">
        <v>0</v>
      </c>
      <c r="R378" s="35">
        <f t="shared" si="29"/>
        <v>100</v>
      </c>
    </row>
    <row r="379" spans="1:18" x14ac:dyDescent="0.3">
      <c r="A379" s="35" t="s">
        <v>266</v>
      </c>
      <c r="B379" s="35">
        <v>1.59</v>
      </c>
      <c r="C379" s="35">
        <v>1280</v>
      </c>
      <c r="D379" s="35" t="s">
        <v>99</v>
      </c>
      <c r="E379" s="36" t="str" cm="1">
        <f t="array" ref="E379">GetNumber(D379,1)</f>
        <v>10</v>
      </c>
      <c r="F379" s="36" t="str" cm="1">
        <f t="array" ref="F379">GetNumber(D379,2)</f>
        <v>5</v>
      </c>
      <c r="G379" s="35">
        <v>7.4</v>
      </c>
      <c r="H379" s="35">
        <v>6085</v>
      </c>
      <c r="I379" s="35">
        <f>9.53*($T$2)</f>
        <v>19.059999999999999</v>
      </c>
      <c r="J379" s="35">
        <f>70.5*($T$2)</f>
        <v>141</v>
      </c>
      <c r="K379" s="35">
        <f t="shared" si="25"/>
        <v>42.553191489361701</v>
      </c>
      <c r="L379" s="35">
        <f t="shared" si="26"/>
        <v>42.539916621763425</v>
      </c>
      <c r="M379" s="35">
        <f>1.094*($T$2)</f>
        <v>2.1880000000000002</v>
      </c>
      <c r="N379" s="35">
        <v>42.2</v>
      </c>
      <c r="O379" s="35">
        <f t="shared" si="24"/>
        <v>1.5517730496453903</v>
      </c>
      <c r="P379" s="35">
        <f t="shared" si="27"/>
        <v>93.106382978723403</v>
      </c>
      <c r="Q379" s="35">
        <v>0</v>
      </c>
      <c r="R379" s="35">
        <f t="shared" si="29"/>
        <v>100</v>
      </c>
    </row>
    <row r="380" spans="1:18" x14ac:dyDescent="0.3">
      <c r="A380" s="35" t="s">
        <v>266</v>
      </c>
      <c r="B380" s="35">
        <v>1.59</v>
      </c>
      <c r="C380" s="35">
        <v>1280</v>
      </c>
      <c r="D380" s="35" t="s">
        <v>67</v>
      </c>
      <c r="E380" s="36" t="str" cm="1">
        <f t="array" ref="E380">GetNumber(D380,1)</f>
        <v>10</v>
      </c>
      <c r="F380" s="36" t="str" cm="1">
        <f t="array" ref="F380">GetNumber(D380,2)</f>
        <v>6</v>
      </c>
      <c r="G380" s="35">
        <v>7.4</v>
      </c>
      <c r="H380" s="35">
        <v>5765</v>
      </c>
      <c r="I380" s="35">
        <f>10.4*($T$2)</f>
        <v>20.8</v>
      </c>
      <c r="J380" s="35">
        <f>77*($T$2)</f>
        <v>154</v>
      </c>
      <c r="K380" s="35">
        <f t="shared" si="25"/>
        <v>38.961038961038959</v>
      </c>
      <c r="L380" s="35">
        <f t="shared" si="26"/>
        <v>38.981288981288976</v>
      </c>
      <c r="M380" s="35">
        <f>1.112*($T$2)</f>
        <v>2.2240000000000002</v>
      </c>
      <c r="N380" s="35">
        <v>48.1</v>
      </c>
      <c r="O380" s="35">
        <f t="shared" si="24"/>
        <v>1.4441558441558442</v>
      </c>
      <c r="P380" s="35">
        <f t="shared" si="27"/>
        <v>86.649350649350652</v>
      </c>
      <c r="Q380" s="35">
        <v>0</v>
      </c>
      <c r="R380" s="35">
        <f t="shared" si="29"/>
        <v>100</v>
      </c>
    </row>
    <row r="381" spans="1:18" x14ac:dyDescent="0.3">
      <c r="A381" s="35" t="s">
        <v>266</v>
      </c>
      <c r="B381" s="35">
        <v>1.59</v>
      </c>
      <c r="C381" s="35">
        <v>1280</v>
      </c>
      <c r="D381" s="35" t="s">
        <v>267</v>
      </c>
      <c r="E381" s="36" t="str" cm="1">
        <f t="array" ref="E381">GetNumber(D381,1)</f>
        <v>8</v>
      </c>
      <c r="F381" s="36" cm="1">
        <f t="array" ref="F381">GetNumber(D381,2)+(GetNumber(D381,3)/10)</f>
        <v>4.5</v>
      </c>
      <c r="G381" s="35">
        <v>7.4</v>
      </c>
      <c r="H381" s="35">
        <v>6580</v>
      </c>
      <c r="I381" s="35">
        <f>7.65*($T$2)</f>
        <v>15.3</v>
      </c>
      <c r="J381" s="35">
        <f>56.6*($T$2)</f>
        <v>113.2</v>
      </c>
      <c r="K381" s="35">
        <f t="shared" si="25"/>
        <v>53.003533568904594</v>
      </c>
      <c r="L381" s="35">
        <f t="shared" si="26"/>
        <v>52.994170641229459</v>
      </c>
      <c r="M381" s="35">
        <f>0.872*($T$2)</f>
        <v>1.744</v>
      </c>
      <c r="N381" s="35">
        <v>41.1</v>
      </c>
      <c r="O381" s="35">
        <f t="shared" si="24"/>
        <v>1.5406360424028269</v>
      </c>
      <c r="P381" s="35">
        <f t="shared" si="27"/>
        <v>92.438162544169614</v>
      </c>
      <c r="Q381" s="35">
        <v>0</v>
      </c>
      <c r="R381" s="35">
        <f t="shared" si="29"/>
        <v>100</v>
      </c>
    </row>
    <row r="382" spans="1:18" x14ac:dyDescent="0.3">
      <c r="A382" s="35" t="s">
        <v>266</v>
      </c>
      <c r="B382" s="35">
        <v>1.59</v>
      </c>
      <c r="C382" s="35">
        <v>1280</v>
      </c>
      <c r="D382" s="35" t="s">
        <v>268</v>
      </c>
      <c r="E382" s="36">
        <v>9</v>
      </c>
      <c r="F382" s="36">
        <v>4.7</v>
      </c>
      <c r="G382" s="35">
        <v>7.4</v>
      </c>
      <c r="H382" s="35">
        <v>6316</v>
      </c>
      <c r="I382" s="35">
        <f>8.93*($T$2)</f>
        <v>17.86</v>
      </c>
      <c r="J382" s="35">
        <f>66.1*($T$2)</f>
        <v>132.19999999999999</v>
      </c>
      <c r="K382" s="35">
        <f t="shared" si="25"/>
        <v>45.385779122541607</v>
      </c>
      <c r="L382" s="35">
        <f t="shared" si="26"/>
        <v>45.398141702732964</v>
      </c>
      <c r="M382" s="35">
        <f>1.03*($T$2)</f>
        <v>2.06</v>
      </c>
      <c r="N382" s="35">
        <v>41.2</v>
      </c>
      <c r="O382" s="35">
        <f t="shared" si="24"/>
        <v>1.5582450832072618</v>
      </c>
      <c r="P382" s="35">
        <f t="shared" si="27"/>
        <v>93.494704992435715</v>
      </c>
      <c r="Q382" s="35">
        <v>0</v>
      </c>
      <c r="R382" s="35">
        <f t="shared" si="29"/>
        <v>100</v>
      </c>
    </row>
    <row r="383" spans="1:18" x14ac:dyDescent="0.3">
      <c r="A383" s="35" t="s">
        <v>266</v>
      </c>
      <c r="B383" s="35">
        <v>1.59</v>
      </c>
      <c r="C383" s="35">
        <v>1280</v>
      </c>
      <c r="D383" s="35" t="s">
        <v>269</v>
      </c>
      <c r="E383" s="36" t="str" cm="1">
        <f t="array" ref="E383">GetNumber(D383,1)</f>
        <v>9</v>
      </c>
      <c r="F383" s="36" cm="1">
        <f t="array" ref="F383">GetNumber(D383,2)+(GetNumber(D383,3)/10)</f>
        <v>4.7</v>
      </c>
      <c r="G383" s="35">
        <v>7.4</v>
      </c>
      <c r="H383" s="35">
        <v>6265</v>
      </c>
      <c r="I383" s="35">
        <f>8.64*($T$2)</f>
        <v>17.28</v>
      </c>
      <c r="J383" s="35">
        <f>64*($T$2)</f>
        <v>128</v>
      </c>
      <c r="K383" s="35">
        <f t="shared" si="25"/>
        <v>46.875</v>
      </c>
      <c r="L383" s="35">
        <f t="shared" si="26"/>
        <v>46.921921921921914</v>
      </c>
      <c r="M383" s="35">
        <f>1.012*($T$2)</f>
        <v>2.024</v>
      </c>
      <c r="N383" s="35">
        <v>40.9</v>
      </c>
      <c r="O383" s="35">
        <f t="shared" si="24"/>
        <v>1.58125</v>
      </c>
      <c r="P383" s="35">
        <f t="shared" si="27"/>
        <v>94.875</v>
      </c>
      <c r="Q383" s="35">
        <v>0</v>
      </c>
      <c r="R383" s="35">
        <f t="shared" si="29"/>
        <v>100</v>
      </c>
    </row>
    <row r="384" spans="1:18" x14ac:dyDescent="0.3">
      <c r="A384" s="35" t="s">
        <v>266</v>
      </c>
      <c r="B384" s="35">
        <v>1.59</v>
      </c>
      <c r="C384" s="35">
        <v>1280</v>
      </c>
      <c r="D384" s="35" t="s">
        <v>270</v>
      </c>
      <c r="E384" s="36" t="str" cm="1">
        <f t="array" ref="E384">GetNumber(D384,1)</f>
        <v>8</v>
      </c>
      <c r="F384" s="36" t="str" cm="1">
        <f t="array" ref="F384">GetNumber(D384,2)</f>
        <v>6</v>
      </c>
      <c r="G384" s="35">
        <v>7.4</v>
      </c>
      <c r="H384" s="35">
        <v>6886</v>
      </c>
      <c r="I384" s="35">
        <f>7.36*($T$2)</f>
        <v>14.72</v>
      </c>
      <c r="J384" s="35">
        <f>54.5*($T$2)</f>
        <v>109</v>
      </c>
      <c r="K384" s="35">
        <f t="shared" si="25"/>
        <v>55.045871559633028</v>
      </c>
      <c r="L384" s="35">
        <f t="shared" si="26"/>
        <v>55.082256169212684</v>
      </c>
      <c r="M384" s="35">
        <f>0.75*($T$2)</f>
        <v>1.5</v>
      </c>
      <c r="N384" s="35">
        <v>57.3</v>
      </c>
      <c r="O384" s="35">
        <f t="shared" si="24"/>
        <v>1.3761467889908259</v>
      </c>
      <c r="P384" s="35">
        <f t="shared" si="27"/>
        <v>82.568807339449535</v>
      </c>
      <c r="Q384" s="35">
        <v>0</v>
      </c>
      <c r="R384" s="35">
        <f t="shared" si="29"/>
        <v>100</v>
      </c>
    </row>
    <row r="385" spans="1:18" x14ac:dyDescent="0.3">
      <c r="A385" s="35" t="s">
        <v>266</v>
      </c>
      <c r="B385" s="35">
        <v>1.59</v>
      </c>
      <c r="C385" s="35">
        <v>1280</v>
      </c>
      <c r="D385" s="35" t="s">
        <v>184</v>
      </c>
      <c r="E385" s="36" t="str" cm="1">
        <f t="array" ref="E385">GetNumber(D385,1)</f>
        <v>8</v>
      </c>
      <c r="F385" s="36" t="str" cm="1">
        <f t="array" ref="F385">GetNumber(D385,2)</f>
        <v>6</v>
      </c>
      <c r="G385" s="35">
        <v>7.4</v>
      </c>
      <c r="H385" s="35">
        <v>6659</v>
      </c>
      <c r="I385" s="35">
        <f>7.96*($T$2)</f>
        <v>15.92</v>
      </c>
      <c r="J385" s="35">
        <f>58.9*($T$2)</f>
        <v>117.8</v>
      </c>
      <c r="K385" s="35">
        <f t="shared" si="25"/>
        <v>50.933786078098471</v>
      </c>
      <c r="L385" s="35">
        <f t="shared" si="26"/>
        <v>50.930327312236855</v>
      </c>
      <c r="M385" s="35">
        <f>0.851*($T$2)</f>
        <v>1.702</v>
      </c>
      <c r="N385" s="35">
        <v>55.4</v>
      </c>
      <c r="O385" s="35">
        <f t="shared" si="24"/>
        <v>1.4448217317487266</v>
      </c>
      <c r="P385" s="35">
        <f t="shared" si="27"/>
        <v>86.689303904923591</v>
      </c>
      <c r="Q385" s="35">
        <v>0</v>
      </c>
      <c r="R385" s="35">
        <f t="shared" si="29"/>
        <v>100</v>
      </c>
    </row>
    <row r="386" spans="1:18" x14ac:dyDescent="0.3">
      <c r="A386" s="35" t="s">
        <v>266</v>
      </c>
      <c r="B386" s="35">
        <v>1.59</v>
      </c>
      <c r="C386" s="35">
        <v>1280</v>
      </c>
      <c r="D386" s="35" t="s">
        <v>186</v>
      </c>
      <c r="E386" s="36" t="str" cm="1">
        <f t="array" ref="E386">GetNumber(D386,1)</f>
        <v>9</v>
      </c>
      <c r="F386" s="36" cm="1">
        <f t="array" ref="F386">GetNumber(D386,2)+(GetNumber(D386,3)/10)</f>
        <v>4.7</v>
      </c>
      <c r="G386" s="35">
        <v>7.4</v>
      </c>
      <c r="H386" s="35">
        <v>6342</v>
      </c>
      <c r="I386" s="35">
        <f>8.86*($T$2)</f>
        <v>17.72</v>
      </c>
      <c r="J386" s="35">
        <f>65.6*($T$2)</f>
        <v>131.19999999999999</v>
      </c>
      <c r="K386" s="35">
        <f t="shared" si="25"/>
        <v>45.731707317073173</v>
      </c>
      <c r="L386" s="35">
        <f t="shared" si="26"/>
        <v>45.75681776584711</v>
      </c>
      <c r="M386" s="35">
        <f>1.035*($T$2)</f>
        <v>2.0699999999999998</v>
      </c>
      <c r="N386" s="35">
        <v>41.4</v>
      </c>
      <c r="O386" s="35">
        <f t="shared" ref="O386:O449" si="30" xml:space="preserve"> (M386/J386)*100</f>
        <v>1.5777439024390243</v>
      </c>
      <c r="P386" s="35">
        <f t="shared" si="27"/>
        <v>94.664634146341456</v>
      </c>
      <c r="Q386" s="35">
        <v>0</v>
      </c>
      <c r="R386" s="35">
        <f t="shared" si="29"/>
        <v>100</v>
      </c>
    </row>
    <row r="387" spans="1:18" x14ac:dyDescent="0.3">
      <c r="A387" s="35" t="s">
        <v>266</v>
      </c>
      <c r="B387" s="35">
        <v>1.59</v>
      </c>
      <c r="C387" s="35">
        <v>1280</v>
      </c>
      <c r="D387" s="35" t="s">
        <v>236</v>
      </c>
      <c r="E387" s="36" t="str" cm="1">
        <f t="array" ref="E387">GetNumber(D387,1)</f>
        <v>9</v>
      </c>
      <c r="F387" s="36" t="str" cm="1">
        <f t="array" ref="F387">GetNumber(D387,2)</f>
        <v>5</v>
      </c>
      <c r="G387" s="35">
        <v>7.4</v>
      </c>
      <c r="H387" s="35">
        <v>6783</v>
      </c>
      <c r="I387" s="35">
        <f>7.61*($T$2)</f>
        <v>15.22</v>
      </c>
      <c r="J387" s="35">
        <f>56.3*($T$2)</f>
        <v>112.6</v>
      </c>
      <c r="K387" s="35">
        <f t="shared" ref="K387:K450" si="31" xml:space="preserve"> (R387/J387)*60</f>
        <v>53.285968028419184</v>
      </c>
      <c r="L387" s="35">
        <f t="shared" ref="L387:L450" si="32">( (R387/G387)/I387)*60</f>
        <v>53.272720815427775</v>
      </c>
      <c r="M387" s="35">
        <f>0.977*($T$2)</f>
        <v>1.954</v>
      </c>
      <c r="N387" s="35">
        <v>47.1</v>
      </c>
      <c r="O387" s="35">
        <f t="shared" si="30"/>
        <v>1.7353463587921847</v>
      </c>
      <c r="P387" s="35">
        <f t="shared" si="27"/>
        <v>104.12078152753108</v>
      </c>
      <c r="Q387" s="35">
        <v>0</v>
      </c>
      <c r="R387" s="35">
        <f t="shared" si="29"/>
        <v>100</v>
      </c>
    </row>
    <row r="388" spans="1:18" x14ac:dyDescent="0.3">
      <c r="A388" s="35" t="s">
        <v>266</v>
      </c>
      <c r="B388" s="35">
        <v>1.59</v>
      </c>
      <c r="C388" s="35">
        <v>1280</v>
      </c>
      <c r="D388" s="35" t="s">
        <v>237</v>
      </c>
      <c r="E388" s="36" t="str" cm="1">
        <f t="array" ref="E388">GetNumber(D388,1)</f>
        <v>9</v>
      </c>
      <c r="F388" s="36" t="str" cm="1">
        <f t="array" ref="F388">GetNumber(D388,2)</f>
        <v>5</v>
      </c>
      <c r="G388" s="35">
        <v>7.4</v>
      </c>
      <c r="H388" s="35">
        <v>6315</v>
      </c>
      <c r="I388" s="35">
        <f>8.94*($T$2)</f>
        <v>17.88</v>
      </c>
      <c r="J388" s="35">
        <f>66.1*($T$2)</f>
        <v>132.19999999999999</v>
      </c>
      <c r="K388" s="35">
        <f t="shared" si="31"/>
        <v>45.385779122541607</v>
      </c>
      <c r="L388" s="35">
        <f t="shared" si="32"/>
        <v>45.347360783602397</v>
      </c>
      <c r="M388" s="35">
        <f>1.017*($T$2)</f>
        <v>2.0339999999999998</v>
      </c>
      <c r="N388" s="35">
        <v>43.9</v>
      </c>
      <c r="O388" s="35">
        <f t="shared" si="30"/>
        <v>1.5385779122541603</v>
      </c>
      <c r="P388" s="35">
        <f t="shared" si="27"/>
        <v>92.314674735249625</v>
      </c>
      <c r="Q388" s="35">
        <v>0</v>
      </c>
      <c r="R388" s="35">
        <f t="shared" si="29"/>
        <v>100</v>
      </c>
    </row>
    <row r="389" spans="1:18" x14ac:dyDescent="0.3">
      <c r="A389" s="35" t="s">
        <v>266</v>
      </c>
      <c r="B389" s="35">
        <v>1.59</v>
      </c>
      <c r="C389" s="35">
        <v>1280</v>
      </c>
      <c r="D389" s="35" t="s">
        <v>271</v>
      </c>
      <c r="E389" s="36" t="str" cm="1">
        <f t="array" ref="E389">GetNumber(D389,1)</f>
        <v>9</v>
      </c>
      <c r="F389" s="36" cm="1">
        <f t="array" ref="F389">GetNumber(D389,2)+(GetNumber(D389,3)/10)</f>
        <v>7.5</v>
      </c>
      <c r="G389" s="35">
        <v>7.4</v>
      </c>
      <c r="H389" s="35">
        <v>5758</v>
      </c>
      <c r="I389" s="35">
        <f>10.55*($T$2)</f>
        <v>21.1</v>
      </c>
      <c r="J389" s="35">
        <f>78.1*($T$2)</f>
        <v>156.19999999999999</v>
      </c>
      <c r="K389" s="35">
        <f t="shared" si="31"/>
        <v>38.4122919334187</v>
      </c>
      <c r="L389" s="35">
        <f t="shared" si="32"/>
        <v>38.427052645062119</v>
      </c>
      <c r="M389" s="35">
        <f>0.879*($T$2)</f>
        <v>1.758</v>
      </c>
      <c r="N389" s="35">
        <v>60</v>
      </c>
      <c r="O389" s="35">
        <f t="shared" si="30"/>
        <v>1.1254801536491676</v>
      </c>
      <c r="P389" s="35">
        <f t="shared" si="27"/>
        <v>67.528809218950073</v>
      </c>
      <c r="Q389" s="35">
        <v>0</v>
      </c>
      <c r="R389" s="35">
        <f t="shared" si="29"/>
        <v>100</v>
      </c>
    </row>
    <row r="390" spans="1:18" x14ac:dyDescent="0.3">
      <c r="A390" s="35" t="s">
        <v>266</v>
      </c>
      <c r="B390" s="35">
        <v>1.59</v>
      </c>
      <c r="C390" s="35">
        <v>1280</v>
      </c>
      <c r="D390" s="35" t="s">
        <v>238</v>
      </c>
      <c r="E390" s="36" t="str" cm="1">
        <f t="array" ref="E390">GetNumber(D390,1)</f>
        <v>10</v>
      </c>
      <c r="F390" s="36" t="str" cm="1">
        <f t="array" ref="F390">GetNumber(D390,2)</f>
        <v>6</v>
      </c>
      <c r="G390" s="35">
        <v>7.4</v>
      </c>
      <c r="H390" s="35">
        <v>6135</v>
      </c>
      <c r="I390" s="35">
        <f>9.41*($T$2)</f>
        <v>18.82</v>
      </c>
      <c r="J390" s="35">
        <f>69.6*($T$2)</f>
        <v>139.19999999999999</v>
      </c>
      <c r="K390" s="35">
        <f t="shared" si="31"/>
        <v>43.103448275862071</v>
      </c>
      <c r="L390" s="35">
        <f t="shared" si="32"/>
        <v>43.082402274750834</v>
      </c>
      <c r="M390" s="35">
        <f>1.096*($T$2)</f>
        <v>2.1920000000000002</v>
      </c>
      <c r="N390" s="35">
        <v>51.2</v>
      </c>
      <c r="O390" s="35">
        <f t="shared" si="30"/>
        <v>1.5747126436781611</v>
      </c>
      <c r="P390" s="35">
        <f t="shared" si="27"/>
        <v>94.482758620689665</v>
      </c>
      <c r="Q390" s="35">
        <v>0</v>
      </c>
      <c r="R390" s="35">
        <f t="shared" si="29"/>
        <v>100</v>
      </c>
    </row>
    <row r="391" spans="1:18" x14ac:dyDescent="0.3">
      <c r="A391" s="35" t="s">
        <v>266</v>
      </c>
      <c r="B391" s="35">
        <v>1.59</v>
      </c>
      <c r="C391" s="35">
        <v>1280</v>
      </c>
      <c r="D391" s="35" t="s">
        <v>272</v>
      </c>
      <c r="E391" s="36" t="str" cm="1">
        <f t="array" ref="E391">GetNumber(D391,1)</f>
        <v>10</v>
      </c>
      <c r="F391" s="36" t="str" cm="1">
        <f t="array" ref="F391">GetNumber(D391,2)</f>
        <v>6</v>
      </c>
      <c r="G391" s="35">
        <v>7.4</v>
      </c>
      <c r="H391" s="35">
        <v>5485</v>
      </c>
      <c r="I391" s="35">
        <f>11.17*($T$2)</f>
        <v>22.34</v>
      </c>
      <c r="J391" s="35">
        <f>82.7*($T$2)</f>
        <v>165.4</v>
      </c>
      <c r="K391" s="35">
        <f t="shared" si="31"/>
        <v>36.275695284159617</v>
      </c>
      <c r="L391" s="35">
        <f t="shared" si="32"/>
        <v>36.294127610152671</v>
      </c>
      <c r="M391" s="35">
        <f>1.18*($T$2)</f>
        <v>2.36</v>
      </c>
      <c r="N391" s="35">
        <v>45.8</v>
      </c>
      <c r="O391" s="35">
        <f t="shared" si="30"/>
        <v>1.4268440145102779</v>
      </c>
      <c r="P391" s="35">
        <f t="shared" si="27"/>
        <v>85.610640870616692</v>
      </c>
      <c r="Q391" s="35">
        <v>0</v>
      </c>
      <c r="R391" s="35">
        <f t="shared" si="29"/>
        <v>100</v>
      </c>
    </row>
    <row r="392" spans="1:18" x14ac:dyDescent="0.3">
      <c r="A392" s="35" t="s">
        <v>266</v>
      </c>
      <c r="B392" s="35">
        <v>1.59</v>
      </c>
      <c r="C392" s="35">
        <v>1280</v>
      </c>
      <c r="D392" s="35" t="s">
        <v>145</v>
      </c>
      <c r="E392" s="36" t="str" cm="1">
        <f t="array" ref="E392">GetNumber(D392,1)</f>
        <v>8</v>
      </c>
      <c r="F392" s="36" t="str" cm="1">
        <f t="array" ref="F392">GetNumber(D392,2)</f>
        <v>6</v>
      </c>
      <c r="G392" s="35">
        <v>7.4</v>
      </c>
      <c r="H392" s="35">
        <v>6480</v>
      </c>
      <c r="I392" s="35">
        <f>8.47*($T$2)</f>
        <v>16.940000000000001</v>
      </c>
      <c r="J392" s="35">
        <f>62.7*($T$2)</f>
        <v>125.4</v>
      </c>
      <c r="K392" s="35">
        <f t="shared" si="31"/>
        <v>47.846889952153113</v>
      </c>
      <c r="L392" s="35">
        <f t="shared" si="32"/>
        <v>47.863684227320583</v>
      </c>
      <c r="M392" s="35">
        <f>0.713*($T$2)</f>
        <v>1.4259999999999999</v>
      </c>
      <c r="N392" s="35">
        <v>54</v>
      </c>
      <c r="O392" s="35">
        <f t="shared" si="30"/>
        <v>1.1371610845295055</v>
      </c>
      <c r="P392" s="35">
        <f t="shared" si="27"/>
        <v>68.229665071770341</v>
      </c>
      <c r="Q392" s="35">
        <v>0</v>
      </c>
      <c r="R392" s="35">
        <f t="shared" si="29"/>
        <v>100</v>
      </c>
    </row>
    <row r="393" spans="1:18" x14ac:dyDescent="0.3">
      <c r="A393" s="35" t="s">
        <v>266</v>
      </c>
      <c r="B393" s="35">
        <v>1.59</v>
      </c>
      <c r="C393" s="35">
        <v>1280</v>
      </c>
      <c r="D393" s="35" t="s">
        <v>101</v>
      </c>
      <c r="E393" s="36" t="str" cm="1">
        <f t="array" ref="E393">GetNumber(D393,1)</f>
        <v>9</v>
      </c>
      <c r="F393" s="36" t="str" cm="1">
        <f t="array" ref="F393">GetNumber(D393,2)</f>
        <v>7</v>
      </c>
      <c r="G393" s="35">
        <v>7.4</v>
      </c>
      <c r="H393" s="35">
        <v>5505</v>
      </c>
      <c r="I393" s="35">
        <f>11.07*($T$2)</f>
        <v>22.14</v>
      </c>
      <c r="J393" s="35">
        <f>81.9*($T$2)</f>
        <v>163.80000000000001</v>
      </c>
      <c r="K393" s="35">
        <f t="shared" si="31"/>
        <v>36.630036630036628</v>
      </c>
      <c r="L393" s="35">
        <f t="shared" si="32"/>
        <v>36.62198784150003</v>
      </c>
      <c r="M393" s="35">
        <f>0.868*($T$2)</f>
        <v>1.736</v>
      </c>
      <c r="N393" s="35">
        <v>53.5</v>
      </c>
      <c r="O393" s="35">
        <f t="shared" si="30"/>
        <v>1.0598290598290598</v>
      </c>
      <c r="P393" s="35">
        <f t="shared" si="27"/>
        <v>63.589743589743584</v>
      </c>
      <c r="Q393" s="35">
        <v>0</v>
      </c>
      <c r="R393" s="35">
        <f t="shared" si="29"/>
        <v>100</v>
      </c>
    </row>
    <row r="394" spans="1:18" x14ac:dyDescent="0.3">
      <c r="A394" s="35" t="s">
        <v>266</v>
      </c>
      <c r="B394" s="35">
        <v>1.59</v>
      </c>
      <c r="C394" s="35">
        <v>1280</v>
      </c>
      <c r="D394" s="35" t="s">
        <v>79</v>
      </c>
      <c r="E394" s="36" t="str" cm="1">
        <f t="array" ref="E394">GetNumber(D394,1)</f>
        <v>10</v>
      </c>
      <c r="F394" s="36" t="str" cm="1">
        <f t="array" ref="F394">GetNumber(D394,2)</f>
        <v>5</v>
      </c>
      <c r="G394" s="35">
        <v>7.4</v>
      </c>
      <c r="H394" s="35">
        <v>5839</v>
      </c>
      <c r="I394" s="35">
        <f>10.2*($T$2)</f>
        <v>20.399999999999999</v>
      </c>
      <c r="J394" s="35">
        <f>75.5*($T$2)</f>
        <v>151</v>
      </c>
      <c r="K394" s="35">
        <f t="shared" si="31"/>
        <v>39.735099337748345</v>
      </c>
      <c r="L394" s="35">
        <f t="shared" si="32"/>
        <v>39.745627980922094</v>
      </c>
      <c r="M394" s="35">
        <f>1.085*($T$2)</f>
        <v>2.17</v>
      </c>
      <c r="N394" s="35">
        <v>40.5</v>
      </c>
      <c r="O394" s="35">
        <f t="shared" si="30"/>
        <v>1.4370860927152318</v>
      </c>
      <c r="P394" s="35">
        <f t="shared" si="27"/>
        <v>86.225165562913901</v>
      </c>
      <c r="Q394" s="35">
        <v>0</v>
      </c>
      <c r="R394" s="35">
        <f t="shared" si="29"/>
        <v>100</v>
      </c>
    </row>
    <row r="395" spans="1:18" x14ac:dyDescent="0.3">
      <c r="A395" s="35" t="s">
        <v>266</v>
      </c>
      <c r="B395" s="35">
        <v>1.59</v>
      </c>
      <c r="C395" s="35">
        <v>1280</v>
      </c>
      <c r="D395" s="35" t="s">
        <v>146</v>
      </c>
      <c r="E395" s="36" t="str" cm="1">
        <f t="array" ref="E395">GetNumber(D395,1)</f>
        <v>7</v>
      </c>
      <c r="F395" s="36" t="str" cm="1">
        <f t="array" ref="F395">GetNumber(D395,2)</f>
        <v>4</v>
      </c>
      <c r="G395" s="35">
        <v>11.1</v>
      </c>
      <c r="H395" s="35">
        <v>11034</v>
      </c>
      <c r="I395" s="35">
        <f>7.84*($T$2)</f>
        <v>15.68</v>
      </c>
      <c r="J395" s="35">
        <f>87*($T$2)</f>
        <v>174</v>
      </c>
      <c r="K395" s="35">
        <f t="shared" si="31"/>
        <v>34.448275862068968</v>
      </c>
      <c r="L395" s="35">
        <f t="shared" si="32"/>
        <v>34.438775510204081</v>
      </c>
      <c r="M395" s="35">
        <f>1.069*($T$2)</f>
        <v>2.1379999999999999</v>
      </c>
      <c r="N395" s="35">
        <v>61.3</v>
      </c>
      <c r="O395" s="35">
        <f t="shared" si="30"/>
        <v>1.228735632183908</v>
      </c>
      <c r="P395" s="35">
        <f t="shared" si="27"/>
        <v>73.650413793103453</v>
      </c>
      <c r="Q395" s="35">
        <f>('Batt Capacity and Sys Weight'!$I$2) + (B395*$T$2)</f>
        <v>34.013000000000005</v>
      </c>
      <c r="R395" s="35">
        <f>'Batt Capacity and Sys Weight'!$H$2</f>
        <v>99.9</v>
      </c>
    </row>
    <row r="396" spans="1:18" x14ac:dyDescent="0.3">
      <c r="A396" s="35" t="s">
        <v>266</v>
      </c>
      <c r="B396" s="35">
        <v>1.59</v>
      </c>
      <c r="C396" s="35">
        <v>1280</v>
      </c>
      <c r="D396" s="35" t="s">
        <v>194</v>
      </c>
      <c r="E396" s="36" t="str" cm="1">
        <f t="array" ref="E396">GetNumber(D396,1)</f>
        <v>7</v>
      </c>
      <c r="F396" s="36" t="str" cm="1">
        <f t="array" ref="F396">GetNumber(D396,2)</f>
        <v>4</v>
      </c>
      <c r="G396" s="35">
        <v>11.1</v>
      </c>
      <c r="H396" s="35">
        <v>11052</v>
      </c>
      <c r="I396" s="35">
        <f>7.78*($T$2)</f>
        <v>15.56</v>
      </c>
      <c r="J396" s="35">
        <f>86.3*($T$2)</f>
        <v>172.6</v>
      </c>
      <c r="K396" s="35">
        <f t="shared" si="31"/>
        <v>34.727694090382386</v>
      </c>
      <c r="L396" s="35">
        <f t="shared" si="32"/>
        <v>34.704370179948583</v>
      </c>
      <c r="M396" s="35">
        <f>1.024*($T$2)</f>
        <v>2.048</v>
      </c>
      <c r="N396" s="35">
        <v>61.5</v>
      </c>
      <c r="O396" s="35">
        <f t="shared" si="30"/>
        <v>1.1865585168018542</v>
      </c>
      <c r="P396" s="35">
        <f t="shared" si="27"/>
        <v>71.122317497103126</v>
      </c>
      <c r="Q396" s="35">
        <f>('Batt Capacity and Sys Weight'!$I$2) + (B396*$T$2)</f>
        <v>34.013000000000005</v>
      </c>
      <c r="R396" s="35">
        <f>'Batt Capacity and Sys Weight'!$H$2</f>
        <v>99.9</v>
      </c>
    </row>
    <row r="397" spans="1:18" x14ac:dyDescent="0.3">
      <c r="A397" s="35" t="s">
        <v>266</v>
      </c>
      <c r="B397" s="35">
        <v>1.59</v>
      </c>
      <c r="C397" s="35">
        <v>1280</v>
      </c>
      <c r="D397" s="35" t="s">
        <v>148</v>
      </c>
      <c r="E397" s="36" t="str" cm="1">
        <f t="array" ref="E397">GetNumber(D397,1)</f>
        <v>7</v>
      </c>
      <c r="F397" s="36" t="str" cm="1">
        <f t="array" ref="F397">GetNumber(D397,2)</f>
        <v>5</v>
      </c>
      <c r="G397" s="35">
        <v>11.1</v>
      </c>
      <c r="H397" s="35">
        <v>10421</v>
      </c>
      <c r="I397" s="35">
        <f>9.43*($T$2)</f>
        <v>18.86</v>
      </c>
      <c r="J397" s="35">
        <f>104.7*($T$2)</f>
        <v>209.4</v>
      </c>
      <c r="K397" s="35">
        <f t="shared" si="31"/>
        <v>28.624641833810887</v>
      </c>
      <c r="L397" s="35">
        <f t="shared" si="32"/>
        <v>28.632025450689291</v>
      </c>
      <c r="M397" s="35">
        <f>1.054*($T$2)</f>
        <v>2.1080000000000001</v>
      </c>
      <c r="N397" s="35">
        <v>72.3</v>
      </c>
      <c r="O397" s="35">
        <f t="shared" si="30"/>
        <v>1.0066857688634194</v>
      </c>
      <c r="P397" s="35">
        <f t="shared" si="27"/>
        <v>60.340744985673354</v>
      </c>
      <c r="Q397" s="35">
        <f>('Batt Capacity and Sys Weight'!$I$2) + (B397*$T$2)</f>
        <v>34.013000000000005</v>
      </c>
      <c r="R397" s="35">
        <f>'Batt Capacity and Sys Weight'!$H$2</f>
        <v>99.9</v>
      </c>
    </row>
    <row r="398" spans="1:18" x14ac:dyDescent="0.3">
      <c r="A398" s="35" t="s">
        <v>266</v>
      </c>
      <c r="B398" s="35">
        <v>1.59</v>
      </c>
      <c r="C398" s="35">
        <v>1280</v>
      </c>
      <c r="D398" s="35" t="s">
        <v>195</v>
      </c>
      <c r="E398" s="36" t="str" cm="1">
        <f t="array" ref="E398">GetNumber(D398,1)</f>
        <v>7</v>
      </c>
      <c r="F398" s="36" t="str" cm="1">
        <f t="array" ref="F398">GetNumber(D398,2)</f>
        <v>5</v>
      </c>
      <c r="G398" s="35">
        <v>11.1</v>
      </c>
      <c r="H398" s="35">
        <v>10443</v>
      </c>
      <c r="I398" s="35">
        <f>9.39*($T$2)</f>
        <v>18.78</v>
      </c>
      <c r="J398" s="35">
        <f>104.2*($T$2)</f>
        <v>208.4</v>
      </c>
      <c r="K398" s="35">
        <f t="shared" si="31"/>
        <v>28.76199616122841</v>
      </c>
      <c r="L398" s="35">
        <f t="shared" si="32"/>
        <v>28.753993610223638</v>
      </c>
      <c r="M398" s="35">
        <f>1.107*($T$2)</f>
        <v>2.214</v>
      </c>
      <c r="N398" s="35">
        <v>72.5</v>
      </c>
      <c r="O398" s="35">
        <f t="shared" si="30"/>
        <v>1.0623800383877158</v>
      </c>
      <c r="P398" s="35">
        <f t="shared" si="27"/>
        <v>63.679059500959696</v>
      </c>
      <c r="Q398" s="35">
        <f>('Batt Capacity and Sys Weight'!$I$2) + (B398*$T$2)</f>
        <v>34.013000000000005</v>
      </c>
      <c r="R398" s="35">
        <f>'Batt Capacity and Sys Weight'!$H$2</f>
        <v>99.9</v>
      </c>
    </row>
    <row r="399" spans="1:18" x14ac:dyDescent="0.3">
      <c r="A399" s="35" t="s">
        <v>266</v>
      </c>
      <c r="B399" s="35">
        <v>1.59</v>
      </c>
      <c r="C399" s="35">
        <v>1280</v>
      </c>
      <c r="D399" s="35" t="s">
        <v>149</v>
      </c>
      <c r="E399" s="36" t="str" cm="1">
        <f t="array" ref="E399">GetNumber(D399,1)</f>
        <v>7</v>
      </c>
      <c r="F399" s="36" t="str" cm="1">
        <f t="array" ref="F399">GetNumber(D399,2)</f>
        <v>6</v>
      </c>
      <c r="G399" s="35">
        <v>11.1</v>
      </c>
      <c r="H399" s="35">
        <v>10226</v>
      </c>
      <c r="I399" s="35">
        <f>9.89*($T$2)</f>
        <v>19.78</v>
      </c>
      <c r="J399" s="35">
        <f>109.8*($T$2)</f>
        <v>219.6</v>
      </c>
      <c r="K399" s="35">
        <f t="shared" si="31"/>
        <v>27.295081967213118</v>
      </c>
      <c r="L399" s="35">
        <f t="shared" si="32"/>
        <v>27.300303336703738</v>
      </c>
      <c r="M399" s="35">
        <f>1.153*($T$2)</f>
        <v>2.306</v>
      </c>
      <c r="N399" s="35">
        <v>85.2</v>
      </c>
      <c r="O399" s="35">
        <f t="shared" si="30"/>
        <v>1.0500910746812386</v>
      </c>
      <c r="P399" s="35">
        <f t="shared" si="27"/>
        <v>62.94245901639345</v>
      </c>
      <c r="Q399" s="35">
        <f>('Batt Capacity and Sys Weight'!$I$2) + (B399*$T$2)</f>
        <v>34.013000000000005</v>
      </c>
      <c r="R399" s="35">
        <f>'Batt Capacity and Sys Weight'!$H$2</f>
        <v>99.9</v>
      </c>
    </row>
    <row r="400" spans="1:18" x14ac:dyDescent="0.3">
      <c r="A400" s="35" t="s">
        <v>266</v>
      </c>
      <c r="B400" s="35">
        <v>1.59</v>
      </c>
      <c r="C400" s="35">
        <v>1280</v>
      </c>
      <c r="D400" s="35" t="s">
        <v>196</v>
      </c>
      <c r="E400" s="36" t="str" cm="1">
        <f t="array" ref="E400">GetNumber(D400,1)</f>
        <v>7</v>
      </c>
      <c r="F400" s="36" t="str" cm="1">
        <f t="array" ref="F400">GetNumber(D400,2)</f>
        <v>6</v>
      </c>
      <c r="G400" s="35">
        <v>11.1</v>
      </c>
      <c r="H400" s="35">
        <v>9851</v>
      </c>
      <c r="I400" s="35">
        <f>10.93*($T$2)</f>
        <v>21.86</v>
      </c>
      <c r="J400" s="35">
        <f>121.3*($T$2)</f>
        <v>242.6</v>
      </c>
      <c r="K400" s="35">
        <f t="shared" si="31"/>
        <v>24.707337180544108</v>
      </c>
      <c r="L400" s="35">
        <f t="shared" si="32"/>
        <v>24.702653247941448</v>
      </c>
      <c r="M400" s="35">
        <f>1.05*($T$2)</f>
        <v>2.1</v>
      </c>
      <c r="N400" s="35">
        <v>82.1</v>
      </c>
      <c r="O400" s="35">
        <f t="shared" si="30"/>
        <v>0.86562242374278664</v>
      </c>
      <c r="P400" s="35">
        <f t="shared" si="27"/>
        <v>51.885408079142628</v>
      </c>
      <c r="Q400" s="35">
        <f>('Batt Capacity and Sys Weight'!$I$2) + (B400*$T$2)</f>
        <v>34.013000000000005</v>
      </c>
      <c r="R400" s="35">
        <f>'Batt Capacity and Sys Weight'!$H$2</f>
        <v>99.9</v>
      </c>
    </row>
    <row r="401" spans="1:18" x14ac:dyDescent="0.3">
      <c r="A401" s="35" t="s">
        <v>266</v>
      </c>
      <c r="B401" s="35">
        <v>1.59</v>
      </c>
      <c r="C401" s="35">
        <v>1280</v>
      </c>
      <c r="D401" s="35" t="s">
        <v>126</v>
      </c>
      <c r="E401" s="36" t="str" cm="1">
        <f t="array" ref="E401">GetNumber(D401,1)</f>
        <v>8</v>
      </c>
      <c r="F401" s="36" t="str" cm="1">
        <f t="array" ref="F401">GetNumber(D401,2)</f>
        <v>4</v>
      </c>
      <c r="G401" s="35">
        <v>11.1</v>
      </c>
      <c r="H401" s="35">
        <v>9957</v>
      </c>
      <c r="I401" s="35">
        <f>10.68*($T$2)</f>
        <v>21.36</v>
      </c>
      <c r="J401" s="35">
        <f>118.5*($T$2)</f>
        <v>237</v>
      </c>
      <c r="K401" s="35">
        <f t="shared" si="31"/>
        <v>25.291139240506332</v>
      </c>
      <c r="L401" s="35">
        <f t="shared" si="32"/>
        <v>25.280898876404496</v>
      </c>
      <c r="M401" s="35">
        <f>1.372*($T$2)</f>
        <v>2.7440000000000002</v>
      </c>
      <c r="N401" s="35">
        <v>55.3</v>
      </c>
      <c r="O401" s="35">
        <f t="shared" si="30"/>
        <v>1.1578059071729958</v>
      </c>
      <c r="P401" s="35">
        <f t="shared" ref="P401:P464" si="33">M401*K401</f>
        <v>69.398886075949378</v>
      </c>
      <c r="Q401" s="35">
        <f>('Batt Capacity and Sys Weight'!$I$2) + (B401*$T$2)</f>
        <v>34.013000000000005</v>
      </c>
      <c r="R401" s="35">
        <f>'Batt Capacity and Sys Weight'!$H$2</f>
        <v>99.9</v>
      </c>
    </row>
    <row r="402" spans="1:18" x14ac:dyDescent="0.3">
      <c r="A402" s="35" t="s">
        <v>266</v>
      </c>
      <c r="B402" s="35">
        <v>1.59</v>
      </c>
      <c r="C402" s="35">
        <v>1280</v>
      </c>
      <c r="D402" s="35" t="s">
        <v>239</v>
      </c>
      <c r="E402" s="36" t="str" cm="1">
        <f t="array" ref="E402">GetNumber(D402,1)</f>
        <v>8</v>
      </c>
      <c r="F402" s="36" t="str" cm="1">
        <f t="array" ref="F402">GetNumber(D402,2)</f>
        <v>4</v>
      </c>
      <c r="G402" s="35">
        <v>11.1</v>
      </c>
      <c r="H402" s="35">
        <v>10699</v>
      </c>
      <c r="I402" s="35">
        <f>8.74*($T$2)</f>
        <v>17.48</v>
      </c>
      <c r="J402" s="35">
        <f>97*($T$2)</f>
        <v>194</v>
      </c>
      <c r="K402" s="35">
        <f t="shared" si="31"/>
        <v>30.896907216494849</v>
      </c>
      <c r="L402" s="35">
        <f t="shared" si="32"/>
        <v>30.892448512585812</v>
      </c>
      <c r="M402" s="35">
        <f>1.33*($T$2)</f>
        <v>2.66</v>
      </c>
      <c r="N402" s="35">
        <v>59.4</v>
      </c>
      <c r="O402" s="35">
        <f t="shared" si="30"/>
        <v>1.3711340206185567</v>
      </c>
      <c r="P402" s="35">
        <f t="shared" si="33"/>
        <v>82.185773195876308</v>
      </c>
      <c r="Q402" s="35">
        <f>('Batt Capacity and Sys Weight'!$I$2) + (B402*$T$2)</f>
        <v>34.013000000000005</v>
      </c>
      <c r="R402" s="35">
        <f>'Batt Capacity and Sys Weight'!$H$2</f>
        <v>99.9</v>
      </c>
    </row>
    <row r="403" spans="1:18" x14ac:dyDescent="0.3">
      <c r="A403" s="35" t="s">
        <v>266</v>
      </c>
      <c r="B403" s="35">
        <v>1.59</v>
      </c>
      <c r="C403" s="35">
        <v>1280</v>
      </c>
      <c r="D403" s="35" t="s">
        <v>240</v>
      </c>
      <c r="E403" s="36" t="str" cm="1">
        <f t="array" ref="E403">GetNumber(D403,1)</f>
        <v>8</v>
      </c>
      <c r="F403" s="36" t="str" cm="1">
        <f t="array" ref="F403">GetNumber(D403,2)</f>
        <v>4</v>
      </c>
      <c r="G403" s="35">
        <v>11.1</v>
      </c>
      <c r="H403" s="35">
        <v>10086</v>
      </c>
      <c r="I403" s="35">
        <f>10.32*($T$2)</f>
        <v>20.64</v>
      </c>
      <c r="J403" s="35">
        <f>114.6*($T$2)</f>
        <v>229.2</v>
      </c>
      <c r="K403" s="35">
        <f t="shared" si="31"/>
        <v>26.151832460732987</v>
      </c>
      <c r="L403" s="35">
        <f t="shared" si="32"/>
        <v>26.162790697674417</v>
      </c>
      <c r="M403" s="35">
        <f>1.415*($T$2)</f>
        <v>2.83</v>
      </c>
      <c r="N403" s="35">
        <v>56</v>
      </c>
      <c r="O403" s="35">
        <f t="shared" si="30"/>
        <v>1.2347294938917976</v>
      </c>
      <c r="P403" s="35">
        <f t="shared" si="33"/>
        <v>74.009685863874353</v>
      </c>
      <c r="Q403" s="35">
        <f>('Batt Capacity and Sys Weight'!$I$2) + (B403*$T$2)</f>
        <v>34.013000000000005</v>
      </c>
      <c r="R403" s="35">
        <f>'Batt Capacity and Sys Weight'!$H$2</f>
        <v>99.9</v>
      </c>
    </row>
    <row r="404" spans="1:18" x14ac:dyDescent="0.3">
      <c r="A404" s="35" t="s">
        <v>266</v>
      </c>
      <c r="B404" s="35">
        <v>1.59</v>
      </c>
      <c r="C404" s="35">
        <v>1280</v>
      </c>
      <c r="D404" s="35" t="s">
        <v>273</v>
      </c>
      <c r="E404" s="36" t="str" cm="1">
        <f t="array" ref="E404">GetNumber(D404,1)</f>
        <v>8</v>
      </c>
      <c r="F404" s="36" cm="1">
        <f t="array" ref="F404">GetNumber(D404,2)+(GetNumber(D404,3)/10)</f>
        <v>4.3</v>
      </c>
      <c r="G404" s="35">
        <v>11.1</v>
      </c>
      <c r="H404" s="35">
        <v>9766</v>
      </c>
      <c r="I404" s="35">
        <f>11.04*($T$2)</f>
        <v>22.08</v>
      </c>
      <c r="J404" s="35">
        <f>122.5*($T$2)</f>
        <v>245</v>
      </c>
      <c r="K404" s="35">
        <f t="shared" si="31"/>
        <v>24.465306122448979</v>
      </c>
      <c r="L404" s="35">
        <f t="shared" si="32"/>
        <v>24.456521739130437</v>
      </c>
      <c r="M404" s="35">
        <f>1.387*($T$2)</f>
        <v>2.774</v>
      </c>
      <c r="N404" s="35">
        <v>58.4</v>
      </c>
      <c r="O404" s="35">
        <f t="shared" si="30"/>
        <v>1.1322448979591837</v>
      </c>
      <c r="P404" s="35">
        <f t="shared" si="33"/>
        <v>67.866759183673466</v>
      </c>
      <c r="Q404" s="35">
        <f>('Batt Capacity and Sys Weight'!$I$2) + (B404*$T$2)</f>
        <v>34.013000000000005</v>
      </c>
      <c r="R404" s="35">
        <f>'Batt Capacity and Sys Weight'!$H$2</f>
        <v>99.9</v>
      </c>
    </row>
    <row r="405" spans="1:18" x14ac:dyDescent="0.3">
      <c r="A405" s="35" t="s">
        <v>266</v>
      </c>
      <c r="B405" s="35">
        <v>1.59</v>
      </c>
      <c r="C405" s="35">
        <v>1280</v>
      </c>
      <c r="D405" s="35" t="s">
        <v>144</v>
      </c>
      <c r="E405" s="36" t="str" cm="1">
        <f t="array" ref="E405">GetNumber(D405,1)</f>
        <v>7</v>
      </c>
      <c r="F405" s="36" t="str" cm="1">
        <f t="array" ref="F405">GetNumber(D405,2)</f>
        <v>4</v>
      </c>
      <c r="G405" s="35">
        <v>11.1</v>
      </c>
      <c r="H405" s="35">
        <v>10638</v>
      </c>
      <c r="I405" s="35">
        <f>8.76*($T$2)</f>
        <v>17.52</v>
      </c>
      <c r="J405" s="35">
        <f>97.2*($T$2)</f>
        <v>194.4</v>
      </c>
      <c r="K405" s="35">
        <f t="shared" si="31"/>
        <v>30.833333333333336</v>
      </c>
      <c r="L405" s="35">
        <f t="shared" si="32"/>
        <v>30.821917808219183</v>
      </c>
      <c r="M405" s="35">
        <f>0.981*($T$2)</f>
        <v>1.962</v>
      </c>
      <c r="N405" s="35">
        <v>59.1</v>
      </c>
      <c r="O405" s="35">
        <f t="shared" si="30"/>
        <v>1.0092592592592593</v>
      </c>
      <c r="P405" s="35">
        <f t="shared" si="33"/>
        <v>60.495000000000005</v>
      </c>
      <c r="Q405" s="35">
        <f>('Batt Capacity and Sys Weight'!$I$2) + (B405*$T$2)</f>
        <v>34.013000000000005</v>
      </c>
      <c r="R405" s="35">
        <f>'Batt Capacity and Sys Weight'!$H$2</f>
        <v>99.9</v>
      </c>
    </row>
    <row r="406" spans="1:18" x14ac:dyDescent="0.3">
      <c r="A406" s="35" t="s">
        <v>274</v>
      </c>
      <c r="B406" s="35">
        <v>1.59</v>
      </c>
      <c r="C406" s="35">
        <v>1100</v>
      </c>
      <c r="D406" s="35" t="s">
        <v>127</v>
      </c>
      <c r="E406" s="36" t="str" cm="1">
        <f t="array" ref="E406">GetNumber(D406,1)</f>
        <v>8</v>
      </c>
      <c r="F406" s="36" t="str" cm="1">
        <f t="array" ref="F406">GetNumber(D406,2)</f>
        <v>6</v>
      </c>
      <c r="G406" s="35">
        <v>7.4</v>
      </c>
      <c r="H406" s="35">
        <v>6176</v>
      </c>
      <c r="I406" s="35">
        <f>6.08*($T$2)</f>
        <v>12.16</v>
      </c>
      <c r="J406" s="35">
        <f>45*($T$2)</f>
        <v>90</v>
      </c>
      <c r="K406" s="35">
        <f t="shared" si="31"/>
        <v>66.666666666666671</v>
      </c>
      <c r="L406" s="35">
        <f t="shared" si="32"/>
        <v>66.678520625889036</v>
      </c>
      <c r="M406" s="35">
        <f>0.645*($T$2)</f>
        <v>1.29</v>
      </c>
      <c r="N406" s="35">
        <v>51.5</v>
      </c>
      <c r="O406" s="35">
        <f t="shared" si="30"/>
        <v>1.4333333333333333</v>
      </c>
      <c r="P406" s="35">
        <f t="shared" si="33"/>
        <v>86.000000000000014</v>
      </c>
      <c r="Q406" s="35">
        <v>0</v>
      </c>
      <c r="R406" s="35">
        <f t="shared" ref="R406:R433" si="34">$T$1</f>
        <v>100</v>
      </c>
    </row>
    <row r="407" spans="1:18" x14ac:dyDescent="0.3">
      <c r="A407" s="35" t="s">
        <v>274</v>
      </c>
      <c r="B407" s="35">
        <v>1.59</v>
      </c>
      <c r="C407" s="35">
        <v>1100</v>
      </c>
      <c r="D407" s="35" t="s">
        <v>184</v>
      </c>
      <c r="E407" s="36" t="str" cm="1">
        <f t="array" ref="E407">GetNumber(D407,1)</f>
        <v>8</v>
      </c>
      <c r="F407" s="36" t="str" cm="1">
        <f t="array" ref="F407">GetNumber(D407,2)</f>
        <v>6</v>
      </c>
      <c r="G407" s="35">
        <v>7.4</v>
      </c>
      <c r="H407" s="35">
        <v>5802</v>
      </c>
      <c r="I407" s="35">
        <f>7.02*($T$2)</f>
        <v>14.04</v>
      </c>
      <c r="J407" s="35">
        <f>51.9*($T$2)</f>
        <v>103.8</v>
      </c>
      <c r="K407" s="35">
        <f t="shared" si="31"/>
        <v>57.803468208092482</v>
      </c>
      <c r="L407" s="35">
        <f t="shared" si="32"/>
        <v>57.750057750057749</v>
      </c>
      <c r="M407" s="35">
        <f>0.737*($T$2)</f>
        <v>1.474</v>
      </c>
      <c r="N407" s="35">
        <v>48.4</v>
      </c>
      <c r="O407" s="35">
        <f t="shared" si="30"/>
        <v>1.4200385356454721</v>
      </c>
      <c r="P407" s="35">
        <f t="shared" si="33"/>
        <v>85.202312138728317</v>
      </c>
      <c r="Q407" s="35">
        <v>0</v>
      </c>
      <c r="R407" s="35">
        <f t="shared" si="34"/>
        <v>100</v>
      </c>
    </row>
    <row r="408" spans="1:18" x14ac:dyDescent="0.3">
      <c r="A408" s="35" t="s">
        <v>274</v>
      </c>
      <c r="B408" s="35">
        <v>1.59</v>
      </c>
      <c r="C408" s="35">
        <v>1100</v>
      </c>
      <c r="D408" s="35" t="s">
        <v>128</v>
      </c>
      <c r="E408" s="36" t="str" cm="1">
        <f t="array" ref="E408">GetNumber(D408,1)</f>
        <v>8</v>
      </c>
      <c r="F408" s="36" t="str" cm="1">
        <f t="array" ref="F408">GetNumber(D408,2)</f>
        <v>8</v>
      </c>
      <c r="G408" s="35">
        <v>7.4</v>
      </c>
      <c r="H408" s="35">
        <v>5552</v>
      </c>
      <c r="I408" s="35">
        <f>7.78*($T$2)</f>
        <v>15.56</v>
      </c>
      <c r="J408" s="35">
        <f>57.6*($T$2)</f>
        <v>115.2</v>
      </c>
      <c r="K408" s="35">
        <f t="shared" si="31"/>
        <v>52.083333333333336</v>
      </c>
      <c r="L408" s="35">
        <f t="shared" si="32"/>
        <v>52.108663933856732</v>
      </c>
      <c r="M408" s="35">
        <f>0.58*($T$2)</f>
        <v>1.1599999999999999</v>
      </c>
      <c r="N408" s="35">
        <v>61.7</v>
      </c>
      <c r="O408" s="35">
        <f t="shared" si="30"/>
        <v>1.0069444444444444</v>
      </c>
      <c r="P408" s="35">
        <f t="shared" si="33"/>
        <v>60.416666666666664</v>
      </c>
      <c r="Q408" s="35">
        <v>0</v>
      </c>
      <c r="R408" s="35">
        <f t="shared" si="34"/>
        <v>100</v>
      </c>
    </row>
    <row r="409" spans="1:18" x14ac:dyDescent="0.3">
      <c r="A409" s="35" t="s">
        <v>274</v>
      </c>
      <c r="B409" s="35">
        <v>1.59</v>
      </c>
      <c r="C409" s="35">
        <v>1100</v>
      </c>
      <c r="D409" s="35" t="s">
        <v>185</v>
      </c>
      <c r="E409" s="36" t="str" cm="1">
        <f t="array" ref="E409">GetNumber(D409,1)</f>
        <v>9</v>
      </c>
      <c r="F409" s="36" cm="1">
        <f t="array" ref="F409">GetNumber(D409,2)+(GetNumber(D409,3)/10)</f>
        <v>3.8</v>
      </c>
      <c r="G409" s="35">
        <v>7.4</v>
      </c>
      <c r="H409" s="35">
        <v>6168</v>
      </c>
      <c r="I409" s="35">
        <f>6.1*($T$2)</f>
        <v>12.2</v>
      </c>
      <c r="J409" s="35">
        <f>45.1*($T$2)</f>
        <v>90.2</v>
      </c>
      <c r="K409" s="35">
        <f t="shared" si="31"/>
        <v>66.518847006651882</v>
      </c>
      <c r="L409" s="35">
        <f t="shared" si="32"/>
        <v>66.459902525476295</v>
      </c>
      <c r="M409" s="35">
        <f>0.822*($T$2)</f>
        <v>1.6439999999999999</v>
      </c>
      <c r="N409" s="35">
        <v>32.6</v>
      </c>
      <c r="O409" s="35">
        <f t="shared" si="30"/>
        <v>1.8226164079822613</v>
      </c>
      <c r="P409" s="35">
        <f t="shared" si="33"/>
        <v>109.35698447893569</v>
      </c>
      <c r="Q409" s="35">
        <v>0</v>
      </c>
      <c r="R409" s="35">
        <f t="shared" si="34"/>
        <v>100</v>
      </c>
    </row>
    <row r="410" spans="1:18" x14ac:dyDescent="0.3">
      <c r="A410" s="35" t="s">
        <v>274</v>
      </c>
      <c r="B410" s="35">
        <v>1.59</v>
      </c>
      <c r="C410" s="35">
        <v>1100</v>
      </c>
      <c r="D410" s="35" t="s">
        <v>186</v>
      </c>
      <c r="E410" s="36" t="str" cm="1">
        <f t="array" ref="E410">GetNumber(D410,1)</f>
        <v>9</v>
      </c>
      <c r="F410" s="36" cm="1">
        <f t="array" ref="F410">GetNumber(D410,2)+(GetNumber(D410,3)/10)</f>
        <v>4.7</v>
      </c>
      <c r="G410" s="35">
        <v>7.4</v>
      </c>
      <c r="H410" s="35">
        <v>5985</v>
      </c>
      <c r="I410" s="35">
        <f>6.6*($T$2)</f>
        <v>13.2</v>
      </c>
      <c r="J410" s="35">
        <f>48.8*($T$2)</f>
        <v>97.6</v>
      </c>
      <c r="K410" s="35">
        <f t="shared" si="31"/>
        <v>61.47540983606558</v>
      </c>
      <c r="L410" s="35">
        <f t="shared" si="32"/>
        <v>61.425061425061422</v>
      </c>
      <c r="M410" s="35">
        <f>0.865*($T$2)</f>
        <v>1.73</v>
      </c>
      <c r="N410" s="35">
        <v>39</v>
      </c>
      <c r="O410" s="35">
        <f t="shared" si="30"/>
        <v>1.7725409836065575</v>
      </c>
      <c r="P410" s="35">
        <f t="shared" si="33"/>
        <v>106.35245901639345</v>
      </c>
      <c r="Q410" s="35">
        <v>0</v>
      </c>
      <c r="R410" s="35">
        <f t="shared" si="34"/>
        <v>100</v>
      </c>
    </row>
    <row r="411" spans="1:18" x14ac:dyDescent="0.3">
      <c r="A411" s="35" t="s">
        <v>274</v>
      </c>
      <c r="B411" s="35">
        <v>1.59</v>
      </c>
      <c r="C411" s="35">
        <v>1100</v>
      </c>
      <c r="D411" s="35" t="s">
        <v>107</v>
      </c>
      <c r="E411" s="36" t="str" cm="1">
        <f t="array" ref="E411">GetNumber(D411,1)</f>
        <v>9</v>
      </c>
      <c r="F411" s="36" t="str" cm="1">
        <f t="array" ref="F411">GetNumber(D411,2)</f>
        <v>6</v>
      </c>
      <c r="G411" s="35">
        <v>7.4</v>
      </c>
      <c r="H411" s="35">
        <v>5927</v>
      </c>
      <c r="I411" s="35">
        <f>6.77*($T$2)</f>
        <v>13.54</v>
      </c>
      <c r="J411" s="35">
        <f>50.1*($T$2)</f>
        <v>100.2</v>
      </c>
      <c r="K411" s="35">
        <f t="shared" si="31"/>
        <v>59.880239520958078</v>
      </c>
      <c r="L411" s="35">
        <f t="shared" si="32"/>
        <v>59.882630045111583</v>
      </c>
      <c r="M411" s="35">
        <f>0.809*($T$2)</f>
        <v>1.6180000000000001</v>
      </c>
      <c r="N411" s="35">
        <v>49.4</v>
      </c>
      <c r="O411" s="35">
        <f t="shared" si="30"/>
        <v>1.6147704590818366</v>
      </c>
      <c r="P411" s="35">
        <f t="shared" si="33"/>
        <v>96.88622754491017</v>
      </c>
      <c r="Q411" s="35">
        <v>0</v>
      </c>
      <c r="R411" s="35">
        <f t="shared" si="34"/>
        <v>100</v>
      </c>
    </row>
    <row r="412" spans="1:18" x14ac:dyDescent="0.3">
      <c r="A412" s="35" t="s">
        <v>274</v>
      </c>
      <c r="B412" s="35">
        <v>1.59</v>
      </c>
      <c r="C412" s="35">
        <v>1100</v>
      </c>
      <c r="D412" s="35" t="s">
        <v>187</v>
      </c>
      <c r="E412" s="36" t="str" cm="1">
        <f t="array" ref="E412">GetNumber(D412,1)</f>
        <v>9</v>
      </c>
      <c r="F412" s="36" t="str" cm="1">
        <f t="array" ref="F412">GetNumber(D412,2)</f>
        <v>6</v>
      </c>
      <c r="G412" s="35">
        <v>7.4</v>
      </c>
      <c r="H412" s="35">
        <v>5134</v>
      </c>
      <c r="I412" s="35">
        <f>8.91*($T$2)</f>
        <v>17.82</v>
      </c>
      <c r="J412" s="35">
        <f>65.9*($T$2)</f>
        <v>131.80000000000001</v>
      </c>
      <c r="K412" s="35">
        <f t="shared" si="31"/>
        <v>45.523520485584214</v>
      </c>
      <c r="L412" s="35">
        <f t="shared" si="32"/>
        <v>45.500045500045495</v>
      </c>
      <c r="M412" s="35">
        <f>0.908*($T$2)</f>
        <v>1.8160000000000001</v>
      </c>
      <c r="N412" s="35">
        <v>42.8</v>
      </c>
      <c r="O412" s="35">
        <f t="shared" si="30"/>
        <v>1.3778452200303488</v>
      </c>
      <c r="P412" s="35">
        <f t="shared" si="33"/>
        <v>82.670713201820931</v>
      </c>
      <c r="Q412" s="35">
        <v>0</v>
      </c>
      <c r="R412" s="35">
        <f t="shared" si="34"/>
        <v>100</v>
      </c>
    </row>
    <row r="413" spans="1:18" x14ac:dyDescent="0.3">
      <c r="A413" s="35" t="s">
        <v>274</v>
      </c>
      <c r="B413" s="35">
        <v>1.59</v>
      </c>
      <c r="C413" s="35">
        <v>1100</v>
      </c>
      <c r="D413" s="35" t="s">
        <v>104</v>
      </c>
      <c r="E413" s="36" t="str" cm="1">
        <f t="array" ref="E413">GetNumber(D413,1)</f>
        <v>9</v>
      </c>
      <c r="F413" s="36" cm="1">
        <f t="array" ref="F413">GetNumber(D413,2)+(GetNumber(D413,3)/10)</f>
        <v>7.5</v>
      </c>
      <c r="G413" s="35">
        <v>7.4</v>
      </c>
      <c r="H413" s="35">
        <v>5186</v>
      </c>
      <c r="I413" s="35">
        <f>8.74*($T$2)</f>
        <v>17.48</v>
      </c>
      <c r="J413" s="35">
        <f>64.7*($T$2)</f>
        <v>129.4</v>
      </c>
      <c r="K413" s="35">
        <f t="shared" si="31"/>
        <v>46.367851622874802</v>
      </c>
      <c r="L413" s="35">
        <f t="shared" si="32"/>
        <v>46.38505782670542</v>
      </c>
      <c r="M413" s="35">
        <f>0.725*($T$2)</f>
        <v>1.45</v>
      </c>
      <c r="N413" s="35">
        <v>54</v>
      </c>
      <c r="O413" s="35">
        <f t="shared" si="30"/>
        <v>1.1205564142194744</v>
      </c>
      <c r="P413" s="35">
        <f t="shared" si="33"/>
        <v>67.233384853168459</v>
      </c>
      <c r="Q413" s="35">
        <v>0</v>
      </c>
      <c r="R413" s="35">
        <f t="shared" si="34"/>
        <v>100</v>
      </c>
    </row>
    <row r="414" spans="1:18" x14ac:dyDescent="0.3">
      <c r="A414" s="35" t="s">
        <v>274</v>
      </c>
      <c r="B414" s="35">
        <v>1.59</v>
      </c>
      <c r="C414" s="35">
        <v>1100</v>
      </c>
      <c r="D414" s="35" t="s">
        <v>189</v>
      </c>
      <c r="E414" s="36" t="str" cm="1">
        <f t="array" ref="E414">GetNumber(D414,1)</f>
        <v>10</v>
      </c>
      <c r="F414" s="36" cm="1">
        <f t="array" ref="F414">GetNumber(D414,2)+(GetNumber(D414,3)/10)</f>
        <v>3.8</v>
      </c>
      <c r="G414" s="35">
        <v>7.4</v>
      </c>
      <c r="H414" s="35">
        <v>5333</v>
      </c>
      <c r="I414" s="35">
        <f>8.35*($T$2)</f>
        <v>16.7</v>
      </c>
      <c r="J414" s="35">
        <f>61.8*($T$2)</f>
        <v>123.6</v>
      </c>
      <c r="K414" s="35">
        <f t="shared" si="31"/>
        <v>48.543689320388353</v>
      </c>
      <c r="L414" s="35">
        <f t="shared" si="32"/>
        <v>48.551545557533579</v>
      </c>
      <c r="M414" s="35">
        <f>1.021*($T$2)</f>
        <v>2.0419999999999998</v>
      </c>
      <c r="N414" s="35">
        <v>28.2</v>
      </c>
      <c r="O414" s="35">
        <f t="shared" si="30"/>
        <v>1.6521035598705502</v>
      </c>
      <c r="P414" s="35">
        <f t="shared" si="33"/>
        <v>99.126213592233015</v>
      </c>
      <c r="Q414" s="35">
        <v>0</v>
      </c>
      <c r="R414" s="35">
        <f t="shared" si="34"/>
        <v>100</v>
      </c>
    </row>
    <row r="415" spans="1:18" x14ac:dyDescent="0.3">
      <c r="A415" s="35" t="s">
        <v>274</v>
      </c>
      <c r="B415" s="35">
        <v>1.59</v>
      </c>
      <c r="C415" s="35">
        <v>1100</v>
      </c>
      <c r="D415" s="35" t="s">
        <v>190</v>
      </c>
      <c r="E415" s="36" t="str" cm="1">
        <f t="array" ref="E415">GetNumber(D415,1)</f>
        <v>10</v>
      </c>
      <c r="F415" s="36" cm="1">
        <f t="array" ref="F415">GetNumber(D415,2)+(GetNumber(D415,3)/10)</f>
        <v>4.7</v>
      </c>
      <c r="G415" s="35">
        <v>7.4</v>
      </c>
      <c r="H415" s="35">
        <v>5107</v>
      </c>
      <c r="I415" s="35">
        <f>8.95*($T$2)</f>
        <v>17.899999999999999</v>
      </c>
      <c r="J415" s="35">
        <f>66.2*($T$2)</f>
        <v>132.4</v>
      </c>
      <c r="K415" s="35">
        <f t="shared" si="31"/>
        <v>45.317220543806641</v>
      </c>
      <c r="L415" s="35">
        <f t="shared" si="32"/>
        <v>45.296693341386081</v>
      </c>
      <c r="M415" s="35">
        <f>1.056*($T$2)</f>
        <v>2.1120000000000001</v>
      </c>
      <c r="N415" s="35">
        <v>33.299999999999997</v>
      </c>
      <c r="O415" s="35">
        <f t="shared" si="30"/>
        <v>1.595166163141994</v>
      </c>
      <c r="P415" s="35">
        <f t="shared" si="33"/>
        <v>95.709969788519629</v>
      </c>
      <c r="Q415" s="35">
        <v>0</v>
      </c>
      <c r="R415" s="35">
        <f t="shared" si="34"/>
        <v>100</v>
      </c>
    </row>
    <row r="416" spans="1:18" x14ac:dyDescent="0.3">
      <c r="A416" s="35" t="s">
        <v>274</v>
      </c>
      <c r="B416" s="35">
        <v>1.59</v>
      </c>
      <c r="C416" s="35">
        <v>1100</v>
      </c>
      <c r="D416" s="35" t="s">
        <v>99</v>
      </c>
      <c r="E416" s="36" t="str" cm="1">
        <f t="array" ref="E416">GetNumber(D416,1)</f>
        <v>10</v>
      </c>
      <c r="F416" s="36" t="str" cm="1">
        <f t="array" ref="F416">GetNumber(D416,2)</f>
        <v>5</v>
      </c>
      <c r="G416" s="35">
        <v>7.4</v>
      </c>
      <c r="H416" s="35">
        <v>5676</v>
      </c>
      <c r="I416" s="35">
        <f>7.37*($T$2)</f>
        <v>14.74</v>
      </c>
      <c r="J416" s="35">
        <f>54.5*($T$2)</f>
        <v>109</v>
      </c>
      <c r="K416" s="35">
        <f t="shared" si="31"/>
        <v>55.045871559633028</v>
      </c>
      <c r="L416" s="35">
        <f t="shared" si="32"/>
        <v>55.007517694084854</v>
      </c>
      <c r="M416" s="35">
        <f>0.94*($T$2)</f>
        <v>1.88</v>
      </c>
      <c r="N416" s="35">
        <v>39.5</v>
      </c>
      <c r="O416" s="35">
        <f t="shared" si="30"/>
        <v>1.724770642201835</v>
      </c>
      <c r="P416" s="35">
        <f t="shared" si="33"/>
        <v>103.48623853211009</v>
      </c>
      <c r="Q416" s="35">
        <v>0</v>
      </c>
      <c r="R416" s="35">
        <f t="shared" si="34"/>
        <v>100</v>
      </c>
    </row>
    <row r="417" spans="1:18" x14ac:dyDescent="0.3">
      <c r="A417" s="35" t="s">
        <v>274</v>
      </c>
      <c r="B417" s="35">
        <v>1.59</v>
      </c>
      <c r="C417" s="35">
        <v>1100</v>
      </c>
      <c r="D417" s="35" t="s">
        <v>67</v>
      </c>
      <c r="E417" s="36" t="str" cm="1">
        <f t="array" ref="E417">GetNumber(D417,1)</f>
        <v>10</v>
      </c>
      <c r="F417" s="36" t="str" cm="1">
        <f t="array" ref="F417">GetNumber(D417,2)</f>
        <v>6</v>
      </c>
      <c r="G417" s="35">
        <v>7.4</v>
      </c>
      <c r="H417" s="35">
        <v>5400</v>
      </c>
      <c r="I417" s="35">
        <f>8.15*($T$2)</f>
        <v>16.3</v>
      </c>
      <c r="J417" s="35">
        <f>60.3*($T$2)</f>
        <v>120.6</v>
      </c>
      <c r="K417" s="35">
        <f t="shared" si="31"/>
        <v>49.75124378109453</v>
      </c>
      <c r="L417" s="35">
        <f t="shared" si="32"/>
        <v>49.742994528270593</v>
      </c>
      <c r="M417" s="35">
        <f>0.968*($T$2)</f>
        <v>1.9359999999999999</v>
      </c>
      <c r="N417" s="35">
        <v>45</v>
      </c>
      <c r="O417" s="35">
        <f t="shared" si="30"/>
        <v>1.6053067993366501</v>
      </c>
      <c r="P417" s="35">
        <f t="shared" si="33"/>
        <v>96.318407960199011</v>
      </c>
      <c r="Q417" s="35">
        <v>0</v>
      </c>
      <c r="R417" s="35">
        <f t="shared" si="34"/>
        <v>100</v>
      </c>
    </row>
    <row r="418" spans="1:18" x14ac:dyDescent="0.3">
      <c r="A418" s="35" t="s">
        <v>274</v>
      </c>
      <c r="B418" s="35">
        <v>1.59</v>
      </c>
      <c r="C418" s="35">
        <v>1100</v>
      </c>
      <c r="D418" s="35" t="s">
        <v>68</v>
      </c>
      <c r="E418" s="36" t="str" cm="1">
        <f t="array" ref="E418">GetNumber(D418,1)</f>
        <v>10</v>
      </c>
      <c r="F418" s="36" t="str" cm="1">
        <f t="array" ref="F418">GetNumber(D418,2)</f>
        <v>7</v>
      </c>
      <c r="G418" s="35">
        <v>7.4</v>
      </c>
      <c r="H418" s="35">
        <v>5092</v>
      </c>
      <c r="I418" s="35">
        <f>8.96*($T$2)</f>
        <v>17.920000000000002</v>
      </c>
      <c r="J418" s="35">
        <f>66.3*($T$2)</f>
        <v>132.6</v>
      </c>
      <c r="K418" s="35">
        <f t="shared" si="31"/>
        <v>45.248868778280539</v>
      </c>
      <c r="L418" s="35">
        <f t="shared" si="32"/>
        <v>45.246138996138981</v>
      </c>
      <c r="M418" s="35">
        <f>0.918*($T$2)</f>
        <v>1.8360000000000001</v>
      </c>
      <c r="N418" s="35">
        <v>49.6</v>
      </c>
      <c r="O418" s="35">
        <f t="shared" si="30"/>
        <v>1.3846153846153846</v>
      </c>
      <c r="P418" s="35">
        <f t="shared" si="33"/>
        <v>83.076923076923066</v>
      </c>
      <c r="Q418" s="35">
        <v>0</v>
      </c>
      <c r="R418" s="35">
        <f t="shared" si="34"/>
        <v>100</v>
      </c>
    </row>
    <row r="419" spans="1:18" x14ac:dyDescent="0.3">
      <c r="A419" s="35" t="s">
        <v>274</v>
      </c>
      <c r="B419" s="35">
        <v>1.59</v>
      </c>
      <c r="C419" s="35">
        <v>1100</v>
      </c>
      <c r="D419" s="35" t="s">
        <v>192</v>
      </c>
      <c r="E419" s="36" t="str" cm="1">
        <f t="array" ref="E419">GetNumber(D419,1)</f>
        <v>11</v>
      </c>
      <c r="F419" s="36" cm="1">
        <f t="array" ref="F419">GetNumber(D419,2)+(GetNumber(D419,3)/10)</f>
        <v>3.8</v>
      </c>
      <c r="G419" s="35">
        <v>7.4</v>
      </c>
      <c r="H419" s="35">
        <v>5063</v>
      </c>
      <c r="I419" s="35">
        <f>8.95*($T$2)</f>
        <v>17.899999999999999</v>
      </c>
      <c r="J419" s="35">
        <f>66.2*($T$2)</f>
        <v>132.4</v>
      </c>
      <c r="K419" s="35">
        <f t="shared" si="31"/>
        <v>45.317220543806641</v>
      </c>
      <c r="L419" s="35">
        <f t="shared" si="32"/>
        <v>45.296693341386081</v>
      </c>
      <c r="M419" s="35">
        <f>1.1*($T$2)</f>
        <v>2.2000000000000002</v>
      </c>
      <c r="N419" s="35">
        <v>26.7</v>
      </c>
      <c r="O419" s="35">
        <f t="shared" si="30"/>
        <v>1.6616314199395772</v>
      </c>
      <c r="P419" s="35">
        <f t="shared" si="33"/>
        <v>99.697885196374614</v>
      </c>
      <c r="Q419" s="35">
        <v>0</v>
      </c>
      <c r="R419" s="35">
        <f t="shared" si="34"/>
        <v>100</v>
      </c>
    </row>
    <row r="420" spans="1:18" x14ac:dyDescent="0.3">
      <c r="A420" s="35" t="s">
        <v>274</v>
      </c>
      <c r="B420" s="35">
        <v>1.59</v>
      </c>
      <c r="C420" s="35">
        <v>1100</v>
      </c>
      <c r="D420" s="35" t="s">
        <v>70</v>
      </c>
      <c r="E420" s="36" t="str" cm="1">
        <f t="array" ref="E420">GetNumber(D420,1)</f>
        <v>11</v>
      </c>
      <c r="F420" s="36" cm="1">
        <f t="array" ref="F420">GetNumber(D420,2)+(GetNumber(D420,3)/10)</f>
        <v>5.5</v>
      </c>
      <c r="G420" s="35">
        <v>7.4</v>
      </c>
      <c r="H420" s="35">
        <v>5062</v>
      </c>
      <c r="I420" s="35">
        <f>9.12*($T$2)</f>
        <v>18.239999999999998</v>
      </c>
      <c r="J420" s="35">
        <f>67.5*($T$2)</f>
        <v>135</v>
      </c>
      <c r="K420" s="35">
        <f t="shared" si="31"/>
        <v>44.444444444444443</v>
      </c>
      <c r="L420" s="35">
        <f t="shared" si="32"/>
        <v>44.452347083926036</v>
      </c>
      <c r="M420" s="35">
        <f>1.107*($T$2)</f>
        <v>2.214</v>
      </c>
      <c r="N420" s="35">
        <v>38.700000000000003</v>
      </c>
      <c r="O420" s="35">
        <f t="shared" si="30"/>
        <v>1.6400000000000001</v>
      </c>
      <c r="P420" s="35">
        <f t="shared" si="33"/>
        <v>98.399999999999991</v>
      </c>
      <c r="Q420" s="35">
        <v>0</v>
      </c>
      <c r="R420" s="35">
        <f t="shared" si="34"/>
        <v>100</v>
      </c>
    </row>
    <row r="421" spans="1:18" x14ac:dyDescent="0.3">
      <c r="A421" s="35" t="s">
        <v>274</v>
      </c>
      <c r="B421" s="35">
        <v>1.59</v>
      </c>
      <c r="C421" s="35">
        <v>1100</v>
      </c>
      <c r="D421" s="35" t="s">
        <v>267</v>
      </c>
      <c r="E421" s="36" t="str" cm="1">
        <f t="array" ref="E421">GetNumber(D421,1)</f>
        <v>8</v>
      </c>
      <c r="F421" s="36" cm="1">
        <f t="array" ref="F421">GetNumber(D421,2)+(GetNumber(D421,3)/10)</f>
        <v>4.5</v>
      </c>
      <c r="G421" s="35">
        <v>7.4</v>
      </c>
      <c r="H421" s="35">
        <v>6141</v>
      </c>
      <c r="I421" s="35">
        <f>6.15*($T$2)</f>
        <v>12.3</v>
      </c>
      <c r="J421" s="35">
        <f>45.5*($T$2)</f>
        <v>91</v>
      </c>
      <c r="K421" s="35">
        <f t="shared" si="31"/>
        <v>65.934065934065941</v>
      </c>
      <c r="L421" s="35">
        <f t="shared" si="32"/>
        <v>65.919578114700059</v>
      </c>
      <c r="M421" s="35">
        <f>0.749*($T$2)</f>
        <v>1.498</v>
      </c>
      <c r="N421" s="35">
        <v>38.4</v>
      </c>
      <c r="O421" s="35">
        <f t="shared" si="30"/>
        <v>1.6461538461538461</v>
      </c>
      <c r="P421" s="35">
        <f t="shared" si="33"/>
        <v>98.769230769230774</v>
      </c>
      <c r="Q421" s="35">
        <v>0</v>
      </c>
      <c r="R421" s="35">
        <f t="shared" si="34"/>
        <v>100</v>
      </c>
    </row>
    <row r="422" spans="1:18" x14ac:dyDescent="0.3">
      <c r="A422" s="35" t="s">
        <v>274</v>
      </c>
      <c r="B422" s="35">
        <v>1.59</v>
      </c>
      <c r="C422" s="35">
        <v>1100</v>
      </c>
      <c r="D422" s="35" t="s">
        <v>269</v>
      </c>
      <c r="E422" s="36" t="str" cm="1">
        <f t="array" ref="E422">GetNumber(D422,1)</f>
        <v>9</v>
      </c>
      <c r="F422" s="36" cm="1">
        <f t="array" ref="F422">GetNumber(D422,2)+(GetNumber(D422,3)/10)</f>
        <v>4.7</v>
      </c>
      <c r="G422" s="35">
        <v>7.4</v>
      </c>
      <c r="H422" s="35">
        <v>5827</v>
      </c>
      <c r="I422" s="35">
        <f>6.97*($T$2)</f>
        <v>13.94</v>
      </c>
      <c r="J422" s="35">
        <f>51.6*($T$2)</f>
        <v>103.2</v>
      </c>
      <c r="K422" s="35">
        <f t="shared" si="31"/>
        <v>58.139534883720927</v>
      </c>
      <c r="L422" s="35">
        <f t="shared" si="32"/>
        <v>58.164333630617705</v>
      </c>
      <c r="M422" s="35">
        <f>0.881*($T$2)</f>
        <v>1.762</v>
      </c>
      <c r="N422" s="35">
        <v>38</v>
      </c>
      <c r="O422" s="35">
        <f t="shared" si="30"/>
        <v>1.7073643410852712</v>
      </c>
      <c r="P422" s="35">
        <f t="shared" si="33"/>
        <v>102.44186046511628</v>
      </c>
      <c r="Q422" s="35">
        <v>0</v>
      </c>
      <c r="R422" s="35">
        <f t="shared" si="34"/>
        <v>100</v>
      </c>
    </row>
    <row r="423" spans="1:18" x14ac:dyDescent="0.3">
      <c r="A423" s="35" t="s">
        <v>274</v>
      </c>
      <c r="B423" s="35">
        <v>1.59</v>
      </c>
      <c r="C423" s="35">
        <v>1100</v>
      </c>
      <c r="D423" s="35" t="s">
        <v>275</v>
      </c>
      <c r="E423" s="36" t="str" cm="1">
        <f t="array" ref="E423">GetNumber(D423,1)</f>
        <v>10</v>
      </c>
      <c r="F423" s="36" cm="1">
        <f t="array" ref="F423">GetNumber(D423,2)+(GetNumber(D423,3)/10)</f>
        <v>4.5</v>
      </c>
      <c r="G423" s="35">
        <v>7.4</v>
      </c>
      <c r="H423" s="35">
        <v>5145</v>
      </c>
      <c r="I423" s="35">
        <f>8.81*($T$2)</f>
        <v>17.62</v>
      </c>
      <c r="J423" s="35">
        <f>65.2*($T$2)</f>
        <v>130.4</v>
      </c>
      <c r="K423" s="35">
        <f t="shared" si="31"/>
        <v>46.012269938650306</v>
      </c>
      <c r="L423" s="35">
        <f t="shared" si="32"/>
        <v>46.016504586311612</v>
      </c>
      <c r="M423" s="35">
        <f>1.015*($T$2)</f>
        <v>2.0299999999999998</v>
      </c>
      <c r="N423" s="35">
        <v>32.1</v>
      </c>
      <c r="O423" s="35">
        <f t="shared" si="30"/>
        <v>1.5567484662576685</v>
      </c>
      <c r="P423" s="35">
        <f t="shared" si="33"/>
        <v>93.404907975460105</v>
      </c>
      <c r="Q423" s="35">
        <v>0</v>
      </c>
      <c r="R423" s="35">
        <f t="shared" si="34"/>
        <v>100</v>
      </c>
    </row>
    <row r="424" spans="1:18" x14ac:dyDescent="0.3">
      <c r="A424" s="35" t="s">
        <v>274</v>
      </c>
      <c r="B424" s="35">
        <v>1.59</v>
      </c>
      <c r="C424" s="35">
        <v>1100</v>
      </c>
      <c r="D424" s="35" t="s">
        <v>184</v>
      </c>
      <c r="E424" s="36" t="str" cm="1">
        <f t="array" ref="E424">GetNumber(D424,1)</f>
        <v>8</v>
      </c>
      <c r="F424" s="36" t="str" cm="1">
        <f t="array" ref="F424">GetNumber(D424,2)</f>
        <v>6</v>
      </c>
      <c r="G424" s="35">
        <v>7.4</v>
      </c>
      <c r="H424" s="35">
        <v>6149</v>
      </c>
      <c r="I424" s="35">
        <f>6.11*($T$2)</f>
        <v>12.22</v>
      </c>
      <c r="J424" s="35">
        <f>45.2*($T$2)</f>
        <v>90.4</v>
      </c>
      <c r="K424" s="35">
        <f t="shared" si="31"/>
        <v>66.371681415929203</v>
      </c>
      <c r="L424" s="35">
        <f t="shared" si="32"/>
        <v>66.351130180917409</v>
      </c>
      <c r="M424" s="35">
        <f>0.727*($T$2)</f>
        <v>1.454</v>
      </c>
      <c r="N424" s="35">
        <v>51.2</v>
      </c>
      <c r="O424" s="35">
        <f t="shared" si="30"/>
        <v>1.6084070796460175</v>
      </c>
      <c r="P424" s="35">
        <f t="shared" si="33"/>
        <v>96.504424778761063</v>
      </c>
      <c r="Q424" s="35">
        <v>0</v>
      </c>
      <c r="R424" s="35">
        <f t="shared" si="34"/>
        <v>100</v>
      </c>
    </row>
    <row r="425" spans="1:18" x14ac:dyDescent="0.3">
      <c r="A425" s="35" t="s">
        <v>274</v>
      </c>
      <c r="B425" s="35">
        <v>1.59</v>
      </c>
      <c r="C425" s="35">
        <v>1100</v>
      </c>
      <c r="D425" s="35" t="s">
        <v>186</v>
      </c>
      <c r="E425" s="36" t="str" cm="1">
        <f t="array" ref="E425">GetNumber(D425,1)</f>
        <v>9</v>
      </c>
      <c r="F425" s="36" cm="1">
        <f t="array" ref="F425">GetNumber(D425,2)+(GetNumber(D425,3)/10)</f>
        <v>4.7</v>
      </c>
      <c r="G425" s="35">
        <v>7.4</v>
      </c>
      <c r="H425" s="35">
        <v>5846</v>
      </c>
      <c r="I425" s="35">
        <f>6.91*($T$2)</f>
        <v>13.82</v>
      </c>
      <c r="J425" s="35">
        <f>51.1*($T$2)</f>
        <v>102.2</v>
      </c>
      <c r="K425" s="35">
        <f t="shared" si="31"/>
        <v>58.708414872798429</v>
      </c>
      <c r="L425" s="35">
        <f t="shared" si="32"/>
        <v>58.669378495717126</v>
      </c>
      <c r="M425" s="35">
        <f>0.887*($T$2)</f>
        <v>1.774</v>
      </c>
      <c r="N425" s="35">
        <v>38.1</v>
      </c>
      <c r="O425" s="35">
        <f t="shared" si="30"/>
        <v>1.735812133072407</v>
      </c>
      <c r="P425" s="35">
        <f t="shared" si="33"/>
        <v>104.14872798434442</v>
      </c>
      <c r="Q425" s="35">
        <v>0</v>
      </c>
      <c r="R425" s="35">
        <f t="shared" si="34"/>
        <v>100</v>
      </c>
    </row>
    <row r="426" spans="1:18" x14ac:dyDescent="0.3">
      <c r="A426" s="35" t="s">
        <v>274</v>
      </c>
      <c r="B426" s="35">
        <v>1.59</v>
      </c>
      <c r="C426" s="35">
        <v>1100</v>
      </c>
      <c r="D426" s="35" t="s">
        <v>237</v>
      </c>
      <c r="E426" s="36" t="str" cm="1">
        <f t="array" ref="E426">GetNumber(D426,1)</f>
        <v>9</v>
      </c>
      <c r="F426" s="36" t="str" cm="1">
        <f t="array" ref="F426">GetNumber(D426,2)</f>
        <v>5</v>
      </c>
      <c r="G426" s="35">
        <v>7.4</v>
      </c>
      <c r="H426" s="35">
        <v>5866</v>
      </c>
      <c r="I426" s="35">
        <f>6.95*($T$2)</f>
        <v>13.9</v>
      </c>
      <c r="J426" s="35">
        <f>51.5*($T$2)</f>
        <v>103</v>
      </c>
      <c r="K426" s="35">
        <f t="shared" si="31"/>
        <v>58.252427184466022</v>
      </c>
      <c r="L426" s="35">
        <f t="shared" si="32"/>
        <v>58.331713007971992</v>
      </c>
      <c r="M426" s="35">
        <f>0.878*($T$2)</f>
        <v>1.756</v>
      </c>
      <c r="N426" s="35">
        <v>40.799999999999997</v>
      </c>
      <c r="O426" s="35">
        <f t="shared" si="30"/>
        <v>1.7048543689320388</v>
      </c>
      <c r="P426" s="35">
        <f t="shared" si="33"/>
        <v>102.29126213592234</v>
      </c>
      <c r="Q426" s="35">
        <v>0</v>
      </c>
      <c r="R426" s="35">
        <f t="shared" si="34"/>
        <v>100</v>
      </c>
    </row>
    <row r="427" spans="1:18" x14ac:dyDescent="0.3">
      <c r="A427" s="35" t="s">
        <v>274</v>
      </c>
      <c r="B427" s="35">
        <v>1.59</v>
      </c>
      <c r="C427" s="35">
        <v>1100</v>
      </c>
      <c r="D427" s="35" t="s">
        <v>276</v>
      </c>
      <c r="E427" s="36" t="str" cm="1">
        <f t="array" ref="E427">GetNumber(D427,1)</f>
        <v>9</v>
      </c>
      <c r="F427" s="36" t="str" cm="1">
        <f t="array" ref="F427">GetNumber(D427,2)</f>
        <v>7</v>
      </c>
      <c r="G427" s="35">
        <v>7.4</v>
      </c>
      <c r="H427" s="35">
        <v>5110</v>
      </c>
      <c r="I427" s="35">
        <f>8.94*($T$2)</f>
        <v>17.88</v>
      </c>
      <c r="J427" s="35">
        <f>66.1*($T$2)</f>
        <v>132.19999999999999</v>
      </c>
      <c r="K427" s="35">
        <f t="shared" si="31"/>
        <v>45.385779122541607</v>
      </c>
      <c r="L427" s="35">
        <f t="shared" si="32"/>
        <v>45.347360783602397</v>
      </c>
      <c r="M427" s="35">
        <f>0.847*($T$2)</f>
        <v>1.694</v>
      </c>
      <c r="N427" s="35">
        <v>49.7</v>
      </c>
      <c r="O427" s="35">
        <f t="shared" si="30"/>
        <v>1.281391830559758</v>
      </c>
      <c r="P427" s="35">
        <f t="shared" si="33"/>
        <v>76.883509833585478</v>
      </c>
      <c r="Q427" s="35">
        <v>0</v>
      </c>
      <c r="R427" s="35">
        <f t="shared" si="34"/>
        <v>100</v>
      </c>
    </row>
    <row r="428" spans="1:18" x14ac:dyDescent="0.3">
      <c r="A428" s="35" t="s">
        <v>274</v>
      </c>
      <c r="B428" s="35">
        <v>1.59</v>
      </c>
      <c r="C428" s="35">
        <v>1100</v>
      </c>
      <c r="D428" s="35" t="s">
        <v>271</v>
      </c>
      <c r="E428" s="36" t="str" cm="1">
        <f t="array" ref="E428">GetNumber(D428,1)</f>
        <v>9</v>
      </c>
      <c r="F428" s="36" cm="1">
        <f t="array" ref="F428">GetNumber(D428,2)+(GetNumber(D428,3)/10)</f>
        <v>7.5</v>
      </c>
      <c r="G428" s="35">
        <v>7.4</v>
      </c>
      <c r="H428" s="35">
        <v>5389</v>
      </c>
      <c r="I428" s="35">
        <f>8.32*($T$2)</f>
        <v>16.64</v>
      </c>
      <c r="J428" s="35">
        <f>61.6*($T$2)</f>
        <v>123.2</v>
      </c>
      <c r="K428" s="35">
        <f t="shared" si="31"/>
        <v>48.701298701298704</v>
      </c>
      <c r="L428" s="35">
        <f t="shared" si="32"/>
        <v>48.726611226611219</v>
      </c>
      <c r="M428" s="35">
        <f>0.771*($T$2)</f>
        <v>1.542</v>
      </c>
      <c r="N428" s="35">
        <v>56.2</v>
      </c>
      <c r="O428" s="35">
        <f t="shared" si="30"/>
        <v>1.2516233766233766</v>
      </c>
      <c r="P428" s="35">
        <f t="shared" si="33"/>
        <v>75.097402597402606</v>
      </c>
      <c r="Q428" s="35">
        <v>0</v>
      </c>
      <c r="R428" s="35">
        <f t="shared" si="34"/>
        <v>100</v>
      </c>
    </row>
    <row r="429" spans="1:18" x14ac:dyDescent="0.3">
      <c r="A429" s="35" t="s">
        <v>274</v>
      </c>
      <c r="B429" s="35">
        <v>1.59</v>
      </c>
      <c r="C429" s="35">
        <v>1100</v>
      </c>
      <c r="D429" s="35" t="s">
        <v>238</v>
      </c>
      <c r="E429" s="36" t="str" cm="1">
        <f t="array" ref="E429">GetNumber(D429,1)</f>
        <v>10</v>
      </c>
      <c r="F429" s="36" t="str" cm="1">
        <f t="array" ref="F429">GetNumber(D429,2)</f>
        <v>6</v>
      </c>
      <c r="G429" s="35">
        <v>7.4</v>
      </c>
      <c r="H429" s="35">
        <v>5716</v>
      </c>
      <c r="I429" s="35">
        <f>7.39*($T$2)</f>
        <v>14.78</v>
      </c>
      <c r="J429" s="35">
        <f>54.7*($T$2)</f>
        <v>109.4</v>
      </c>
      <c r="K429" s="35">
        <f t="shared" si="31"/>
        <v>54.844606946983539</v>
      </c>
      <c r="L429" s="35">
        <f t="shared" si="32"/>
        <v>54.858647551475691</v>
      </c>
      <c r="M429" s="35">
        <f>0.956*($T$2)</f>
        <v>1.9119999999999999</v>
      </c>
      <c r="N429" s="35">
        <v>47.7</v>
      </c>
      <c r="O429" s="35">
        <f t="shared" si="30"/>
        <v>1.7477148080438754</v>
      </c>
      <c r="P429" s="35">
        <f t="shared" si="33"/>
        <v>104.86288848263253</v>
      </c>
      <c r="Q429" s="35">
        <v>0</v>
      </c>
      <c r="R429" s="35">
        <f t="shared" si="34"/>
        <v>100</v>
      </c>
    </row>
    <row r="430" spans="1:18" x14ac:dyDescent="0.3">
      <c r="A430" s="35" t="s">
        <v>274</v>
      </c>
      <c r="B430" s="35">
        <v>1.59</v>
      </c>
      <c r="C430" s="35">
        <v>1100</v>
      </c>
      <c r="D430" s="35" t="s">
        <v>272</v>
      </c>
      <c r="E430" s="36" t="str" cm="1">
        <f t="array" ref="E430">GetNumber(D430,1)</f>
        <v>10</v>
      </c>
      <c r="F430" s="36" t="str" cm="1">
        <f t="array" ref="F430">GetNumber(D430,2)</f>
        <v>6</v>
      </c>
      <c r="G430" s="35">
        <v>7.4</v>
      </c>
      <c r="H430" s="35">
        <v>5124</v>
      </c>
      <c r="I430" s="35">
        <f>8.88*($T$2)</f>
        <v>17.760000000000002</v>
      </c>
      <c r="J430" s="35">
        <f>65.7*($T$2)</f>
        <v>131.4</v>
      </c>
      <c r="K430" s="35">
        <f t="shared" si="31"/>
        <v>45.662100456621005</v>
      </c>
      <c r="L430" s="35">
        <f t="shared" si="32"/>
        <v>45.653761869978084</v>
      </c>
      <c r="M430" s="35">
        <f>1.036*($T$2)</f>
        <v>2.0720000000000001</v>
      </c>
      <c r="N430" s="35">
        <v>42.7</v>
      </c>
      <c r="O430" s="35">
        <f t="shared" si="30"/>
        <v>1.5768645357686455</v>
      </c>
      <c r="P430" s="35">
        <f t="shared" si="33"/>
        <v>94.611872146118728</v>
      </c>
      <c r="Q430" s="35">
        <v>0</v>
      </c>
      <c r="R430" s="35">
        <f t="shared" si="34"/>
        <v>100</v>
      </c>
    </row>
    <row r="431" spans="1:18" x14ac:dyDescent="0.3">
      <c r="A431" s="35" t="s">
        <v>274</v>
      </c>
      <c r="B431" s="35">
        <v>1.59</v>
      </c>
      <c r="C431" s="35">
        <v>1100</v>
      </c>
      <c r="D431" s="35" t="s">
        <v>145</v>
      </c>
      <c r="E431" s="36" t="str" cm="1">
        <f t="array" ref="E431">GetNumber(D431,1)</f>
        <v>8</v>
      </c>
      <c r="F431" s="36" t="str" cm="1">
        <f t="array" ref="F431">GetNumber(D431,2)</f>
        <v>6</v>
      </c>
      <c r="G431" s="35">
        <v>7.4</v>
      </c>
      <c r="H431" s="35">
        <v>6016</v>
      </c>
      <c r="I431" s="35">
        <f>6.55*($T$2)</f>
        <v>13.1</v>
      </c>
      <c r="J431" s="35">
        <f>48.4*($T$2)</f>
        <v>96.8</v>
      </c>
      <c r="K431" s="35">
        <f t="shared" si="31"/>
        <v>61.983471074380169</v>
      </c>
      <c r="L431" s="35">
        <f t="shared" si="32"/>
        <v>61.893955023726008</v>
      </c>
      <c r="M431" s="35">
        <f>0.604*($T$2)</f>
        <v>1.208</v>
      </c>
      <c r="N431" s="35">
        <v>50.2</v>
      </c>
      <c r="O431" s="35">
        <f t="shared" si="30"/>
        <v>1.2479338842975207</v>
      </c>
      <c r="P431" s="35">
        <f t="shared" si="33"/>
        <v>74.876033057851245</v>
      </c>
      <c r="Q431" s="35">
        <v>0</v>
      </c>
      <c r="R431" s="35">
        <f t="shared" si="34"/>
        <v>100</v>
      </c>
    </row>
    <row r="432" spans="1:18" x14ac:dyDescent="0.3">
      <c r="A432" s="35" t="s">
        <v>274</v>
      </c>
      <c r="B432" s="35">
        <v>1.59</v>
      </c>
      <c r="C432" s="35">
        <v>1100</v>
      </c>
      <c r="D432" s="35" t="s">
        <v>101</v>
      </c>
      <c r="E432" s="36" t="str" cm="1">
        <f t="array" ref="E432">GetNumber(D432,1)</f>
        <v>9</v>
      </c>
      <c r="F432" s="36" t="str" cm="1">
        <f t="array" ref="F432">GetNumber(D432,2)</f>
        <v>7</v>
      </c>
      <c r="G432" s="35">
        <v>7.4</v>
      </c>
      <c r="H432" s="35">
        <v>5142</v>
      </c>
      <c r="I432" s="35">
        <f>8.64*($T$2)</f>
        <v>17.28</v>
      </c>
      <c r="J432" s="35">
        <f>63.9*($T$2)</f>
        <v>127.8</v>
      </c>
      <c r="K432" s="35">
        <f t="shared" si="31"/>
        <v>46.948356807511736</v>
      </c>
      <c r="L432" s="35">
        <f t="shared" si="32"/>
        <v>46.921921921921914</v>
      </c>
      <c r="M432" s="35">
        <f>0.74*($T$2)</f>
        <v>1.48</v>
      </c>
      <c r="N432" s="35">
        <v>50</v>
      </c>
      <c r="O432" s="35">
        <f t="shared" si="30"/>
        <v>1.1580594679186229</v>
      </c>
      <c r="P432" s="35">
        <f t="shared" si="33"/>
        <v>69.483568075117375</v>
      </c>
      <c r="Q432" s="35">
        <v>0</v>
      </c>
      <c r="R432" s="35">
        <f t="shared" si="34"/>
        <v>100</v>
      </c>
    </row>
    <row r="433" spans="1:18" x14ac:dyDescent="0.3">
      <c r="A433" s="35" t="s">
        <v>274</v>
      </c>
      <c r="B433" s="35">
        <v>1.59</v>
      </c>
      <c r="C433" s="35">
        <v>1100</v>
      </c>
      <c r="D433" s="35" t="s">
        <v>79</v>
      </c>
      <c r="E433" s="36" t="str" cm="1">
        <f t="array" ref="E433">GetNumber(D433,1)</f>
        <v>10</v>
      </c>
      <c r="F433" s="36" t="str" cm="1">
        <f t="array" ref="F433">GetNumber(D433,2)</f>
        <v>5</v>
      </c>
      <c r="G433" s="35">
        <v>7.4</v>
      </c>
      <c r="H433" s="35">
        <v>5436</v>
      </c>
      <c r="I433" s="35">
        <f>7.99*($T$2)</f>
        <v>15.98</v>
      </c>
      <c r="J433" s="35">
        <f>59.1*($T$2)</f>
        <v>118.2</v>
      </c>
      <c r="K433" s="35">
        <f t="shared" si="31"/>
        <v>50.761421319796952</v>
      </c>
      <c r="L433" s="35">
        <f t="shared" si="32"/>
        <v>50.739099550113316</v>
      </c>
      <c r="M433" s="35">
        <f>0.932*($T$2)</f>
        <v>1.8640000000000001</v>
      </c>
      <c r="N433" s="35">
        <v>37.700000000000003</v>
      </c>
      <c r="O433" s="35">
        <f t="shared" si="30"/>
        <v>1.5769881556683587</v>
      </c>
      <c r="P433" s="35">
        <f t="shared" si="33"/>
        <v>94.619289340101517</v>
      </c>
      <c r="Q433" s="35">
        <v>0</v>
      </c>
      <c r="R433" s="35">
        <f t="shared" si="34"/>
        <v>100</v>
      </c>
    </row>
    <row r="434" spans="1:18" x14ac:dyDescent="0.3">
      <c r="A434" s="35" t="s">
        <v>274</v>
      </c>
      <c r="B434" s="35">
        <v>1.59</v>
      </c>
      <c r="C434" s="35">
        <v>1100</v>
      </c>
      <c r="D434" s="35" t="s">
        <v>148</v>
      </c>
      <c r="E434" s="36" t="str" cm="1">
        <f t="array" ref="E434">GetNumber(D434,1)</f>
        <v>7</v>
      </c>
      <c r="F434" s="36" t="str" cm="1">
        <f t="array" ref="F434">GetNumber(D434,2)</f>
        <v>5</v>
      </c>
      <c r="G434" s="35">
        <v>11.1</v>
      </c>
      <c r="H434" s="35">
        <v>9663</v>
      </c>
      <c r="I434" s="35">
        <f>7.26*($T$2)</f>
        <v>14.52</v>
      </c>
      <c r="J434" s="35">
        <f>80.6*($T$2)</f>
        <v>161.19999999999999</v>
      </c>
      <c r="K434" s="35">
        <f t="shared" si="31"/>
        <v>37.183622828784124</v>
      </c>
      <c r="L434" s="35">
        <f t="shared" si="32"/>
        <v>37.190082644628099</v>
      </c>
      <c r="M434" s="35">
        <f>0.912*($T$2)</f>
        <v>1.8240000000000001</v>
      </c>
      <c r="N434" s="35">
        <v>67.2</v>
      </c>
      <c r="O434" s="35">
        <f t="shared" si="30"/>
        <v>1.1315136476426801</v>
      </c>
      <c r="P434" s="35">
        <f t="shared" si="33"/>
        <v>67.822928039702248</v>
      </c>
      <c r="Q434" s="35">
        <f>('Batt Capacity and Sys Weight'!$I$2) + (B434*$T$2)</f>
        <v>34.013000000000005</v>
      </c>
      <c r="R434" s="35">
        <f>'Batt Capacity and Sys Weight'!$H$2</f>
        <v>99.9</v>
      </c>
    </row>
    <row r="435" spans="1:18" x14ac:dyDescent="0.3">
      <c r="A435" s="35" t="s">
        <v>274</v>
      </c>
      <c r="B435" s="35">
        <v>1.59</v>
      </c>
      <c r="C435" s="35">
        <v>1100</v>
      </c>
      <c r="D435" s="35" t="s">
        <v>195</v>
      </c>
      <c r="E435" s="36" t="str" cm="1">
        <f t="array" ref="E435">GetNumber(D435,1)</f>
        <v>7</v>
      </c>
      <c r="F435" s="36" t="str" cm="1">
        <f t="array" ref="F435">GetNumber(D435,2)</f>
        <v>5</v>
      </c>
      <c r="G435" s="35">
        <v>11.1</v>
      </c>
      <c r="H435" s="35">
        <v>9704</v>
      </c>
      <c r="I435" s="35">
        <f>7.17*($T$2)</f>
        <v>14.34</v>
      </c>
      <c r="J435" s="35">
        <f>79.6*($T$2)</f>
        <v>159.19999999999999</v>
      </c>
      <c r="K435" s="35">
        <f t="shared" si="31"/>
        <v>37.650753768844226</v>
      </c>
      <c r="L435" s="35">
        <f t="shared" si="32"/>
        <v>37.656903765690373</v>
      </c>
      <c r="M435" s="35">
        <f>0.937*($T$2)</f>
        <v>1.8740000000000001</v>
      </c>
      <c r="N435" s="35">
        <v>67.3</v>
      </c>
      <c r="O435" s="35">
        <f t="shared" si="30"/>
        <v>1.17713567839196</v>
      </c>
      <c r="P435" s="35">
        <f t="shared" si="33"/>
        <v>70.557512562814082</v>
      </c>
      <c r="Q435" s="35">
        <f>('Batt Capacity and Sys Weight'!$I$2) + (B435*$T$2)</f>
        <v>34.013000000000005</v>
      </c>
      <c r="R435" s="35">
        <f>'Batt Capacity and Sys Weight'!$H$2</f>
        <v>99.9</v>
      </c>
    </row>
    <row r="436" spans="1:18" x14ac:dyDescent="0.3">
      <c r="A436" s="35" t="s">
        <v>274</v>
      </c>
      <c r="B436" s="35">
        <v>1.59</v>
      </c>
      <c r="C436" s="35">
        <v>1100</v>
      </c>
      <c r="D436" s="35" t="s">
        <v>149</v>
      </c>
      <c r="E436" s="36" t="str" cm="1">
        <f t="array" ref="E436">GetNumber(D436,1)</f>
        <v>7</v>
      </c>
      <c r="F436" s="36" t="str" cm="1">
        <f t="array" ref="F436">GetNumber(D436,2)</f>
        <v>6</v>
      </c>
      <c r="G436" s="35">
        <v>11.1</v>
      </c>
      <c r="H436" s="35">
        <v>9505</v>
      </c>
      <c r="I436" s="35">
        <f>7.68*($T$2)</f>
        <v>15.36</v>
      </c>
      <c r="J436" s="35">
        <f>85.2*($T$2)</f>
        <v>170.4</v>
      </c>
      <c r="K436" s="35">
        <f t="shared" si="31"/>
        <v>35.176056338028175</v>
      </c>
      <c r="L436" s="35">
        <f t="shared" si="32"/>
        <v>35.15625</v>
      </c>
      <c r="M436" s="35">
        <f>0.979*($T$2)</f>
        <v>1.958</v>
      </c>
      <c r="N436" s="35">
        <v>79.2</v>
      </c>
      <c r="O436" s="35">
        <f t="shared" si="30"/>
        <v>1.1490610328638498</v>
      </c>
      <c r="P436" s="35">
        <f t="shared" si="33"/>
        <v>68.874718309859162</v>
      </c>
      <c r="Q436" s="35">
        <f>('Batt Capacity and Sys Weight'!$I$2) + (B436*$T$2)</f>
        <v>34.013000000000005</v>
      </c>
      <c r="R436" s="35">
        <f>'Batt Capacity and Sys Weight'!$H$2</f>
        <v>99.9</v>
      </c>
    </row>
    <row r="437" spans="1:18" x14ac:dyDescent="0.3">
      <c r="A437" s="35" t="s">
        <v>274</v>
      </c>
      <c r="B437" s="35">
        <v>1.59</v>
      </c>
      <c r="C437" s="35">
        <v>1100</v>
      </c>
      <c r="D437" s="35" t="s">
        <v>196</v>
      </c>
      <c r="E437" s="36" t="str" cm="1">
        <f t="array" ref="E437">GetNumber(D437,1)</f>
        <v>7</v>
      </c>
      <c r="F437" s="36" t="str" cm="1">
        <f t="array" ref="F437">GetNumber(D437,2)</f>
        <v>6</v>
      </c>
      <c r="G437" s="35">
        <v>11.1</v>
      </c>
      <c r="H437" s="35">
        <v>9212</v>
      </c>
      <c r="I437" s="35">
        <f>8.33*($T$2)</f>
        <v>16.66</v>
      </c>
      <c r="J437" s="35">
        <f>92.5*($T$2)</f>
        <v>185</v>
      </c>
      <c r="K437" s="35">
        <f t="shared" si="31"/>
        <v>32.400000000000006</v>
      </c>
      <c r="L437" s="35">
        <f t="shared" si="32"/>
        <v>32.41296518607443</v>
      </c>
      <c r="M437" s="35">
        <f>0.897*($T$2)</f>
        <v>1.794</v>
      </c>
      <c r="N437" s="35">
        <v>76.7</v>
      </c>
      <c r="O437" s="35">
        <f t="shared" si="30"/>
        <v>0.96972972972972971</v>
      </c>
      <c r="P437" s="35">
        <f t="shared" si="33"/>
        <v>58.125600000000013</v>
      </c>
      <c r="Q437" s="35">
        <f>('Batt Capacity and Sys Weight'!$I$2) + (B437*$T$2)</f>
        <v>34.013000000000005</v>
      </c>
      <c r="R437" s="35">
        <f>'Batt Capacity and Sys Weight'!$H$2</f>
        <v>99.9</v>
      </c>
    </row>
    <row r="438" spans="1:18" x14ac:dyDescent="0.3">
      <c r="A438" s="35" t="s">
        <v>274</v>
      </c>
      <c r="B438" s="35">
        <v>1.59</v>
      </c>
      <c r="C438" s="35">
        <v>1100</v>
      </c>
      <c r="D438" s="35" t="s">
        <v>182</v>
      </c>
      <c r="E438" s="36" t="str" cm="1">
        <f t="array" ref="E438">GetNumber(D438,1)</f>
        <v>8</v>
      </c>
      <c r="F438" s="36" cm="1">
        <f t="array" ref="F438">GetNumber(D438,2)+(GetNumber(D438,3)/10)</f>
        <v>3.8</v>
      </c>
      <c r="G438" s="35">
        <v>11.1</v>
      </c>
      <c r="H438" s="35">
        <v>8886</v>
      </c>
      <c r="I438" s="35">
        <f>9.13*($T$2)</f>
        <v>18.260000000000002</v>
      </c>
      <c r="J438" s="35">
        <f>101.4*($T$2)</f>
        <v>202.8</v>
      </c>
      <c r="K438" s="35">
        <f t="shared" si="31"/>
        <v>29.556213017751482</v>
      </c>
      <c r="L438" s="35">
        <f t="shared" si="32"/>
        <v>29.572836801752462</v>
      </c>
      <c r="M438" s="35">
        <f>1.278*($T$2)</f>
        <v>2.556</v>
      </c>
      <c r="N438" s="35">
        <v>46.9</v>
      </c>
      <c r="O438" s="35">
        <f t="shared" si="30"/>
        <v>1.2603550295857988</v>
      </c>
      <c r="P438" s="35">
        <f t="shared" si="33"/>
        <v>75.545680473372784</v>
      </c>
      <c r="Q438" s="35">
        <f>('Batt Capacity and Sys Weight'!$I$2) + (B438*$T$2)</f>
        <v>34.013000000000005</v>
      </c>
      <c r="R438" s="35">
        <f>'Batt Capacity and Sys Weight'!$H$2</f>
        <v>99.9</v>
      </c>
    </row>
    <row r="439" spans="1:18" x14ac:dyDescent="0.3">
      <c r="A439" s="35" t="s">
        <v>274</v>
      </c>
      <c r="B439" s="35">
        <v>1.59</v>
      </c>
      <c r="C439" s="35">
        <v>1100</v>
      </c>
      <c r="D439" s="35" t="s">
        <v>126</v>
      </c>
      <c r="E439" s="36" t="str" cm="1">
        <f t="array" ref="E439">GetNumber(D439,1)</f>
        <v>8</v>
      </c>
      <c r="F439" s="36" t="str" cm="1">
        <f t="array" ref="F439">GetNumber(D439,2)</f>
        <v>4</v>
      </c>
      <c r="G439" s="35">
        <v>11.1</v>
      </c>
      <c r="H439" s="35">
        <v>9297</v>
      </c>
      <c r="I439" s="35">
        <f>8.15*($T$2)</f>
        <v>16.3</v>
      </c>
      <c r="J439" s="35">
        <f>90.5*($T$2)</f>
        <v>181</v>
      </c>
      <c r="K439" s="35">
        <f t="shared" si="31"/>
        <v>33.116022099447513</v>
      </c>
      <c r="L439" s="35">
        <f t="shared" si="32"/>
        <v>33.128834355828218</v>
      </c>
      <c r="M439" s="35">
        <f>1.182*($T$2)</f>
        <v>2.3639999999999999</v>
      </c>
      <c r="N439" s="35">
        <v>51.6</v>
      </c>
      <c r="O439" s="35">
        <f t="shared" si="30"/>
        <v>1.3060773480662984</v>
      </c>
      <c r="P439" s="35">
        <f t="shared" si="33"/>
        <v>78.286276243093909</v>
      </c>
      <c r="Q439" s="35">
        <f>('Batt Capacity and Sys Weight'!$I$2) + (B439*$T$2)</f>
        <v>34.013000000000005</v>
      </c>
      <c r="R439" s="35">
        <f>'Batt Capacity and Sys Weight'!$H$2</f>
        <v>99.9</v>
      </c>
    </row>
    <row r="440" spans="1:18" x14ac:dyDescent="0.3">
      <c r="A440" s="35" t="s">
        <v>274</v>
      </c>
      <c r="B440" s="35">
        <v>1.59</v>
      </c>
      <c r="C440" s="35">
        <v>1100</v>
      </c>
      <c r="D440" s="35" t="s">
        <v>239</v>
      </c>
      <c r="E440" s="36" t="str" cm="1">
        <f t="array" ref="E440">GetNumber(D440,1)</f>
        <v>8</v>
      </c>
      <c r="F440" s="36" t="str" cm="1">
        <f t="array" ref="F440">GetNumber(D440,2)</f>
        <v>4</v>
      </c>
      <c r="G440" s="35">
        <v>11.1</v>
      </c>
      <c r="H440" s="35">
        <v>9905</v>
      </c>
      <c r="I440" s="35">
        <f>6.7*($T$2)</f>
        <v>13.4</v>
      </c>
      <c r="J440" s="35">
        <f>74.3*($T$2)</f>
        <v>148.6</v>
      </c>
      <c r="K440" s="35">
        <f t="shared" si="31"/>
        <v>40.336473755047116</v>
      </c>
      <c r="L440" s="35">
        <f t="shared" si="32"/>
        <v>40.298507462686565</v>
      </c>
      <c r="M440" s="35">
        <f>1.115*($T$2)</f>
        <v>2.23</v>
      </c>
      <c r="N440" s="35">
        <v>55</v>
      </c>
      <c r="O440" s="35">
        <f t="shared" si="30"/>
        <v>1.5006729475100944</v>
      </c>
      <c r="P440" s="35">
        <f t="shared" si="33"/>
        <v>89.950336473755073</v>
      </c>
      <c r="Q440" s="35">
        <f>('Batt Capacity and Sys Weight'!$I$2) + (B440*$T$2)</f>
        <v>34.013000000000005</v>
      </c>
      <c r="R440" s="35">
        <f>'Batt Capacity and Sys Weight'!$H$2</f>
        <v>99.9</v>
      </c>
    </row>
    <row r="441" spans="1:18" x14ac:dyDescent="0.3">
      <c r="A441" s="35" t="s">
        <v>274</v>
      </c>
      <c r="B441" s="35">
        <v>1.59</v>
      </c>
      <c r="C441" s="35">
        <v>1100</v>
      </c>
      <c r="D441" s="35" t="s">
        <v>240</v>
      </c>
      <c r="E441" s="36" t="str" cm="1">
        <f t="array" ref="E441">GetNumber(D441,1)</f>
        <v>8</v>
      </c>
      <c r="F441" s="36" t="str" cm="1">
        <f t="array" ref="F441">GetNumber(D441,2)</f>
        <v>4</v>
      </c>
      <c r="G441" s="35">
        <v>11.1</v>
      </c>
      <c r="H441" s="35">
        <v>9398</v>
      </c>
      <c r="I441" s="35">
        <f>7.87*($T$2)</f>
        <v>15.74</v>
      </c>
      <c r="J441" s="35">
        <f>87.4*($T$2)</f>
        <v>174.8</v>
      </c>
      <c r="K441" s="35">
        <f t="shared" si="31"/>
        <v>34.29061784897025</v>
      </c>
      <c r="L441" s="35">
        <f t="shared" si="32"/>
        <v>34.307496823379921</v>
      </c>
      <c r="M441" s="35">
        <f>1.179*($T$2)</f>
        <v>2.3580000000000001</v>
      </c>
      <c r="N441" s="35">
        <v>52.2</v>
      </c>
      <c r="O441" s="35">
        <f t="shared" si="30"/>
        <v>1.3489702517162472</v>
      </c>
      <c r="P441" s="35">
        <f t="shared" si="33"/>
        <v>80.857276887871848</v>
      </c>
      <c r="Q441" s="35">
        <f>('Batt Capacity and Sys Weight'!$I$2) + (B441*$T$2)</f>
        <v>34.013000000000005</v>
      </c>
      <c r="R441" s="35">
        <f>'Batt Capacity and Sys Weight'!$H$2</f>
        <v>99.9</v>
      </c>
    </row>
    <row r="442" spans="1:18" x14ac:dyDescent="0.3">
      <c r="A442" s="35" t="s">
        <v>274</v>
      </c>
      <c r="B442" s="35">
        <v>1.59</v>
      </c>
      <c r="C442" s="35">
        <v>1100</v>
      </c>
      <c r="D442" s="35" t="s">
        <v>144</v>
      </c>
      <c r="E442" s="36" t="str" cm="1">
        <f t="array" ref="E442">GetNumber(D442,1)</f>
        <v>7</v>
      </c>
      <c r="F442" s="36" t="str" cm="1">
        <f t="array" ref="F442">GetNumber(D442,2)</f>
        <v>4</v>
      </c>
      <c r="G442" s="35">
        <v>11.1</v>
      </c>
      <c r="H442" s="35">
        <v>9836</v>
      </c>
      <c r="I442" s="35">
        <f>6.86*($T$2)</f>
        <v>13.72</v>
      </c>
      <c r="J442" s="35">
        <f>76.2*($T$2)</f>
        <v>152.4</v>
      </c>
      <c r="K442" s="35">
        <f t="shared" si="31"/>
        <v>39.330708661417326</v>
      </c>
      <c r="L442" s="35">
        <f t="shared" si="32"/>
        <v>39.358600583090379</v>
      </c>
      <c r="M442" s="35">
        <f>0.808*($T$2)</f>
        <v>1.6160000000000001</v>
      </c>
      <c r="N442" s="35">
        <v>54.7</v>
      </c>
      <c r="O442" s="35">
        <f t="shared" si="30"/>
        <v>1.0603674540682415</v>
      </c>
      <c r="P442" s="35">
        <f t="shared" si="33"/>
        <v>63.558425196850401</v>
      </c>
      <c r="Q442" s="35">
        <f>('Batt Capacity and Sys Weight'!$I$2) + (B442*$T$2)</f>
        <v>34.013000000000005</v>
      </c>
      <c r="R442" s="35">
        <f>'Batt Capacity and Sys Weight'!$H$2</f>
        <v>99.9</v>
      </c>
    </row>
    <row r="443" spans="1:18" x14ac:dyDescent="0.3">
      <c r="A443" s="35" t="s">
        <v>277</v>
      </c>
      <c r="B443" s="35">
        <v>5.86</v>
      </c>
      <c r="C443" s="35">
        <v>890</v>
      </c>
      <c r="D443" s="35" t="s">
        <v>187</v>
      </c>
      <c r="E443" s="36" t="str" cm="1">
        <f t="array" ref="E443">GetNumber(D443,1)</f>
        <v>9</v>
      </c>
      <c r="F443" s="36" t="str" cm="1">
        <f t="array" ref="F443">GetNumber(D443,2)</f>
        <v>6</v>
      </c>
      <c r="G443" s="35">
        <v>11.1</v>
      </c>
      <c r="H443" s="35">
        <v>8435</v>
      </c>
      <c r="I443" s="35">
        <f>26.94*($T$2)</f>
        <v>53.88</v>
      </c>
      <c r="J443" s="35">
        <f>299.1*($T$2)</f>
        <v>598.20000000000005</v>
      </c>
      <c r="K443" s="35">
        <f t="shared" si="31"/>
        <v>10.020060180541623</v>
      </c>
      <c r="L443" s="35">
        <f t="shared" si="32"/>
        <v>10.022271714922049</v>
      </c>
      <c r="M443" s="35">
        <f>2.689*($T$2)</f>
        <v>5.3780000000000001</v>
      </c>
      <c r="N443" s="35">
        <v>70.3</v>
      </c>
      <c r="O443" s="35">
        <f t="shared" si="30"/>
        <v>0.89903042460715477</v>
      </c>
      <c r="P443" s="35">
        <f t="shared" si="33"/>
        <v>53.887883650952851</v>
      </c>
      <c r="Q443" s="35">
        <f>('Batt Capacity and Sys Weight'!$I$2) + (B443*$T$2)</f>
        <v>42.553000000000004</v>
      </c>
      <c r="R443" s="35">
        <f>'Batt Capacity and Sys Weight'!$H$2</f>
        <v>99.9</v>
      </c>
    </row>
    <row r="444" spans="1:18" x14ac:dyDescent="0.3">
      <c r="A444" s="35" t="s">
        <v>277</v>
      </c>
      <c r="B444" s="35">
        <v>5.86</v>
      </c>
      <c r="C444" s="35">
        <v>890</v>
      </c>
      <c r="D444" s="35" t="s">
        <v>188</v>
      </c>
      <c r="E444" s="36" t="str" cm="1">
        <f t="array" ref="E444">GetNumber(D444,1)</f>
        <v>9</v>
      </c>
      <c r="F444" s="36" cm="1">
        <f t="array" ref="F444">GetNumber(D444,2)+(GetNumber(D444,3)/10)</f>
        <v>7.5</v>
      </c>
      <c r="G444" s="35">
        <v>11.1</v>
      </c>
      <c r="H444" s="35">
        <v>8239</v>
      </c>
      <c r="I444" s="35">
        <f>30.38*($T$2)</f>
        <v>60.76</v>
      </c>
      <c r="J444" s="35">
        <f>337.2*($T$2)</f>
        <v>674.4</v>
      </c>
      <c r="K444" s="35">
        <f t="shared" si="31"/>
        <v>8.8879003558718868</v>
      </c>
      <c r="L444" s="35">
        <f t="shared" si="32"/>
        <v>8.8874259381171825</v>
      </c>
      <c r="M444" s="35">
        <f>2.592*($T$2)</f>
        <v>5.1840000000000002</v>
      </c>
      <c r="N444" s="35">
        <v>85.8</v>
      </c>
      <c r="O444" s="35">
        <f t="shared" si="30"/>
        <v>0.76868327402135239</v>
      </c>
      <c r="P444" s="35">
        <f t="shared" si="33"/>
        <v>46.074875444839861</v>
      </c>
      <c r="Q444" s="35">
        <f>('Batt Capacity and Sys Weight'!$I$2) + (B444*$T$2)</f>
        <v>42.553000000000004</v>
      </c>
      <c r="R444" s="35">
        <f>'Batt Capacity and Sys Weight'!$H$2</f>
        <v>99.9</v>
      </c>
    </row>
    <row r="445" spans="1:18" x14ac:dyDescent="0.3">
      <c r="A445" s="35" t="s">
        <v>277</v>
      </c>
      <c r="B445" s="35">
        <v>5.86</v>
      </c>
      <c r="C445" s="35">
        <v>890</v>
      </c>
      <c r="D445" s="35" t="s">
        <v>103</v>
      </c>
      <c r="E445" s="36" t="str" cm="1">
        <f t="array" ref="E445">GetNumber(D445,1)</f>
        <v>9</v>
      </c>
      <c r="F445" s="36" t="str" cm="1">
        <f t="array" ref="F445">GetNumber(D445,2)</f>
        <v>9</v>
      </c>
      <c r="G445" s="35">
        <v>11.1</v>
      </c>
      <c r="H445" s="35">
        <v>8479</v>
      </c>
      <c r="I445" s="35">
        <f>26.17*($T$2)</f>
        <v>52.34</v>
      </c>
      <c r="J445" s="35">
        <f>290.5*($T$2)</f>
        <v>581</v>
      </c>
      <c r="K445" s="35">
        <f t="shared" si="31"/>
        <v>10.316695352839933</v>
      </c>
      <c r="L445" s="35">
        <f t="shared" si="32"/>
        <v>10.317157050057316</v>
      </c>
      <c r="M445" s="35">
        <f>2.147*($T$2)</f>
        <v>4.2939999999999996</v>
      </c>
      <c r="N445" s="35">
        <v>106</v>
      </c>
      <c r="O445" s="35">
        <f t="shared" si="30"/>
        <v>0.7390705679862305</v>
      </c>
      <c r="P445" s="35">
        <f t="shared" si="33"/>
        <v>44.299889845094668</v>
      </c>
      <c r="Q445" s="35">
        <f>('Batt Capacity and Sys Weight'!$I$2) + (B445*$T$2)</f>
        <v>42.553000000000004</v>
      </c>
      <c r="R445" s="35">
        <f>'Batt Capacity and Sys Weight'!$H$2</f>
        <v>99.9</v>
      </c>
    </row>
    <row r="446" spans="1:18" x14ac:dyDescent="0.3">
      <c r="A446" s="35" t="s">
        <v>277</v>
      </c>
      <c r="B446" s="35">
        <v>5.86</v>
      </c>
      <c r="C446" s="35">
        <v>890</v>
      </c>
      <c r="D446" s="35" t="s">
        <v>189</v>
      </c>
      <c r="E446" s="36" t="str" cm="1">
        <f t="array" ref="E446">GetNumber(D446,1)</f>
        <v>10</v>
      </c>
      <c r="F446" s="36" cm="1">
        <f t="array" ref="F446">GetNumber(D446,2)+(GetNumber(D446,3)/10)</f>
        <v>3.8</v>
      </c>
      <c r="G446" s="35">
        <v>11.1</v>
      </c>
      <c r="H446" s="35">
        <v>8628</v>
      </c>
      <c r="I446" s="35">
        <f>23.3*($T$2)</f>
        <v>46.6</v>
      </c>
      <c r="J446" s="35">
        <f>258.7*($T$2)</f>
        <v>517.4</v>
      </c>
      <c r="K446" s="35">
        <f t="shared" si="31"/>
        <v>11.584847313490531</v>
      </c>
      <c r="L446" s="35">
        <f t="shared" si="32"/>
        <v>11.587982832618025</v>
      </c>
      <c r="M446" s="35">
        <f>3.154*($T$2)</f>
        <v>6.3079999999999998</v>
      </c>
      <c r="N446" s="35">
        <v>45.5</v>
      </c>
      <c r="O446" s="35">
        <f t="shared" si="30"/>
        <v>1.2191727870119831</v>
      </c>
      <c r="P446" s="35">
        <f t="shared" si="33"/>
        <v>73.077216853498271</v>
      </c>
      <c r="Q446" s="35">
        <f>('Batt Capacity and Sys Weight'!$I$2) + (B446*$T$2)</f>
        <v>42.553000000000004</v>
      </c>
      <c r="R446" s="35">
        <f>'Batt Capacity and Sys Weight'!$H$2</f>
        <v>99.9</v>
      </c>
    </row>
    <row r="447" spans="1:18" x14ac:dyDescent="0.3">
      <c r="A447" s="35" t="s">
        <v>277</v>
      </c>
      <c r="B447" s="35">
        <v>5.86</v>
      </c>
      <c r="C447" s="35">
        <v>890</v>
      </c>
      <c r="D447" s="35" t="s">
        <v>190</v>
      </c>
      <c r="E447" s="36" t="str" cm="1">
        <f t="array" ref="E447">GetNumber(D447,1)</f>
        <v>10</v>
      </c>
      <c r="F447" s="36" cm="1">
        <f t="array" ref="F447">GetNumber(D447,2)+(GetNumber(D447,3)/10)</f>
        <v>4.7</v>
      </c>
      <c r="G447" s="35">
        <v>11.1</v>
      </c>
      <c r="H447" s="35">
        <v>8559</v>
      </c>
      <c r="I447" s="35">
        <f>24.63*($T$2)</f>
        <v>49.26</v>
      </c>
      <c r="J447" s="35">
        <f>273.4*($T$2)</f>
        <v>546.79999999999995</v>
      </c>
      <c r="K447" s="35">
        <f t="shared" si="31"/>
        <v>10.96196049743965</v>
      </c>
      <c r="L447" s="35">
        <f t="shared" si="32"/>
        <v>10.962241169305726</v>
      </c>
      <c r="M447" s="35">
        <f>3.233*($T$2)</f>
        <v>6.4660000000000002</v>
      </c>
      <c r="N447" s="35">
        <v>55.9</v>
      </c>
      <c r="O447" s="35">
        <f t="shared" si="30"/>
        <v>1.1825164594001465</v>
      </c>
      <c r="P447" s="35">
        <f t="shared" si="33"/>
        <v>70.88003657644478</v>
      </c>
      <c r="Q447" s="35">
        <f>('Batt Capacity and Sys Weight'!$I$2) + (B447*$T$2)</f>
        <v>42.553000000000004</v>
      </c>
      <c r="R447" s="35">
        <f>'Batt Capacity and Sys Weight'!$H$2</f>
        <v>99.9</v>
      </c>
    </row>
    <row r="448" spans="1:18" x14ac:dyDescent="0.3">
      <c r="A448" s="35" t="s">
        <v>277</v>
      </c>
      <c r="B448" s="35">
        <v>5.86</v>
      </c>
      <c r="C448" s="35">
        <v>890</v>
      </c>
      <c r="D448" s="35" t="s">
        <v>68</v>
      </c>
      <c r="E448" s="36" t="str" cm="1">
        <f t="array" ref="E448">GetNumber(D448,1)</f>
        <v>10</v>
      </c>
      <c r="F448" s="36" t="str" cm="1">
        <f t="array" ref="F448">GetNumber(D448,2)</f>
        <v>7</v>
      </c>
      <c r="G448" s="35">
        <v>11.1</v>
      </c>
      <c r="H448" s="35">
        <v>8636</v>
      </c>
      <c r="I448" s="35">
        <f>23.17*($T$2)</f>
        <v>46.34</v>
      </c>
      <c r="J448" s="35">
        <f>257.2*($T$2)</f>
        <v>514.4</v>
      </c>
      <c r="K448" s="35">
        <f t="shared" si="31"/>
        <v>11.652410575427684</v>
      </c>
      <c r="L448" s="35">
        <f t="shared" si="32"/>
        <v>11.652999568407422</v>
      </c>
      <c r="M448" s="35">
        <f>2.783*($T$2)</f>
        <v>5.5659999999999998</v>
      </c>
      <c r="N448" s="35">
        <v>83.9</v>
      </c>
      <c r="O448" s="35">
        <f t="shared" si="30"/>
        <v>1.0820373250388804</v>
      </c>
      <c r="P448" s="35">
        <f t="shared" si="33"/>
        <v>64.857317262830492</v>
      </c>
      <c r="Q448" s="35">
        <f>('Batt Capacity and Sys Weight'!$I$2) + (B448*$T$2)</f>
        <v>42.553000000000004</v>
      </c>
      <c r="R448" s="35">
        <f>'Batt Capacity and Sys Weight'!$H$2</f>
        <v>99.9</v>
      </c>
    </row>
    <row r="449" spans="1:18" x14ac:dyDescent="0.3">
      <c r="A449" s="35" t="s">
        <v>277</v>
      </c>
      <c r="B449" s="35">
        <v>5.86</v>
      </c>
      <c r="C449" s="35">
        <v>890</v>
      </c>
      <c r="D449" s="35" t="s">
        <v>191</v>
      </c>
      <c r="E449" s="36" t="str" cm="1">
        <f t="array" ref="E449">GetNumber(D449,1)</f>
        <v>10</v>
      </c>
      <c r="F449" s="36" t="str" cm="1">
        <f t="array" ref="F449">GetNumber(D449,2)</f>
        <v>7</v>
      </c>
      <c r="G449" s="35">
        <v>11.1</v>
      </c>
      <c r="H449" s="35">
        <v>7950</v>
      </c>
      <c r="I449" s="35">
        <f>35.86*($T$2)</f>
        <v>71.72</v>
      </c>
      <c r="J449" s="35">
        <f>398*($T$2)</f>
        <v>796</v>
      </c>
      <c r="K449" s="35">
        <f t="shared" si="31"/>
        <v>7.5301507537688455</v>
      </c>
      <c r="L449" s="35">
        <f t="shared" si="32"/>
        <v>7.5292805354155048</v>
      </c>
      <c r="M449" s="35">
        <f>3.579*($T$2)</f>
        <v>7.1580000000000004</v>
      </c>
      <c r="N449" s="35">
        <v>77.3</v>
      </c>
      <c r="O449" s="35">
        <f t="shared" si="30"/>
        <v>0.89924623115577895</v>
      </c>
      <c r="P449" s="35">
        <f t="shared" si="33"/>
        <v>53.900819095477395</v>
      </c>
      <c r="Q449" s="35">
        <f>('Batt Capacity and Sys Weight'!$I$2) + (B449*$T$2)</f>
        <v>42.553000000000004</v>
      </c>
      <c r="R449" s="35">
        <f>'Batt Capacity and Sys Weight'!$H$2</f>
        <v>99.9</v>
      </c>
    </row>
    <row r="450" spans="1:18" x14ac:dyDescent="0.3">
      <c r="A450" s="35" t="s">
        <v>277</v>
      </c>
      <c r="B450" s="35">
        <v>5.86</v>
      </c>
      <c r="C450" s="35">
        <v>890</v>
      </c>
      <c r="D450" s="35" t="s">
        <v>55</v>
      </c>
      <c r="E450" s="36" t="str" cm="1">
        <f t="array" ref="E450">GetNumber(D450,1)</f>
        <v>10</v>
      </c>
      <c r="F450" s="36" t="str" cm="1">
        <f t="array" ref="F450">GetNumber(D450,2)</f>
        <v>10</v>
      </c>
      <c r="G450" s="35">
        <v>11.1</v>
      </c>
      <c r="H450" s="35">
        <v>8020</v>
      </c>
      <c r="I450" s="35">
        <f>34.6*($T$2)</f>
        <v>69.2</v>
      </c>
      <c r="J450" s="35">
        <f>384*($T$2)</f>
        <v>768</v>
      </c>
      <c r="K450" s="35">
        <f t="shared" si="31"/>
        <v>7.8046875000000009</v>
      </c>
      <c r="L450" s="35">
        <f t="shared" si="32"/>
        <v>7.8034682080924851</v>
      </c>
      <c r="M450" s="35">
        <f>2.483*($T$2)</f>
        <v>4.9660000000000002</v>
      </c>
      <c r="N450" s="35">
        <v>111.3</v>
      </c>
      <c r="O450" s="35">
        <f t="shared" ref="O450:O513" si="35" xml:space="preserve"> (M450/J450)*100</f>
        <v>0.64661458333333333</v>
      </c>
      <c r="P450" s="35">
        <f t="shared" si="33"/>
        <v>38.758078125000004</v>
      </c>
      <c r="Q450" s="35">
        <f>('Batt Capacity and Sys Weight'!$I$2) + (B450*$T$2)</f>
        <v>42.553000000000004</v>
      </c>
      <c r="R450" s="35">
        <f>'Batt Capacity and Sys Weight'!$H$2</f>
        <v>99.9</v>
      </c>
    </row>
    <row r="451" spans="1:18" x14ac:dyDescent="0.3">
      <c r="A451" s="35" t="s">
        <v>277</v>
      </c>
      <c r="B451" s="35">
        <v>5.86</v>
      </c>
      <c r="C451" s="35">
        <v>890</v>
      </c>
      <c r="D451" s="35" t="s">
        <v>192</v>
      </c>
      <c r="E451" s="36" t="str" cm="1">
        <f t="array" ref="E451">GetNumber(D451,1)</f>
        <v>11</v>
      </c>
      <c r="F451" s="36" cm="1">
        <f t="array" ref="F451">GetNumber(D451,2)+(GetNumber(D451,3)/10)</f>
        <v>3.8</v>
      </c>
      <c r="G451" s="35">
        <v>11.1</v>
      </c>
      <c r="H451" s="35">
        <v>8460</v>
      </c>
      <c r="I451" s="35">
        <f>26.47*($T$2)</f>
        <v>52.94</v>
      </c>
      <c r="J451" s="35">
        <f>293.8*($T$2)</f>
        <v>587.6</v>
      </c>
      <c r="K451" s="35">
        <f t="shared" ref="K451:K514" si="36" xml:space="preserve"> (R451/J451)*60</f>
        <v>10.200816882232811</v>
      </c>
      <c r="L451" s="35">
        <f t="shared" ref="L451:L514" si="37">( (R451/G451)/I451)*60</f>
        <v>10.200226671703817</v>
      </c>
      <c r="M451" s="35">
        <f>3.657*($T$2)</f>
        <v>7.3140000000000001</v>
      </c>
      <c r="N451" s="35">
        <v>44.6</v>
      </c>
      <c r="O451" s="35">
        <f t="shared" si="35"/>
        <v>1.2447243022464261</v>
      </c>
      <c r="P451" s="35">
        <f t="shared" si="33"/>
        <v>74.608774676650782</v>
      </c>
      <c r="Q451" s="35">
        <f>('Batt Capacity and Sys Weight'!$I$2) + (B451*$T$2)</f>
        <v>42.553000000000004</v>
      </c>
      <c r="R451" s="35">
        <f>'Batt Capacity and Sys Weight'!$H$2</f>
        <v>99.9</v>
      </c>
    </row>
    <row r="452" spans="1:18" x14ac:dyDescent="0.3">
      <c r="A452" s="35" t="s">
        <v>277</v>
      </c>
      <c r="B452" s="35">
        <v>5.86</v>
      </c>
      <c r="C452" s="35">
        <v>890</v>
      </c>
      <c r="D452" s="35" t="s">
        <v>193</v>
      </c>
      <c r="E452" s="36" t="str" cm="1">
        <f t="array" ref="E452">GetNumber(D452,1)</f>
        <v>11</v>
      </c>
      <c r="F452" s="36" cm="1">
        <f t="array" ref="F452">GetNumber(D452,2)+(GetNumber(D452,3)/10)</f>
        <v>4.7</v>
      </c>
      <c r="G452" s="35">
        <v>11.1</v>
      </c>
      <c r="H452" s="35">
        <v>8205</v>
      </c>
      <c r="I452" s="35">
        <f>31.11*($T$2)</f>
        <v>62.22</v>
      </c>
      <c r="J452" s="35">
        <f>345.3*($T$2)</f>
        <v>690.6</v>
      </c>
      <c r="K452" s="35">
        <f t="shared" si="36"/>
        <v>8.6794092093831452</v>
      </c>
      <c r="L452" s="35">
        <f t="shared" si="37"/>
        <v>8.6788813886210239</v>
      </c>
      <c r="M452" s="35">
        <f>4.069*($T$2)</f>
        <v>8.1379999999999999</v>
      </c>
      <c r="N452" s="35">
        <v>53.5</v>
      </c>
      <c r="O452" s="35">
        <f t="shared" si="35"/>
        <v>1.1783955980306979</v>
      </c>
      <c r="P452" s="35">
        <f t="shared" si="33"/>
        <v>70.63303214596003</v>
      </c>
      <c r="Q452" s="35">
        <f>('Batt Capacity and Sys Weight'!$I$2) + (B452*$T$2)</f>
        <v>42.553000000000004</v>
      </c>
      <c r="R452" s="35">
        <f>'Batt Capacity and Sys Weight'!$H$2</f>
        <v>99.9</v>
      </c>
    </row>
    <row r="453" spans="1:18" x14ac:dyDescent="0.3">
      <c r="A453" s="35" t="s">
        <v>277</v>
      </c>
      <c r="B453" s="35">
        <v>5.86</v>
      </c>
      <c r="C453" s="35">
        <v>890</v>
      </c>
      <c r="D453" s="35" t="s">
        <v>70</v>
      </c>
      <c r="E453" s="36" t="str" cm="1">
        <f t="array" ref="E453">GetNumber(D453,1)</f>
        <v>11</v>
      </c>
      <c r="F453" s="36" cm="1">
        <f t="array" ref="F453">GetNumber(D453,2)+(GetNumber(D453,3)/10)</f>
        <v>5.5</v>
      </c>
      <c r="G453" s="35">
        <v>11.1</v>
      </c>
      <c r="H453" s="35">
        <v>8526</v>
      </c>
      <c r="I453" s="35">
        <f>25.02*($T$2)</f>
        <v>50.04</v>
      </c>
      <c r="J453" s="35">
        <f>277.8*($T$2)</f>
        <v>555.6</v>
      </c>
      <c r="K453" s="35">
        <f t="shared" si="36"/>
        <v>10.788336933045356</v>
      </c>
      <c r="L453" s="35">
        <f t="shared" si="37"/>
        <v>10.791366906474821</v>
      </c>
      <c r="M453" s="35">
        <f>3.474*($T$2)</f>
        <v>6.9480000000000004</v>
      </c>
      <c r="N453" s="35">
        <v>65.099999999999994</v>
      </c>
      <c r="O453" s="35">
        <f t="shared" si="35"/>
        <v>1.2505399568034556</v>
      </c>
      <c r="P453" s="35">
        <f t="shared" si="33"/>
        <v>74.957365010799137</v>
      </c>
      <c r="Q453" s="35">
        <f>('Batt Capacity and Sys Weight'!$I$2) + (B453*$T$2)</f>
        <v>42.553000000000004</v>
      </c>
      <c r="R453" s="35">
        <f>'Batt Capacity and Sys Weight'!$H$2</f>
        <v>99.9</v>
      </c>
    </row>
    <row r="454" spans="1:18" x14ac:dyDescent="0.3">
      <c r="A454" s="35" t="s">
        <v>277</v>
      </c>
      <c r="B454" s="35">
        <v>5.86</v>
      </c>
      <c r="C454" s="35">
        <v>890</v>
      </c>
      <c r="D454" s="35" t="s">
        <v>71</v>
      </c>
      <c r="E454" s="36" t="str" cm="1">
        <f t="array" ref="E454">GetNumber(D454,1)</f>
        <v>11</v>
      </c>
      <c r="F454" s="36" t="str" cm="1">
        <f t="array" ref="F454">GetNumber(D454,2)</f>
        <v>7</v>
      </c>
      <c r="G454" s="35">
        <v>11.1</v>
      </c>
      <c r="H454" s="35">
        <v>8281</v>
      </c>
      <c r="I454" s="35">
        <f>29.71*($T$2)</f>
        <v>59.42</v>
      </c>
      <c r="J454" s="35">
        <f>329.8*($T$2)</f>
        <v>659.6</v>
      </c>
      <c r="K454" s="35">
        <f t="shared" si="36"/>
        <v>9.0873256519102501</v>
      </c>
      <c r="L454" s="35">
        <f t="shared" si="37"/>
        <v>9.0878492090205327</v>
      </c>
      <c r="M454" s="35">
        <f>3.684*($T$2)</f>
        <v>7.3680000000000003</v>
      </c>
      <c r="N454" s="35">
        <v>80.5</v>
      </c>
      <c r="O454" s="35">
        <f t="shared" si="35"/>
        <v>1.1170406306852638</v>
      </c>
      <c r="P454" s="35">
        <f t="shared" si="33"/>
        <v>66.955415403274728</v>
      </c>
      <c r="Q454" s="35">
        <f>('Batt Capacity and Sys Weight'!$I$2) + (B454*$T$2)</f>
        <v>42.553000000000004</v>
      </c>
      <c r="R454" s="35">
        <f>'Batt Capacity and Sys Weight'!$H$2</f>
        <v>99.9</v>
      </c>
    </row>
    <row r="455" spans="1:18" x14ac:dyDescent="0.3">
      <c r="A455" s="35" t="s">
        <v>277</v>
      </c>
      <c r="B455" s="35">
        <v>5.86</v>
      </c>
      <c r="C455" s="35">
        <v>890</v>
      </c>
      <c r="D455" s="35" t="s">
        <v>72</v>
      </c>
      <c r="E455" s="36" t="str" cm="1">
        <f t="array" ref="E455">GetNumber(D455,1)</f>
        <v>11</v>
      </c>
      <c r="F455" s="36" t="str" cm="1">
        <f t="array" ref="F455">GetNumber(D455,2)</f>
        <v>8</v>
      </c>
      <c r="G455" s="35">
        <v>11.1</v>
      </c>
      <c r="H455" s="35">
        <v>8154</v>
      </c>
      <c r="I455" s="35">
        <f>31.87*($T$2)</f>
        <v>63.74</v>
      </c>
      <c r="J455" s="35">
        <f>353.8*($T$2)</f>
        <v>707.6</v>
      </c>
      <c r="K455" s="35">
        <f t="shared" si="36"/>
        <v>8.4708875070661396</v>
      </c>
      <c r="L455" s="35">
        <f t="shared" si="37"/>
        <v>8.4719171634766237</v>
      </c>
      <c r="M455" s="35">
        <f>3.619*($T$2)</f>
        <v>7.2380000000000004</v>
      </c>
      <c r="N455" s="35">
        <v>90.6</v>
      </c>
      <c r="O455" s="35">
        <f t="shared" si="35"/>
        <v>1.0228942905596383</v>
      </c>
      <c r="P455" s="35">
        <f t="shared" si="33"/>
        <v>61.312283776144724</v>
      </c>
      <c r="Q455" s="35">
        <f>('Batt Capacity and Sys Weight'!$I$2) + (B455*$T$2)</f>
        <v>42.553000000000004</v>
      </c>
      <c r="R455" s="35">
        <f>'Batt Capacity and Sys Weight'!$H$2</f>
        <v>99.9</v>
      </c>
    </row>
    <row r="456" spans="1:18" x14ac:dyDescent="0.3">
      <c r="A456" s="35" t="s">
        <v>277</v>
      </c>
      <c r="B456" s="35">
        <v>5.86</v>
      </c>
      <c r="C456" s="35">
        <v>890</v>
      </c>
      <c r="D456" s="35" t="s">
        <v>56</v>
      </c>
      <c r="E456" s="36" t="str" cm="1">
        <f t="array" ref="E456">GetNumber(D456,1)</f>
        <v>11</v>
      </c>
      <c r="F456" s="36" cm="1">
        <f t="array" ref="F456">GetNumber(D456,2)+(GetNumber(D456,3)/10)</f>
        <v>8.5</v>
      </c>
      <c r="G456" s="35">
        <v>11.1</v>
      </c>
      <c r="H456" s="35">
        <v>8012</v>
      </c>
      <c r="I456" s="35">
        <f>34.85*($T$2)</f>
        <v>69.7</v>
      </c>
      <c r="J456" s="35">
        <f>386.8*($T$2)</f>
        <v>773.6</v>
      </c>
      <c r="K456" s="35">
        <f t="shared" si="36"/>
        <v>7.7481902792140644</v>
      </c>
      <c r="L456" s="35">
        <f t="shared" si="37"/>
        <v>7.747489239598278</v>
      </c>
      <c r="M456" s="35">
        <f>3.637*($T$2)</f>
        <v>7.274</v>
      </c>
      <c r="N456" s="35">
        <v>94.6</v>
      </c>
      <c r="O456" s="35">
        <f t="shared" si="35"/>
        <v>0.94027921406411585</v>
      </c>
      <c r="P456" s="35">
        <f t="shared" si="33"/>
        <v>56.360336091003106</v>
      </c>
      <c r="Q456" s="35">
        <f>('Batt Capacity and Sys Weight'!$I$2) + (B456*$T$2)</f>
        <v>42.553000000000004</v>
      </c>
      <c r="R456" s="35">
        <f>'Batt Capacity and Sys Weight'!$H$2</f>
        <v>99.9</v>
      </c>
    </row>
    <row r="457" spans="1:18" x14ac:dyDescent="0.3">
      <c r="A457" s="35" t="s">
        <v>277</v>
      </c>
      <c r="B457" s="35">
        <v>5.86</v>
      </c>
      <c r="C457" s="35">
        <v>890</v>
      </c>
      <c r="D457" s="35" t="s">
        <v>58</v>
      </c>
      <c r="E457" s="36" t="str" cm="1">
        <f t="array" ref="E457">GetNumber(D457,1)</f>
        <v>12</v>
      </c>
      <c r="F457" s="36" t="str" cm="1">
        <f t="array" ref="F457">GetNumber(D457,2)</f>
        <v>6</v>
      </c>
      <c r="G457" s="35">
        <v>11.1</v>
      </c>
      <c r="H457" s="35">
        <v>8129</v>
      </c>
      <c r="I457" s="35">
        <f>32.5*($T$2)</f>
        <v>65</v>
      </c>
      <c r="J457" s="35">
        <f>360.7*($T$2)</f>
        <v>721.4</v>
      </c>
      <c r="K457" s="35">
        <f t="shared" si="36"/>
        <v>8.3088439146104811</v>
      </c>
      <c r="L457" s="35">
        <f t="shared" si="37"/>
        <v>8.3076923076923084</v>
      </c>
      <c r="M457" s="35">
        <f>4.306*($T$2)</f>
        <v>8.6120000000000001</v>
      </c>
      <c r="N457" s="35">
        <v>67.8</v>
      </c>
      <c r="O457" s="35">
        <f t="shared" si="35"/>
        <v>1.1937898530634876</v>
      </c>
      <c r="P457" s="35">
        <f t="shared" si="33"/>
        <v>71.55576379262547</v>
      </c>
      <c r="Q457" s="35">
        <f>('Batt Capacity and Sys Weight'!$I$2) + (B457*$T$2)</f>
        <v>42.553000000000004</v>
      </c>
      <c r="R457" s="35">
        <f>'Batt Capacity and Sys Weight'!$H$2</f>
        <v>99.9</v>
      </c>
    </row>
    <row r="458" spans="1:18" x14ac:dyDescent="0.3">
      <c r="A458" s="35" t="s">
        <v>277</v>
      </c>
      <c r="B458" s="35">
        <v>5.86</v>
      </c>
      <c r="C458" s="35">
        <v>890</v>
      </c>
      <c r="D458" s="35" t="s">
        <v>98</v>
      </c>
      <c r="E458" s="36" t="str" cm="1">
        <f t="array" ref="E458">GetNumber(D458,1)</f>
        <v>13</v>
      </c>
      <c r="F458" s="36" t="str" cm="1">
        <f t="array" ref="F458">GetNumber(D458,2)</f>
        <v>4</v>
      </c>
      <c r="G458" s="35">
        <v>11.1</v>
      </c>
      <c r="H458" s="35">
        <v>8353</v>
      </c>
      <c r="I458" s="35">
        <f>28.42*($T$2)</f>
        <v>56.84</v>
      </c>
      <c r="J458" s="35">
        <f>315.5*($T$2)</f>
        <v>631</v>
      </c>
      <c r="K458" s="35">
        <f t="shared" si="36"/>
        <v>9.4992076069730587</v>
      </c>
      <c r="L458" s="35">
        <f t="shared" si="37"/>
        <v>9.5003518648838838</v>
      </c>
      <c r="M458" s="35">
        <f>4.299*($T$2)</f>
        <v>8.5980000000000008</v>
      </c>
      <c r="N458" s="35">
        <v>46.3</v>
      </c>
      <c r="O458" s="35">
        <f t="shared" si="35"/>
        <v>1.3625990491283677</v>
      </c>
      <c r="P458" s="35">
        <f t="shared" si="33"/>
        <v>81.674187004754359</v>
      </c>
      <c r="Q458" s="35">
        <f>('Batt Capacity and Sys Weight'!$I$2) + (B458*$T$2)</f>
        <v>42.553000000000004</v>
      </c>
      <c r="R458" s="35">
        <f>'Batt Capacity and Sys Weight'!$H$2</f>
        <v>99.9</v>
      </c>
    </row>
    <row r="459" spans="1:18" x14ac:dyDescent="0.3">
      <c r="A459" s="35" t="s">
        <v>277</v>
      </c>
      <c r="B459" s="35">
        <v>5.86</v>
      </c>
      <c r="C459" s="35">
        <v>890</v>
      </c>
      <c r="D459" s="35" t="s">
        <v>278</v>
      </c>
      <c r="E459" s="36">
        <v>10</v>
      </c>
      <c r="F459" s="36">
        <v>4.5</v>
      </c>
      <c r="G459" s="35">
        <v>11.1</v>
      </c>
      <c r="H459" s="35">
        <v>8662</v>
      </c>
      <c r="I459" s="35">
        <f>22.65*($T$2)</f>
        <v>45.3</v>
      </c>
      <c r="J459" s="35">
        <f>251.4*($T$2)</f>
        <v>502.8</v>
      </c>
      <c r="K459" s="35">
        <f t="shared" si="36"/>
        <v>11.921241050119333</v>
      </c>
      <c r="L459" s="35">
        <f t="shared" si="37"/>
        <v>11.920529801324504</v>
      </c>
      <c r="M459" s="35">
        <f>3.082*($T$2)</f>
        <v>6.1639999999999997</v>
      </c>
      <c r="N459" s="35">
        <v>54.1</v>
      </c>
      <c r="O459" s="35">
        <f t="shared" si="35"/>
        <v>1.2259347653142401</v>
      </c>
      <c r="P459" s="35">
        <f t="shared" si="33"/>
        <v>73.482529832935569</v>
      </c>
      <c r="Q459" s="35">
        <f>('Batt Capacity and Sys Weight'!$I$2) + (B459*$T$2)</f>
        <v>42.553000000000004</v>
      </c>
      <c r="R459" s="35">
        <f>'Batt Capacity and Sys Weight'!$H$2</f>
        <v>99.9</v>
      </c>
    </row>
    <row r="460" spans="1:18" x14ac:dyDescent="0.3">
      <c r="A460" s="35" t="s">
        <v>277</v>
      </c>
      <c r="B460" s="35">
        <v>5.86</v>
      </c>
      <c r="C460" s="35">
        <v>890</v>
      </c>
      <c r="D460" s="35" t="s">
        <v>275</v>
      </c>
      <c r="E460" s="36" t="str" cm="1">
        <f t="array" ref="E460">GetNumber(D460,1)</f>
        <v>10</v>
      </c>
      <c r="F460" s="36" cm="1">
        <f t="array" ref="F460">GetNumber(D460,2)+(GetNumber(D460,3)/10)</f>
        <v>4.5</v>
      </c>
      <c r="G460" s="35">
        <v>11.1</v>
      </c>
      <c r="H460" s="35">
        <v>8383</v>
      </c>
      <c r="I460" s="35">
        <f>20.51*($T$2)</f>
        <v>41.02</v>
      </c>
      <c r="J460" s="35">
        <f>227.7*($T$2)</f>
        <v>455.4</v>
      </c>
      <c r="K460" s="35">
        <f t="shared" si="36"/>
        <v>13.162055335968381</v>
      </c>
      <c r="L460" s="35">
        <f t="shared" si="37"/>
        <v>13.164310092637736</v>
      </c>
      <c r="M460" s="35">
        <f>2.869*($T$2)</f>
        <v>5.7380000000000004</v>
      </c>
      <c r="N460" s="35">
        <v>52.4</v>
      </c>
      <c r="O460" s="35">
        <f t="shared" si="35"/>
        <v>1.2599912165129556</v>
      </c>
      <c r="P460" s="35">
        <f t="shared" si="33"/>
        <v>75.523873517786569</v>
      </c>
      <c r="Q460" s="35">
        <f>('Batt Capacity and Sys Weight'!$I$2) + (B460*$T$2)</f>
        <v>42.553000000000004</v>
      </c>
      <c r="R460" s="35">
        <f>'Batt Capacity and Sys Weight'!$H$2</f>
        <v>99.9</v>
      </c>
    </row>
    <row r="461" spans="1:18" x14ac:dyDescent="0.3">
      <c r="A461" s="35" t="s">
        <v>277</v>
      </c>
      <c r="B461" s="35">
        <v>5.86</v>
      </c>
      <c r="C461" s="35">
        <v>890</v>
      </c>
      <c r="D461" s="35" t="s">
        <v>279</v>
      </c>
      <c r="E461" s="36" t="str" cm="1">
        <f t="array" ref="E461">GetNumber(D461,1)</f>
        <v>11</v>
      </c>
      <c r="F461" s="36" cm="1">
        <f t="array" ref="F461">GetNumber(D461,2)+(GetNumber(D461,3)/10)</f>
        <v>4.7</v>
      </c>
      <c r="G461" s="35">
        <v>11.1</v>
      </c>
      <c r="H461" s="35">
        <v>8013</v>
      </c>
      <c r="I461" s="35">
        <f>27.53*($T$2)</f>
        <v>55.06</v>
      </c>
      <c r="J461" s="35">
        <f>305.6*($T$2)</f>
        <v>611.20000000000005</v>
      </c>
      <c r="K461" s="35">
        <f t="shared" si="36"/>
        <v>9.8069371727748678</v>
      </c>
      <c r="L461" s="35">
        <f t="shared" si="37"/>
        <v>9.8074827460951699</v>
      </c>
      <c r="M461" s="35">
        <f>3.768*($T$2)</f>
        <v>7.5359999999999996</v>
      </c>
      <c r="N461" s="35">
        <v>52.4</v>
      </c>
      <c r="O461" s="35">
        <f t="shared" si="35"/>
        <v>1.2329842931937169</v>
      </c>
      <c r="P461" s="35">
        <f t="shared" si="33"/>
        <v>73.905078534031404</v>
      </c>
      <c r="Q461" s="35">
        <f>('Batt Capacity and Sys Weight'!$I$2) + (B461*$T$2)</f>
        <v>42.553000000000004</v>
      </c>
      <c r="R461" s="35">
        <f>'Batt Capacity and Sys Weight'!$H$2</f>
        <v>99.9</v>
      </c>
    </row>
    <row r="462" spans="1:18" x14ac:dyDescent="0.3">
      <c r="A462" s="35" t="s">
        <v>277</v>
      </c>
      <c r="B462" s="35">
        <v>5.86</v>
      </c>
      <c r="C462" s="35">
        <v>890</v>
      </c>
      <c r="D462" s="35" t="s">
        <v>280</v>
      </c>
      <c r="E462" s="36" t="str" cm="1">
        <f t="array" ref="E462">GetNumber(D462,1)</f>
        <v>12</v>
      </c>
      <c r="F462" s="36" cm="1">
        <f t="array" ref="F462">GetNumber(D462,2)+(GetNumber(D462,3)/10)</f>
        <v>4.5</v>
      </c>
      <c r="G462" s="35">
        <v>11.1</v>
      </c>
      <c r="H462" s="35">
        <v>7743</v>
      </c>
      <c r="I462" s="35">
        <f>32.41*($T$2)</f>
        <v>64.819999999999993</v>
      </c>
      <c r="J462" s="35">
        <f>359.7*($T$2)</f>
        <v>719.4</v>
      </c>
      <c r="K462" s="35">
        <f t="shared" si="36"/>
        <v>8.3319432860717271</v>
      </c>
      <c r="L462" s="35">
        <f t="shared" si="37"/>
        <v>8.3307621104597356</v>
      </c>
      <c r="M462" s="35">
        <f>0.288*($T$2)</f>
        <v>0.57599999999999996</v>
      </c>
      <c r="N462" s="35">
        <v>48.4</v>
      </c>
      <c r="O462" s="35">
        <f t="shared" si="35"/>
        <v>8.0066722268557128E-2</v>
      </c>
      <c r="P462" s="35">
        <f t="shared" si="33"/>
        <v>4.7991993327773148</v>
      </c>
      <c r="Q462" s="35">
        <f>('Batt Capacity and Sys Weight'!$I$2) + (B462*$T$2)</f>
        <v>42.553000000000004</v>
      </c>
      <c r="R462" s="35">
        <f>'Batt Capacity and Sys Weight'!$H$2</f>
        <v>99.9</v>
      </c>
    </row>
    <row r="463" spans="1:18" x14ac:dyDescent="0.3">
      <c r="A463" s="35" t="s">
        <v>277</v>
      </c>
      <c r="B463" s="35">
        <v>5.86</v>
      </c>
      <c r="C463" s="35">
        <v>890</v>
      </c>
      <c r="D463" s="35" t="s">
        <v>281</v>
      </c>
      <c r="E463" s="36" t="str" cm="1">
        <f t="array" ref="E463">GetNumber(D463,1)</f>
        <v>11</v>
      </c>
      <c r="F463" s="36" t="str" cm="1">
        <f t="array" ref="F463">GetNumber(D463,2)</f>
        <v>7</v>
      </c>
      <c r="G463" s="35">
        <v>11.1</v>
      </c>
      <c r="H463" s="35">
        <v>8490</v>
      </c>
      <c r="I463" s="35">
        <f>25.85*($T$2)</f>
        <v>51.7</v>
      </c>
      <c r="J463" s="35">
        <f>286.9*($T$2)</f>
        <v>573.79999999999995</v>
      </c>
      <c r="K463" s="35">
        <f t="shared" si="36"/>
        <v>10.446148483792264</v>
      </c>
      <c r="L463" s="35">
        <f t="shared" si="37"/>
        <v>10.444874274661508</v>
      </c>
      <c r="M463" s="35">
        <f>3.548*($T$2)</f>
        <v>7.0960000000000001</v>
      </c>
      <c r="N463" s="35">
        <v>82.6</v>
      </c>
      <c r="O463" s="35">
        <f t="shared" si="35"/>
        <v>1.2366678285116766</v>
      </c>
      <c r="P463" s="35">
        <f t="shared" si="33"/>
        <v>74.125869640989904</v>
      </c>
      <c r="Q463" s="35">
        <f>('Batt Capacity and Sys Weight'!$I$2) + (B463*$T$2)</f>
        <v>42.553000000000004</v>
      </c>
      <c r="R463" s="35">
        <f>'Batt Capacity and Sys Weight'!$H$2</f>
        <v>99.9</v>
      </c>
    </row>
    <row r="464" spans="1:18" x14ac:dyDescent="0.3">
      <c r="A464" s="35" t="s">
        <v>277</v>
      </c>
      <c r="B464" s="35">
        <v>5.86</v>
      </c>
      <c r="C464" s="35">
        <v>890</v>
      </c>
      <c r="D464" s="35" t="s">
        <v>80</v>
      </c>
      <c r="E464" s="36" t="str" cm="1">
        <f t="array" ref="E464">GetNumber(D464,1)</f>
        <v>10</v>
      </c>
      <c r="F464" s="36" t="str" cm="1">
        <f t="array" ref="F464">GetNumber(D464,2)</f>
        <v>7</v>
      </c>
      <c r="G464" s="35">
        <v>11.1</v>
      </c>
      <c r="H464" s="35">
        <v>8435</v>
      </c>
      <c r="I464" s="35">
        <f>26.91*($T$2)</f>
        <v>53.82</v>
      </c>
      <c r="J464" s="35">
        <f>298.7*($T$2)</f>
        <v>597.4</v>
      </c>
      <c r="K464" s="35">
        <f t="shared" si="36"/>
        <v>10.033478406427855</v>
      </c>
      <c r="L464" s="35">
        <f t="shared" si="37"/>
        <v>10.033444816053512</v>
      </c>
      <c r="M464" s="35">
        <f>3.379*($T$2)</f>
        <v>6.758</v>
      </c>
      <c r="N464" s="35">
        <v>82</v>
      </c>
      <c r="O464" s="35">
        <f t="shared" si="35"/>
        <v>1.1312353531971879</v>
      </c>
      <c r="P464" s="35">
        <f t="shared" si="33"/>
        <v>67.806247070639444</v>
      </c>
      <c r="Q464" s="35">
        <f>('Batt Capacity and Sys Weight'!$I$2) + (B464*$T$2)</f>
        <v>42.553000000000004</v>
      </c>
      <c r="R464" s="35">
        <f>'Batt Capacity and Sys Weight'!$H$2</f>
        <v>99.9</v>
      </c>
    </row>
    <row r="465" spans="1:18" x14ac:dyDescent="0.3">
      <c r="A465" s="35" t="s">
        <v>277</v>
      </c>
      <c r="B465" s="35">
        <v>5.86</v>
      </c>
      <c r="C465" s="35">
        <v>890</v>
      </c>
      <c r="D465" s="35" t="s">
        <v>81</v>
      </c>
      <c r="E465" s="36" t="str" cm="1">
        <f t="array" ref="E465">GetNumber(D465,1)</f>
        <v>11</v>
      </c>
      <c r="F465" s="36" t="str" cm="1">
        <f t="array" ref="F465">GetNumber(D465,2)</f>
        <v>7</v>
      </c>
      <c r="G465" s="35">
        <v>11.1</v>
      </c>
      <c r="H465" s="35">
        <v>8130</v>
      </c>
      <c r="I465" s="35">
        <f>32.42*($T$2)</f>
        <v>64.84</v>
      </c>
      <c r="J465" s="35">
        <f>359.8*($T$2)</f>
        <v>719.6</v>
      </c>
      <c r="K465" s="35">
        <f t="shared" si="36"/>
        <v>8.3296275708727077</v>
      </c>
      <c r="L465" s="35">
        <f t="shared" si="37"/>
        <v>8.3281924737816162</v>
      </c>
      <c r="M465" s="35">
        <f>4.043*($T$2)</f>
        <v>8.0860000000000003</v>
      </c>
      <c r="N465" s="35">
        <v>79.099999999999994</v>
      </c>
      <c r="O465" s="35">
        <f t="shared" si="35"/>
        <v>1.1236798221234019</v>
      </c>
      <c r="P465" s="35">
        <f t="shared" ref="P465:P528" si="38">M465*K465</f>
        <v>67.353368538076722</v>
      </c>
      <c r="Q465" s="35">
        <f>('Batt Capacity and Sys Weight'!$I$2) + (B465*$T$2)</f>
        <v>42.553000000000004</v>
      </c>
      <c r="R465" s="35">
        <f>'Batt Capacity and Sys Weight'!$H$2</f>
        <v>99.9</v>
      </c>
    </row>
    <row r="466" spans="1:18" x14ac:dyDescent="0.3">
      <c r="A466" s="35" t="s">
        <v>277</v>
      </c>
      <c r="B466" s="35">
        <v>5.86</v>
      </c>
      <c r="C466" s="35">
        <v>890</v>
      </c>
      <c r="D466" s="35" t="s">
        <v>66</v>
      </c>
      <c r="E466" s="36" t="str" cm="1">
        <f t="array" ref="E466">GetNumber(D466,1)</f>
        <v>11</v>
      </c>
      <c r="F466" s="36" t="str" cm="1">
        <f t="array" ref="F466">GetNumber(D466,2)</f>
        <v>8</v>
      </c>
      <c r="G466" s="35">
        <v>11.1</v>
      </c>
      <c r="H466" s="35">
        <v>8002</v>
      </c>
      <c r="I466" s="35">
        <f>34.9*($T$2)</f>
        <v>69.8</v>
      </c>
      <c r="J466" s="35">
        <f>387.4*($T$2)</f>
        <v>774.8</v>
      </c>
      <c r="K466" s="35">
        <f t="shared" si="36"/>
        <v>7.7361899845121327</v>
      </c>
      <c r="L466" s="35">
        <f t="shared" si="37"/>
        <v>7.7363896848137532</v>
      </c>
      <c r="M466" s="35">
        <f>4.123*($T$2)</f>
        <v>8.2460000000000004</v>
      </c>
      <c r="N466" s="35">
        <v>88.9</v>
      </c>
      <c r="O466" s="35">
        <f t="shared" si="35"/>
        <v>1.0642746515229737</v>
      </c>
      <c r="P466" s="35">
        <f t="shared" si="38"/>
        <v>63.792622612287047</v>
      </c>
      <c r="Q466" s="35">
        <f>('Batt Capacity and Sys Weight'!$I$2) + (B466*$T$2)</f>
        <v>42.553000000000004</v>
      </c>
      <c r="R466" s="35">
        <f>'Batt Capacity and Sys Weight'!$H$2</f>
        <v>99.9</v>
      </c>
    </row>
    <row r="467" spans="1:18" x14ac:dyDescent="0.3">
      <c r="A467" s="35" t="s">
        <v>277</v>
      </c>
      <c r="B467" s="35">
        <v>5.86</v>
      </c>
      <c r="C467" s="35">
        <v>890</v>
      </c>
      <c r="D467" s="35" t="s">
        <v>53</v>
      </c>
      <c r="E467" s="36" t="str" cm="1">
        <f t="array" ref="E467">GetNumber(D467,1)</f>
        <v>12</v>
      </c>
      <c r="F467" s="36" t="str" cm="1">
        <f t="array" ref="F467">GetNumber(D467,2)</f>
        <v>6</v>
      </c>
      <c r="G467" s="35">
        <v>11.1</v>
      </c>
      <c r="H467" s="35">
        <v>7951</v>
      </c>
      <c r="I467" s="35">
        <f>35.95*($T$2)</f>
        <v>71.900000000000006</v>
      </c>
      <c r="J467" s="35">
        <f>399.1*($T$2)</f>
        <v>798.2</v>
      </c>
      <c r="K467" s="35">
        <f t="shared" si="36"/>
        <v>7.509396141317966</v>
      </c>
      <c r="L467" s="35">
        <f t="shared" si="37"/>
        <v>7.5104311543810844</v>
      </c>
      <c r="M467" s="35">
        <f>4.553*($T$2)</f>
        <v>9.1059999999999999</v>
      </c>
      <c r="N467" s="35">
        <v>66.3</v>
      </c>
      <c r="O467" s="35">
        <f t="shared" si="35"/>
        <v>1.1408168378852417</v>
      </c>
      <c r="P467" s="35">
        <f t="shared" si="38"/>
        <v>68.380561262841397</v>
      </c>
      <c r="Q467" s="35">
        <f>('Batt Capacity and Sys Weight'!$I$2) + (B467*$T$2)</f>
        <v>42.553000000000004</v>
      </c>
      <c r="R467" s="35">
        <f>'Batt Capacity and Sys Weight'!$H$2</f>
        <v>99.9</v>
      </c>
    </row>
    <row r="468" spans="1:18" x14ac:dyDescent="0.3">
      <c r="A468" s="35" t="s">
        <v>277</v>
      </c>
      <c r="B468" s="35">
        <v>5.86</v>
      </c>
      <c r="C468" s="35">
        <v>890</v>
      </c>
      <c r="D468" s="35" t="s">
        <v>128</v>
      </c>
      <c r="E468" s="36" t="str" cm="1">
        <f t="array" ref="E468">GetNumber(D468,1)</f>
        <v>8</v>
      </c>
      <c r="F468" s="36" t="str" cm="1">
        <f t="array" ref="F468">GetNumber(D468,2)</f>
        <v>8</v>
      </c>
      <c r="G468" s="35">
        <v>14.8</v>
      </c>
      <c r="H468" s="35">
        <v>11329</v>
      </c>
      <c r="I468" s="35">
        <f>30.33*($T$2)</f>
        <v>60.66</v>
      </c>
      <c r="J468" s="35">
        <f>448.9*($T$2)</f>
        <v>897.8</v>
      </c>
      <c r="K468" s="35">
        <f t="shared" si="36"/>
        <v>6.5279572287814673</v>
      </c>
      <c r="L468" s="35">
        <f t="shared" si="37"/>
        <v>6.5281899109792292</v>
      </c>
      <c r="M468" s="35">
        <f>2.558*($T$2)</f>
        <v>5.1159999999999997</v>
      </c>
      <c r="N468" s="35">
        <v>125.8</v>
      </c>
      <c r="O468" s="35">
        <f t="shared" si="35"/>
        <v>0.56983738026286479</v>
      </c>
      <c r="P468" s="35">
        <f t="shared" si="38"/>
        <v>33.397029182445984</v>
      </c>
      <c r="Q468" s="35">
        <f>('Batt Capacity and Sys Weight'!$I$3) + (B468*$T$2)</f>
        <v>38.108474999999999</v>
      </c>
      <c r="R468" s="35">
        <f>'Batt Capacity and Sys Weight'!$H$3</f>
        <v>97.68</v>
      </c>
    </row>
    <row r="469" spans="1:18" x14ac:dyDescent="0.3">
      <c r="A469" s="35" t="s">
        <v>277</v>
      </c>
      <c r="B469" s="35">
        <v>5.86</v>
      </c>
      <c r="C469" s="35">
        <v>890</v>
      </c>
      <c r="D469" s="35" t="s">
        <v>107</v>
      </c>
      <c r="E469" s="36" t="str" cm="1">
        <f t="array" ref="E469">GetNumber(D469,1)</f>
        <v>9</v>
      </c>
      <c r="F469" s="36" t="str" cm="1">
        <f t="array" ref="F469">GetNumber(D469,2)</f>
        <v>6</v>
      </c>
      <c r="G469" s="35">
        <v>14.8</v>
      </c>
      <c r="H469" s="35">
        <v>11659</v>
      </c>
      <c r="I469" s="35">
        <f>24.62*($T$2)</f>
        <v>49.24</v>
      </c>
      <c r="J469" s="35">
        <f>364.3*($T$2)</f>
        <v>728.6</v>
      </c>
      <c r="K469" s="35">
        <f t="shared" si="36"/>
        <v>8.0439198462805379</v>
      </c>
      <c r="L469" s="35">
        <f t="shared" si="37"/>
        <v>8.0422420796100731</v>
      </c>
      <c r="M469" s="35">
        <f>3.248*($T$2)</f>
        <v>6.4960000000000004</v>
      </c>
      <c r="N469" s="35">
        <v>97.1</v>
      </c>
      <c r="O469" s="35">
        <f t="shared" si="35"/>
        <v>0.89157287949492192</v>
      </c>
      <c r="P469" s="35">
        <f t="shared" si="38"/>
        <v>52.253303321438381</v>
      </c>
      <c r="Q469" s="35">
        <f>('Batt Capacity and Sys Weight'!$I$3) + (B469*$T$2)</f>
        <v>38.108474999999999</v>
      </c>
      <c r="R469" s="35">
        <f>'Batt Capacity and Sys Weight'!$H$3</f>
        <v>97.68</v>
      </c>
    </row>
    <row r="470" spans="1:18" x14ac:dyDescent="0.3">
      <c r="A470" s="35" t="s">
        <v>277</v>
      </c>
      <c r="B470" s="35">
        <v>5.86</v>
      </c>
      <c r="C470" s="35">
        <v>890</v>
      </c>
      <c r="D470" s="35" t="s">
        <v>99</v>
      </c>
      <c r="E470" s="36" t="str" cm="1">
        <f t="array" ref="E470">GetNumber(D470,1)</f>
        <v>10</v>
      </c>
      <c r="F470" s="36" t="str" cm="1">
        <f t="array" ref="F470">GetNumber(D470,2)</f>
        <v>5</v>
      </c>
      <c r="G470" s="35">
        <v>14.8</v>
      </c>
      <c r="H470" s="35">
        <v>11384</v>
      </c>
      <c r="I470" s="35">
        <f>29.38*($T$2)</f>
        <v>58.76</v>
      </c>
      <c r="J470" s="35">
        <f>434.8*($T$2)</f>
        <v>869.6</v>
      </c>
      <c r="K470" s="35">
        <f t="shared" si="36"/>
        <v>6.7396504139834406</v>
      </c>
      <c r="L470" s="35">
        <f t="shared" si="37"/>
        <v>6.739278420694351</v>
      </c>
      <c r="M470" s="35">
        <f>4.135*($T$2)</f>
        <v>8.27</v>
      </c>
      <c r="N470" s="35">
        <v>79.099999999999994</v>
      </c>
      <c r="O470" s="35">
        <f t="shared" si="35"/>
        <v>0.9510119595216191</v>
      </c>
      <c r="P470" s="35">
        <f t="shared" si="38"/>
        <v>55.73690892364305</v>
      </c>
      <c r="Q470" s="35">
        <f>('Batt Capacity and Sys Weight'!$I$3) + (B470*$T$2)</f>
        <v>38.108474999999999</v>
      </c>
      <c r="R470" s="35">
        <f>'Batt Capacity and Sys Weight'!$H$3</f>
        <v>97.68</v>
      </c>
    </row>
    <row r="471" spans="1:18" x14ac:dyDescent="0.3">
      <c r="A471" s="35" t="s">
        <v>277</v>
      </c>
      <c r="B471" s="35">
        <v>5.86</v>
      </c>
      <c r="C471" s="35">
        <v>890</v>
      </c>
      <c r="D471" s="35" t="s">
        <v>67</v>
      </c>
      <c r="E471" s="36" t="str" cm="1">
        <f t="array" ref="E471">GetNumber(D471,1)</f>
        <v>10</v>
      </c>
      <c r="F471" s="36" t="str" cm="1">
        <f t="array" ref="F471">GetNumber(D471,2)</f>
        <v>6</v>
      </c>
      <c r="G471" s="35">
        <v>14.8</v>
      </c>
      <c r="H471" s="35">
        <v>11151</v>
      </c>
      <c r="I471" s="35">
        <f>33.38*($T$2)</f>
        <v>66.760000000000005</v>
      </c>
      <c r="J471" s="35">
        <f>494*($T$2)</f>
        <v>988</v>
      </c>
      <c r="K471" s="35">
        <f t="shared" si="36"/>
        <v>5.9319838056680165</v>
      </c>
      <c r="L471" s="35">
        <f t="shared" si="37"/>
        <v>5.9316956261234273</v>
      </c>
      <c r="M471" s="35">
        <f>4.243*($T$2)</f>
        <v>8.4860000000000007</v>
      </c>
      <c r="N471" s="35">
        <v>93</v>
      </c>
      <c r="O471" s="35">
        <f t="shared" si="35"/>
        <v>0.85890688259109316</v>
      </c>
      <c r="P471" s="35">
        <f t="shared" si="38"/>
        <v>50.338814574898791</v>
      </c>
      <c r="Q471" s="35">
        <f>('Batt Capacity and Sys Weight'!$I$3) + (B471*$T$2)</f>
        <v>38.108474999999999</v>
      </c>
      <c r="R471" s="35">
        <f>'Batt Capacity and Sys Weight'!$H$3</f>
        <v>97.68</v>
      </c>
    </row>
    <row r="472" spans="1:18" x14ac:dyDescent="0.3">
      <c r="A472" s="35" t="s">
        <v>277</v>
      </c>
      <c r="B472" s="35">
        <v>5.86</v>
      </c>
      <c r="C472" s="35">
        <v>890</v>
      </c>
      <c r="D472" s="35" t="s">
        <v>127</v>
      </c>
      <c r="E472" s="36" t="str" cm="1">
        <f t="array" ref="E472">GetNumber(D472,1)</f>
        <v>8</v>
      </c>
      <c r="F472" s="36" t="str" cm="1">
        <f t="array" ref="F472">GetNumber(D472,2)</f>
        <v>6</v>
      </c>
      <c r="G472" s="35">
        <v>18.5</v>
      </c>
      <c r="H472" s="35">
        <v>14024</v>
      </c>
      <c r="I472" s="35">
        <f>35.89*($T$2)</f>
        <v>71.78</v>
      </c>
      <c r="J472" s="35">
        <f>663.9*($T$2)</f>
        <v>1327.8</v>
      </c>
      <c r="K472" s="35">
        <f t="shared" si="36"/>
        <v>4.1798463624039766</v>
      </c>
      <c r="L472" s="35">
        <f t="shared" si="37"/>
        <v>4.1794371691278904</v>
      </c>
      <c r="M472" s="35">
        <f>3.88*($T$2)</f>
        <v>7.76</v>
      </c>
      <c r="N472" s="35">
        <v>116.9</v>
      </c>
      <c r="O472" s="35">
        <f t="shared" si="35"/>
        <v>0.58442536526585331</v>
      </c>
      <c r="P472" s="35">
        <f t="shared" si="38"/>
        <v>32.435607772254855</v>
      </c>
      <c r="Q472" s="35">
        <f>('Batt Capacity and Sys Weight'!$I$4) + (B472*$T$2)</f>
        <v>38.884503000000002</v>
      </c>
      <c r="R472" s="35">
        <f>'Batt Capacity and Sys Weight'!$H$4</f>
        <v>92.5</v>
      </c>
    </row>
    <row r="473" spans="1:18" x14ac:dyDescent="0.3">
      <c r="A473" s="35" t="s">
        <v>277</v>
      </c>
      <c r="B473" s="35">
        <v>5.86</v>
      </c>
      <c r="C473" s="35">
        <v>890</v>
      </c>
      <c r="D473" s="35" t="s">
        <v>129</v>
      </c>
      <c r="E473" s="36" t="str" cm="1">
        <f t="array" ref="E473">GetNumber(D473,1)</f>
        <v>9</v>
      </c>
      <c r="F473" s="36" cm="1">
        <f t="array" ref="F473">GetNumber(D473,2)+(GetNumber(D473,3)/10)</f>
        <v>4.5</v>
      </c>
      <c r="G473" s="35">
        <v>18.5</v>
      </c>
      <c r="H473" s="35">
        <v>14314</v>
      </c>
      <c r="I473" s="35">
        <f>31.12*($T$2)</f>
        <v>62.24</v>
      </c>
      <c r="J473" s="35">
        <f>575.6*($T$2)</f>
        <v>1151.2</v>
      </c>
      <c r="K473" s="35">
        <f t="shared" si="36"/>
        <v>4.8210562890896451</v>
      </c>
      <c r="L473" s="35">
        <f t="shared" si="37"/>
        <v>4.8200514138817478</v>
      </c>
      <c r="M473" s="35">
        <f>5.003*($T$2)</f>
        <v>10.006</v>
      </c>
      <c r="N473" s="35">
        <v>89.5</v>
      </c>
      <c r="O473" s="35">
        <f t="shared" si="35"/>
        <v>0.8691799861014593</v>
      </c>
      <c r="P473" s="35">
        <f t="shared" si="38"/>
        <v>48.239489228630987</v>
      </c>
      <c r="Q473" s="35">
        <f>('Batt Capacity and Sys Weight'!$I$4) + (B473*$T$2)</f>
        <v>38.884503000000002</v>
      </c>
      <c r="R473" s="35">
        <f>'Batt Capacity and Sys Weight'!$H$4</f>
        <v>92.5</v>
      </c>
    </row>
    <row r="474" spans="1:18" x14ac:dyDescent="0.3">
      <c r="A474" s="35" t="s">
        <v>92</v>
      </c>
      <c r="B474" s="35">
        <v>9.6300000000000008</v>
      </c>
      <c r="C474" s="35">
        <v>420</v>
      </c>
      <c r="D474" s="35" t="s">
        <v>1</v>
      </c>
      <c r="E474" s="36" t="str" cm="1">
        <f t="array" ref="E474">GetNumber(D474,1)</f>
        <v>15</v>
      </c>
      <c r="F474" s="36" t="str" cm="1">
        <f t="array" ref="F474">GetNumber(D474,2)</f>
        <v>10</v>
      </c>
      <c r="G474" s="35">
        <v>14.8</v>
      </c>
      <c r="H474" s="35">
        <v>5584</v>
      </c>
      <c r="I474" s="35">
        <f>28.39*($T$2)</f>
        <v>56.78</v>
      </c>
      <c r="J474" s="35">
        <f>420.1*($T$2)</f>
        <v>840.2</v>
      </c>
      <c r="K474" s="35">
        <f t="shared" si="36"/>
        <v>6.9754820280885506</v>
      </c>
      <c r="L474" s="35">
        <f t="shared" si="37"/>
        <v>6.9742867206762948</v>
      </c>
      <c r="M474" s="35">
        <f>5.095*($T$2)</f>
        <v>10.19</v>
      </c>
      <c r="N474" s="35">
        <f>52.9*(5280/3600)</f>
        <v>77.586666666666659</v>
      </c>
      <c r="O474" s="35">
        <f t="shared" si="35"/>
        <v>1.2128064746488931</v>
      </c>
      <c r="P474" s="35">
        <f t="shared" si="38"/>
        <v>71.080161866222326</v>
      </c>
      <c r="Q474" s="35">
        <f>('Batt Capacity and Sys Weight'!$I$3) + (B474*$T$2)</f>
        <v>45.648475000000005</v>
      </c>
      <c r="R474" s="35">
        <f>'Batt Capacity and Sys Weight'!$H$3</f>
        <v>97.68</v>
      </c>
    </row>
    <row r="475" spans="1:18" x14ac:dyDescent="0.3">
      <c r="A475" s="35" t="s">
        <v>92</v>
      </c>
      <c r="B475" s="35">
        <v>9.6300000000000008</v>
      </c>
      <c r="C475" s="35">
        <v>420</v>
      </c>
      <c r="D475" s="35" t="s">
        <v>2</v>
      </c>
      <c r="E475" s="36" t="str" cm="1">
        <f t="array" ref="E475">GetNumber(D475,1)</f>
        <v>16</v>
      </c>
      <c r="F475" s="36" t="str" cm="1">
        <f t="array" ref="F475">GetNumber(D475,2)</f>
        <v>7</v>
      </c>
      <c r="G475" s="35">
        <v>14.8</v>
      </c>
      <c r="H475" s="35">
        <v>5691</v>
      </c>
      <c r="I475" s="35">
        <f>25.21*($T$2)</f>
        <v>50.42</v>
      </c>
      <c r="J475" s="35">
        <f>373.1*($T$2)</f>
        <v>746.2</v>
      </c>
      <c r="K475" s="35">
        <f t="shared" si="36"/>
        <v>7.8541945859019027</v>
      </c>
      <c r="L475" s="35">
        <f t="shared" si="37"/>
        <v>7.8540261800872671</v>
      </c>
      <c r="M475" s="35">
        <f>5.526875*($T$2)</f>
        <v>11.053750000000001</v>
      </c>
      <c r="N475" s="35">
        <f>37.7*(5280/3600)</f>
        <v>55.293333333333337</v>
      </c>
      <c r="O475" s="35">
        <f t="shared" si="35"/>
        <v>1.4813387831680516</v>
      </c>
      <c r="P475" s="35">
        <f t="shared" si="38"/>
        <v>86.818303403913163</v>
      </c>
      <c r="Q475" s="35">
        <f>('Batt Capacity and Sys Weight'!$I$3) + (B475*$T$2)</f>
        <v>45.648475000000005</v>
      </c>
      <c r="R475" s="35">
        <f>'Batt Capacity and Sys Weight'!$H$3</f>
        <v>97.68</v>
      </c>
    </row>
    <row r="476" spans="1:18" x14ac:dyDescent="0.3">
      <c r="A476" s="35" t="s">
        <v>92</v>
      </c>
      <c r="B476" s="35">
        <v>9.6300000000000008</v>
      </c>
      <c r="C476" s="35">
        <v>420</v>
      </c>
      <c r="D476" s="35" t="s">
        <v>3</v>
      </c>
      <c r="E476" s="36" t="str" cm="1">
        <f t="array" ref="E476">GetNumber(D476,1)</f>
        <v>16</v>
      </c>
      <c r="F476" s="36" t="str" cm="1">
        <f t="array" ref="F476">GetNumber(D476,2)</f>
        <v>8</v>
      </c>
      <c r="G476" s="35">
        <v>14.8</v>
      </c>
      <c r="H476" s="35">
        <v>5531</v>
      </c>
      <c r="I476" s="35">
        <f>30.14*($T$2)</f>
        <v>60.28</v>
      </c>
      <c r="J476" s="35">
        <f>446.1*($T$2)</f>
        <v>892.2</v>
      </c>
      <c r="K476" s="35">
        <f t="shared" si="36"/>
        <v>6.5689307330195019</v>
      </c>
      <c r="L476" s="35">
        <f t="shared" si="37"/>
        <v>6.5693430656934311</v>
      </c>
      <c r="M476" s="35">
        <f>5.88875*($T$2)</f>
        <v>11.7775</v>
      </c>
      <c r="N476" s="35">
        <f>41.9*(5280/3600)</f>
        <v>61.453333333333326</v>
      </c>
      <c r="O476" s="35">
        <f t="shared" si="35"/>
        <v>1.3200515579466487</v>
      </c>
      <c r="P476" s="35">
        <f t="shared" si="38"/>
        <v>77.365581708137185</v>
      </c>
      <c r="Q476" s="35">
        <f>('Batt Capacity and Sys Weight'!$I$3) + (B476*$T$2)</f>
        <v>45.648475000000005</v>
      </c>
      <c r="R476" s="35">
        <f>'Batt Capacity and Sys Weight'!$H$3</f>
        <v>97.68</v>
      </c>
    </row>
    <row r="477" spans="1:18" x14ac:dyDescent="0.3">
      <c r="A477" s="35" t="s">
        <v>92</v>
      </c>
      <c r="B477" s="35">
        <v>9.6300000000000008</v>
      </c>
      <c r="C477" s="35">
        <v>420</v>
      </c>
      <c r="D477" s="35" t="s">
        <v>4</v>
      </c>
      <c r="E477" s="36" t="str" cm="1">
        <f t="array" ref="E477">GetNumber(D477,1)</f>
        <v>16</v>
      </c>
      <c r="F477" s="36" t="str" cm="1">
        <f t="array" ref="F477">GetNumber(D477,2)</f>
        <v>10</v>
      </c>
      <c r="G477" s="35">
        <v>14.8</v>
      </c>
      <c r="H477" s="35">
        <v>5409</v>
      </c>
      <c r="I477" s="35">
        <f>33.53*($T$2)</f>
        <v>67.06</v>
      </c>
      <c r="J477" s="35">
        <f>496.3*($T$2)</f>
        <v>992.6</v>
      </c>
      <c r="K477" s="35">
        <f t="shared" si="36"/>
        <v>5.9044932500503737</v>
      </c>
      <c r="L477" s="35">
        <f t="shared" si="37"/>
        <v>5.9051595586042351</v>
      </c>
      <c r="M477" s="35">
        <f>5.99875*($T$2)</f>
        <v>11.9975</v>
      </c>
      <c r="N477" s="35">
        <f>51.2*(5280/3600)</f>
        <v>75.093333333333334</v>
      </c>
      <c r="O477" s="35">
        <f t="shared" si="35"/>
        <v>1.2086943381019546</v>
      </c>
      <c r="P477" s="35">
        <f t="shared" si="38"/>
        <v>70.839157767479364</v>
      </c>
      <c r="Q477" s="35">
        <f>('Batt Capacity and Sys Weight'!$I$3) + (B477*$T$2)</f>
        <v>45.648475000000005</v>
      </c>
      <c r="R477" s="35">
        <f>'Batt Capacity and Sys Weight'!$H$3</f>
        <v>97.68</v>
      </c>
    </row>
    <row r="478" spans="1:18" x14ac:dyDescent="0.3">
      <c r="A478" s="35" t="s">
        <v>92</v>
      </c>
      <c r="B478" s="35">
        <v>9.6300000000000008</v>
      </c>
      <c r="C478" s="35">
        <v>420</v>
      </c>
      <c r="D478" s="35" t="s">
        <v>6</v>
      </c>
      <c r="E478" s="36" t="str" cm="1">
        <f t="array" ref="E478">GetNumber(D478,1)</f>
        <v>17</v>
      </c>
      <c r="F478" s="36" t="str" cm="1">
        <f t="array" ref="F478">GetNumber(D478,2)</f>
        <v>7</v>
      </c>
      <c r="G478" s="35">
        <v>14.8</v>
      </c>
      <c r="H478" s="35">
        <v>5598</v>
      </c>
      <c r="I478" s="35">
        <f>28.12*($T$2)</f>
        <v>56.24</v>
      </c>
      <c r="J478" s="35">
        <f>416.1*($T$2)</f>
        <v>832.2</v>
      </c>
      <c r="K478" s="35">
        <f t="shared" si="36"/>
        <v>7.0425378514780101</v>
      </c>
      <c r="L478" s="35">
        <f t="shared" si="37"/>
        <v>7.0412517780938835</v>
      </c>
      <c r="M478" s="35">
        <f>6.150625*($T$2)</f>
        <v>12.30125</v>
      </c>
      <c r="N478" s="35">
        <f>37.1*(5280/3600)</f>
        <v>54.413333333333334</v>
      </c>
      <c r="O478" s="35">
        <f t="shared" si="35"/>
        <v>1.478160298005287</v>
      </c>
      <c r="P478" s="35">
        <f t="shared" si="38"/>
        <v>86.632018745493866</v>
      </c>
      <c r="Q478" s="35">
        <f>('Batt Capacity and Sys Weight'!$I$3) + (B478*$T$2)</f>
        <v>45.648475000000005</v>
      </c>
      <c r="R478" s="35">
        <f>'Batt Capacity and Sys Weight'!$H$3</f>
        <v>97.68</v>
      </c>
    </row>
    <row r="479" spans="1:18" x14ac:dyDescent="0.3">
      <c r="A479" s="35" t="s">
        <v>92</v>
      </c>
      <c r="B479" s="35">
        <v>9.6300000000000008</v>
      </c>
      <c r="C479" s="35">
        <v>420</v>
      </c>
      <c r="D479" s="35" t="s">
        <v>7</v>
      </c>
      <c r="E479" s="36" t="str" cm="1">
        <f t="array" ref="E479">GetNumber(D479,1)</f>
        <v>17</v>
      </c>
      <c r="F479" s="36" t="str" cm="1">
        <f t="array" ref="F479">GetNumber(D479,2)</f>
        <v>8</v>
      </c>
      <c r="G479" s="35">
        <v>14.8</v>
      </c>
      <c r="H479" s="35">
        <v>5394</v>
      </c>
      <c r="I479" s="35">
        <f>33.69*($T$2)</f>
        <v>67.38</v>
      </c>
      <c r="J479" s="35">
        <f>498.6*($T$2)</f>
        <v>997.2</v>
      </c>
      <c r="K479" s="35">
        <f t="shared" si="36"/>
        <v>5.8772563176895316</v>
      </c>
      <c r="L479" s="35">
        <f t="shared" si="37"/>
        <v>5.8771148708815684</v>
      </c>
      <c r="M479" s="35">
        <f>6.589375*($T$2)</f>
        <v>13.178750000000001</v>
      </c>
      <c r="N479" s="35">
        <f>40.9*(5280/3600)</f>
        <v>59.986666666666657</v>
      </c>
      <c r="O479" s="35">
        <f t="shared" si="35"/>
        <v>1.3215754111512235</v>
      </c>
      <c r="P479" s="35">
        <f t="shared" si="38"/>
        <v>77.45489169675092</v>
      </c>
      <c r="Q479" s="35">
        <f>('Batt Capacity and Sys Weight'!$I$3) + (B479*$T$2)</f>
        <v>45.648475000000005</v>
      </c>
      <c r="R479" s="35">
        <f>'Batt Capacity and Sys Weight'!$H$3</f>
        <v>97.68</v>
      </c>
    </row>
    <row r="480" spans="1:18" x14ac:dyDescent="0.3">
      <c r="A480" s="35" t="s">
        <v>92</v>
      </c>
      <c r="B480" s="35">
        <v>9.6300000000000008</v>
      </c>
      <c r="C480" s="35">
        <v>420</v>
      </c>
      <c r="D480" s="35" t="s">
        <v>10</v>
      </c>
      <c r="E480" s="36" t="str" cm="1">
        <f t="array" ref="E480">GetNumber(D480,1)</f>
        <v>18</v>
      </c>
      <c r="F480" s="36" t="str" cm="1">
        <f t="array" ref="F480">GetNumber(D480,2)</f>
        <v>8</v>
      </c>
      <c r="G480" s="35">
        <v>14.8</v>
      </c>
      <c r="H480" s="35">
        <v>5301</v>
      </c>
      <c r="I480" s="35">
        <f>36.66*($T$2)</f>
        <v>73.319999999999993</v>
      </c>
      <c r="J480" s="35">
        <f>542.5*($T$2)</f>
        <v>1085</v>
      </c>
      <c r="K480" s="35">
        <f t="shared" si="36"/>
        <v>5.4016589861751152</v>
      </c>
      <c r="L480" s="35">
        <f t="shared" si="37"/>
        <v>5.4009819967266788</v>
      </c>
      <c r="M480" s="35">
        <f>7.414375*($T$2)</f>
        <v>14.828749999999999</v>
      </c>
      <c r="N480" s="35">
        <f>40.2*(5280/3600)</f>
        <v>58.96</v>
      </c>
      <c r="O480" s="35">
        <f t="shared" si="35"/>
        <v>1.3667050691244238</v>
      </c>
      <c r="P480" s="35">
        <f t="shared" si="38"/>
        <v>80.099850691244242</v>
      </c>
      <c r="Q480" s="35">
        <f>('Batt Capacity and Sys Weight'!$I$3) + (B480*$T$2)</f>
        <v>45.648475000000005</v>
      </c>
      <c r="R480" s="35">
        <f>'Batt Capacity and Sys Weight'!$H$3</f>
        <v>97.68</v>
      </c>
    </row>
    <row r="481" spans="1:18" x14ac:dyDescent="0.3">
      <c r="A481" s="35" t="s">
        <v>92</v>
      </c>
      <c r="B481" s="35">
        <v>9.6300000000000008</v>
      </c>
      <c r="C481" s="35">
        <v>420</v>
      </c>
      <c r="D481" s="35" t="s">
        <v>17</v>
      </c>
      <c r="E481" s="36" t="str" cm="1">
        <f t="array" ref="E481">GetNumber(D481,1)</f>
        <v>15</v>
      </c>
      <c r="F481" s="36" t="str" cm="1">
        <f t="array" ref="F481">GetNumber(D481,2)</f>
        <v>10</v>
      </c>
      <c r="G481" s="35">
        <v>14.8</v>
      </c>
      <c r="H481" s="35">
        <v>5584</v>
      </c>
      <c r="I481" s="35">
        <f>29.18*($T$2)</f>
        <v>58.36</v>
      </c>
      <c r="J481" s="35">
        <f>431.9*($T$2)</f>
        <v>863.8</v>
      </c>
      <c r="K481" s="35">
        <f t="shared" si="36"/>
        <v>6.784903912942811</v>
      </c>
      <c r="L481" s="35">
        <f t="shared" si="37"/>
        <v>6.7854694996572995</v>
      </c>
      <c r="M481" s="35">
        <f>4.568125*($T$2)</f>
        <v>9.1362500000000004</v>
      </c>
      <c r="N481" s="35">
        <f>52.9*(5280/3600)</f>
        <v>77.586666666666659</v>
      </c>
      <c r="O481" s="35">
        <f t="shared" si="35"/>
        <v>1.0576811761981941</v>
      </c>
      <c r="P481" s="35">
        <f t="shared" si="38"/>
        <v>61.988578374623764</v>
      </c>
      <c r="Q481" s="35">
        <f>('Batt Capacity and Sys Weight'!$I$3) + (B481*$T$2)</f>
        <v>45.648475000000005</v>
      </c>
      <c r="R481" s="35">
        <f>'Batt Capacity and Sys Weight'!$H$3</f>
        <v>97.68</v>
      </c>
    </row>
    <row r="482" spans="1:18" x14ac:dyDescent="0.3">
      <c r="A482" s="35" t="s">
        <v>92</v>
      </c>
      <c r="B482" s="35">
        <v>9.6300000000000008</v>
      </c>
      <c r="C482" s="35">
        <v>420</v>
      </c>
      <c r="D482" s="35" t="s">
        <v>18</v>
      </c>
      <c r="E482" s="36" t="str" cm="1">
        <f t="array" ref="E482">GetNumber(D482,1)</f>
        <v>16</v>
      </c>
      <c r="F482" s="36" t="str" cm="1">
        <f t="array" ref="F482">GetNumber(D482,2)</f>
        <v>7</v>
      </c>
      <c r="G482" s="35">
        <v>14.8</v>
      </c>
      <c r="H482" s="35">
        <v>5689</v>
      </c>
      <c r="I482" s="35">
        <f>25.02*($T$2)</f>
        <v>50.04</v>
      </c>
      <c r="J482" s="35">
        <f>370.4*($T$2)</f>
        <v>740.8</v>
      </c>
      <c r="K482" s="35">
        <f t="shared" si="36"/>
        <v>7.9114470842332629</v>
      </c>
      <c r="L482" s="35">
        <f t="shared" si="37"/>
        <v>7.913669064748202</v>
      </c>
      <c r="M482" s="35">
        <f>5.226875*($T$2)</f>
        <v>10.453749999999999</v>
      </c>
      <c r="N482" s="35">
        <f>37.7*(5280/3600)</f>
        <v>55.293333333333337</v>
      </c>
      <c r="O482" s="35">
        <f t="shared" si="35"/>
        <v>1.4111433585313173</v>
      </c>
      <c r="P482" s="35">
        <f t="shared" si="38"/>
        <v>82.704289956803464</v>
      </c>
      <c r="Q482" s="35">
        <f>('Batt Capacity and Sys Weight'!$I$3) + (B482*$T$2)</f>
        <v>45.648475000000005</v>
      </c>
      <c r="R482" s="35">
        <f>'Batt Capacity and Sys Weight'!$H$3</f>
        <v>97.68</v>
      </c>
    </row>
    <row r="483" spans="1:18" x14ac:dyDescent="0.3">
      <c r="A483" s="35" t="s">
        <v>92</v>
      </c>
      <c r="B483" s="35">
        <v>9.6300000000000008</v>
      </c>
      <c r="C483" s="35">
        <v>420</v>
      </c>
      <c r="D483" s="35" t="s">
        <v>19</v>
      </c>
      <c r="E483" s="36" t="str" cm="1">
        <f t="array" ref="E483">GetNumber(D483,1)</f>
        <v>16</v>
      </c>
      <c r="F483" s="36" t="str" cm="1">
        <f t="array" ref="F483">GetNumber(D483,2)</f>
        <v>8</v>
      </c>
      <c r="G483" s="35">
        <v>14.8</v>
      </c>
      <c r="H483" s="35">
        <v>5575</v>
      </c>
      <c r="I483" s="35">
        <f>28.48*($T$2)</f>
        <v>56.96</v>
      </c>
      <c r="J483" s="35">
        <f>421.5*($T$2)</f>
        <v>843</v>
      </c>
      <c r="K483" s="35">
        <f t="shared" si="36"/>
        <v>6.9523131672597875</v>
      </c>
      <c r="L483" s="35">
        <f t="shared" si="37"/>
        <v>6.952247191011236</v>
      </c>
      <c r="M483" s="35">
        <f>5.491875*($T$2)</f>
        <v>10.983750000000001</v>
      </c>
      <c r="N483" s="35">
        <f>42.2*(5280/3600)</f>
        <v>61.893333333333331</v>
      </c>
      <c r="O483" s="35">
        <f t="shared" si="35"/>
        <v>1.3029359430604983</v>
      </c>
      <c r="P483" s="35">
        <f t="shared" si="38"/>
        <v>76.362469750889701</v>
      </c>
      <c r="Q483" s="35">
        <f>('Batt Capacity and Sys Weight'!$I$3) + (B483*$T$2)</f>
        <v>45.648475000000005</v>
      </c>
      <c r="R483" s="35">
        <f>'Batt Capacity and Sys Weight'!$H$3</f>
        <v>97.68</v>
      </c>
    </row>
    <row r="484" spans="1:18" x14ac:dyDescent="0.3">
      <c r="A484" s="35" t="s">
        <v>92</v>
      </c>
      <c r="B484" s="35">
        <v>9.6300000000000008</v>
      </c>
      <c r="C484" s="35">
        <v>420</v>
      </c>
      <c r="D484" s="35" t="s">
        <v>20</v>
      </c>
      <c r="E484" s="36" t="str" cm="1">
        <f t="array" ref="E484">GetNumber(D484,1)</f>
        <v>16</v>
      </c>
      <c r="F484" s="36" t="str" cm="1">
        <f t="array" ref="F484">GetNumber(D484,2)</f>
        <v>10</v>
      </c>
      <c r="G484" s="35">
        <v>14.8</v>
      </c>
      <c r="H484" s="35">
        <v>5475</v>
      </c>
      <c r="I484" s="35">
        <f>32.38*($T$2)</f>
        <v>64.760000000000005</v>
      </c>
      <c r="J484" s="35">
        <f>479.2*($T$2)</f>
        <v>958.4</v>
      </c>
      <c r="K484" s="35">
        <f t="shared" si="36"/>
        <v>6.1151919866444082</v>
      </c>
      <c r="L484" s="35">
        <f t="shared" si="37"/>
        <v>6.1148857319332919</v>
      </c>
      <c r="M484" s="35">
        <f>6.011875*($T$2)</f>
        <v>12.02375</v>
      </c>
      <c r="N484" s="35">
        <f>51.8*(5280/3600)</f>
        <v>75.973333333333329</v>
      </c>
      <c r="O484" s="35">
        <f t="shared" si="35"/>
        <v>1.2545648998330552</v>
      </c>
      <c r="P484" s="35">
        <f t="shared" si="38"/>
        <v>73.527539649415701</v>
      </c>
      <c r="Q484" s="35">
        <f>('Batt Capacity and Sys Weight'!$I$3) + (B484*$T$2)</f>
        <v>45.648475000000005</v>
      </c>
      <c r="R484" s="35">
        <f>'Batt Capacity and Sys Weight'!$H$3</f>
        <v>97.68</v>
      </c>
    </row>
    <row r="485" spans="1:18" x14ac:dyDescent="0.3">
      <c r="A485" s="35" t="s">
        <v>92</v>
      </c>
      <c r="B485" s="35">
        <v>9.6300000000000008</v>
      </c>
      <c r="C485" s="35">
        <v>420</v>
      </c>
      <c r="D485" s="35" t="s">
        <v>21</v>
      </c>
      <c r="E485" s="36" t="str" cm="1">
        <f t="array" ref="E485">GetNumber(D485,1)</f>
        <v>17</v>
      </c>
      <c r="F485" s="36" t="str" cm="1">
        <f t="array" ref="F485">GetNumber(D485,2)</f>
        <v>6</v>
      </c>
      <c r="G485" s="35">
        <v>14.8</v>
      </c>
      <c r="H485" s="35">
        <v>5566</v>
      </c>
      <c r="I485" s="35">
        <f>28.55*($T$2)</f>
        <v>57.1</v>
      </c>
      <c r="J485" s="35">
        <f>422.5*($T$2)</f>
        <v>845</v>
      </c>
      <c r="K485" s="35">
        <f t="shared" si="36"/>
        <v>6.9358579881656812</v>
      </c>
      <c r="L485" s="35">
        <f t="shared" si="37"/>
        <v>6.9352014010507883</v>
      </c>
      <c r="M485" s="35">
        <f>5.763125*($T$2)</f>
        <v>11.526249999999999</v>
      </c>
      <c r="N485" s="35">
        <f>31.6*(5280/3600)</f>
        <v>46.346666666666664</v>
      </c>
      <c r="O485" s="35">
        <f t="shared" si="35"/>
        <v>1.3640532544378696</v>
      </c>
      <c r="P485" s="35">
        <f t="shared" si="38"/>
        <v>79.944433136094673</v>
      </c>
      <c r="Q485" s="35">
        <f>('Batt Capacity and Sys Weight'!$I$3) + (B485*$T$2)</f>
        <v>45.648475000000005</v>
      </c>
      <c r="R485" s="35">
        <f>'Batt Capacity and Sys Weight'!$H$3</f>
        <v>97.68</v>
      </c>
    </row>
    <row r="486" spans="1:18" x14ac:dyDescent="0.3">
      <c r="A486" s="35" t="s">
        <v>92</v>
      </c>
      <c r="B486" s="35">
        <v>9.6300000000000008</v>
      </c>
      <c r="C486" s="35">
        <v>420</v>
      </c>
      <c r="D486" s="35" t="s">
        <v>22</v>
      </c>
      <c r="E486" s="36" t="str" cm="1">
        <f t="array" ref="E486">GetNumber(D486,1)</f>
        <v>17</v>
      </c>
      <c r="F486" s="36" t="str" cm="1">
        <f t="array" ref="F486">GetNumber(D486,2)</f>
        <v>8</v>
      </c>
      <c r="G486" s="35">
        <v>14.8</v>
      </c>
      <c r="H486" s="35">
        <v>5455</v>
      </c>
      <c r="I486" s="35">
        <f>32.8*($T$2)</f>
        <v>65.599999999999994</v>
      </c>
      <c r="J486" s="35">
        <f>485.4*($T$2)</f>
        <v>970.8</v>
      </c>
      <c r="K486" s="35">
        <f t="shared" si="36"/>
        <v>6.0370828182941914</v>
      </c>
      <c r="L486" s="35">
        <f t="shared" si="37"/>
        <v>6.0365853658536599</v>
      </c>
      <c r="M486" s="35">
        <f>6.461875*($T$2)</f>
        <v>12.92375</v>
      </c>
      <c r="N486" s="35">
        <f>41.3*(5280/3600)</f>
        <v>60.573333333333323</v>
      </c>
      <c r="O486" s="35">
        <f t="shared" si="35"/>
        <v>1.3312474248042852</v>
      </c>
      <c r="P486" s="35">
        <f t="shared" si="38"/>
        <v>78.021749072929552</v>
      </c>
      <c r="Q486" s="35">
        <f>('Batt Capacity and Sys Weight'!$I$3) + (B486*$T$2)</f>
        <v>45.648475000000005</v>
      </c>
      <c r="R486" s="35">
        <f>'Batt Capacity and Sys Weight'!$H$3</f>
        <v>97.68</v>
      </c>
    </row>
    <row r="487" spans="1:18" x14ac:dyDescent="0.3">
      <c r="A487" s="35" t="s">
        <v>92</v>
      </c>
      <c r="B487" s="35">
        <v>9.6300000000000008</v>
      </c>
      <c r="C487" s="35">
        <v>420</v>
      </c>
      <c r="D487" s="35" t="s">
        <v>24</v>
      </c>
      <c r="E487" s="36" t="str" cm="1">
        <f t="array" ref="E487">GetNumber(D487,1)</f>
        <v>18</v>
      </c>
      <c r="F487" s="36" t="str" cm="1">
        <f t="array" ref="F487">GetNumber(D487,2)</f>
        <v>8</v>
      </c>
      <c r="G487" s="35">
        <v>14.8</v>
      </c>
      <c r="H487" s="35">
        <v>5305</v>
      </c>
      <c r="I487" s="35">
        <f>36.93*($T$2)</f>
        <v>73.86</v>
      </c>
      <c r="J487" s="35">
        <f>546.6*($T$2)</f>
        <v>1093.2</v>
      </c>
      <c r="K487" s="35">
        <f t="shared" si="36"/>
        <v>5.3611416026344676</v>
      </c>
      <c r="L487" s="35">
        <f t="shared" si="37"/>
        <v>5.3614947197400493</v>
      </c>
      <c r="M487" s="35">
        <f>7.15375*($T$2)</f>
        <v>14.307499999999999</v>
      </c>
      <c r="N487" s="35">
        <f>40.2*(5280/3600)</f>
        <v>58.96</v>
      </c>
      <c r="O487" s="35">
        <f t="shared" si="35"/>
        <v>1.3087724112696668</v>
      </c>
      <c r="P487" s="35">
        <f t="shared" si="38"/>
        <v>76.704533479692643</v>
      </c>
      <c r="Q487" s="35">
        <f>('Batt Capacity and Sys Weight'!$I$3) + (B487*$T$2)</f>
        <v>45.648475000000005</v>
      </c>
      <c r="R487" s="35">
        <f>'Batt Capacity and Sys Weight'!$H$3</f>
        <v>97.68</v>
      </c>
    </row>
    <row r="488" spans="1:18" x14ac:dyDescent="0.3">
      <c r="A488" s="35" t="s">
        <v>92</v>
      </c>
      <c r="B488" s="35">
        <v>9.6300000000000008</v>
      </c>
      <c r="C488" s="35">
        <v>420</v>
      </c>
      <c r="D488" s="35" t="s">
        <v>27</v>
      </c>
      <c r="E488" s="36" t="str" cm="1">
        <f t="array" ref="E488">GetNumber(D488,1)</f>
        <v>14</v>
      </c>
      <c r="F488" s="36" t="str" cm="1">
        <f t="array" ref="F488">GetNumber(D488,2)</f>
        <v>9</v>
      </c>
      <c r="G488" s="35">
        <v>14.8</v>
      </c>
      <c r="H488" s="35">
        <v>5623</v>
      </c>
      <c r="I488" s="35">
        <f>26.65*($T$2)</f>
        <v>53.3</v>
      </c>
      <c r="J488" s="35">
        <f>394.4*($T$2)</f>
        <v>788.8</v>
      </c>
      <c r="K488" s="35">
        <f t="shared" si="36"/>
        <v>7.4300202839756597</v>
      </c>
      <c r="L488" s="35">
        <f t="shared" si="37"/>
        <v>7.4296435272045045</v>
      </c>
      <c r="M488" s="35">
        <f>5.200625*($T$2)</f>
        <v>10.401249999999999</v>
      </c>
      <c r="N488" s="35">
        <f>47.9*(5280/3600)</f>
        <v>70.25333333333333</v>
      </c>
      <c r="O488" s="35">
        <f t="shared" si="35"/>
        <v>1.3186168864097363</v>
      </c>
      <c r="P488" s="35">
        <f t="shared" si="38"/>
        <v>77.28149847870182</v>
      </c>
      <c r="Q488" s="35">
        <f>('Batt Capacity and Sys Weight'!$I$3) + (B488*$T$2)</f>
        <v>45.648475000000005</v>
      </c>
      <c r="R488" s="35">
        <f>'Batt Capacity and Sys Weight'!$H$3</f>
        <v>97.68</v>
      </c>
    </row>
    <row r="489" spans="1:18" x14ac:dyDescent="0.3">
      <c r="A489" s="35" t="s">
        <v>92</v>
      </c>
      <c r="B489" s="35">
        <v>9.6300000000000008</v>
      </c>
      <c r="C489" s="35">
        <v>420</v>
      </c>
      <c r="D489" s="35" t="s">
        <v>28</v>
      </c>
      <c r="E489" s="36" t="str" cm="1">
        <f t="array" ref="E489">GetNumber(D489,1)</f>
        <v>15</v>
      </c>
      <c r="F489" s="36" t="str" cm="1">
        <f t="array" ref="F489">GetNumber(D489,2)</f>
        <v>7</v>
      </c>
      <c r="G489" s="35">
        <v>14.8</v>
      </c>
      <c r="H489" s="35">
        <v>5577</v>
      </c>
      <c r="I489" s="35">
        <f>28.03*($T$2)</f>
        <v>56.06</v>
      </c>
      <c r="J489" s="35">
        <f>414.8*($T$2)</f>
        <v>829.6</v>
      </c>
      <c r="K489" s="35">
        <f t="shared" si="36"/>
        <v>7.0646094503375121</v>
      </c>
      <c r="L489" s="35">
        <f t="shared" si="37"/>
        <v>7.0638601498394573</v>
      </c>
      <c r="M489" s="35">
        <f>5.581875*($T$2)</f>
        <v>11.16375</v>
      </c>
      <c r="N489" s="35">
        <f>37*(5280/3600)</f>
        <v>54.266666666666666</v>
      </c>
      <c r="O489" s="35">
        <f t="shared" si="35"/>
        <v>1.3456786403085825</v>
      </c>
      <c r="P489" s="35">
        <f t="shared" si="38"/>
        <v>78.8675337512054</v>
      </c>
      <c r="Q489" s="35">
        <f>('Batt Capacity and Sys Weight'!$I$3) + (B489*$T$2)</f>
        <v>45.648475000000005</v>
      </c>
      <c r="R489" s="35">
        <f>'Batt Capacity and Sys Weight'!$H$3</f>
        <v>97.68</v>
      </c>
    </row>
    <row r="490" spans="1:18" x14ac:dyDescent="0.3">
      <c r="A490" s="35" t="s">
        <v>92</v>
      </c>
      <c r="B490" s="35">
        <v>9.6300000000000008</v>
      </c>
      <c r="C490" s="35">
        <v>420</v>
      </c>
      <c r="D490" s="35" t="s">
        <v>29</v>
      </c>
      <c r="E490" s="36" t="str" cm="1">
        <f t="array" ref="E490">GetNumber(D490,1)</f>
        <v>16</v>
      </c>
      <c r="F490" s="36" t="str" cm="1">
        <f t="array" ref="F490">GetNumber(D490,2)</f>
        <v>8</v>
      </c>
      <c r="G490" s="35">
        <v>14.8</v>
      </c>
      <c r="H490" s="35">
        <v>5433</v>
      </c>
      <c r="I490" s="35">
        <f>32.95*($T$2)</f>
        <v>65.900000000000006</v>
      </c>
      <c r="J490" s="35">
        <f>487.6*($T$2)</f>
        <v>975.2</v>
      </c>
      <c r="K490" s="35">
        <f t="shared" si="36"/>
        <v>6.0098441345365057</v>
      </c>
      <c r="L490" s="35">
        <f t="shared" si="37"/>
        <v>6.0091047040971173</v>
      </c>
      <c r="M490" s="35">
        <f>6.430625*($T$2)</f>
        <v>12.86125</v>
      </c>
      <c r="N490" s="35">
        <f>41.2*(5280/3600)</f>
        <v>60.426666666666669</v>
      </c>
      <c r="O490" s="35">
        <f t="shared" si="35"/>
        <v>1.3188320344544708</v>
      </c>
      <c r="P490" s="35">
        <f t="shared" si="38"/>
        <v>77.294107875307631</v>
      </c>
      <c r="Q490" s="35">
        <f>('Batt Capacity and Sys Weight'!$I$3) + (B490*$T$2)</f>
        <v>45.648475000000005</v>
      </c>
      <c r="R490" s="35">
        <f>'Batt Capacity and Sys Weight'!$H$3</f>
        <v>97.68</v>
      </c>
    </row>
    <row r="491" spans="1:18" x14ac:dyDescent="0.3">
      <c r="A491" s="35" t="s">
        <v>92</v>
      </c>
      <c r="B491" s="35">
        <v>9.6300000000000008</v>
      </c>
      <c r="C491" s="35">
        <v>420</v>
      </c>
      <c r="D491" s="35" t="s">
        <v>34</v>
      </c>
      <c r="E491" s="36" t="str" cm="1">
        <f t="array" ref="E491">GetNumber(D491,1)</f>
        <v>12</v>
      </c>
      <c r="F491" s="36" t="str" cm="1">
        <f t="array" ref="F491">GetNumber(D491,2)</f>
        <v>12</v>
      </c>
      <c r="G491" s="35">
        <v>18.5</v>
      </c>
      <c r="H491" s="35">
        <v>7184</v>
      </c>
      <c r="I491" s="35">
        <f>27.48*($T$2)</f>
        <v>54.96</v>
      </c>
      <c r="J491" s="35">
        <f>508.3*($T$2)</f>
        <v>1016.6</v>
      </c>
      <c r="K491" s="35">
        <f t="shared" si="36"/>
        <v>5.4593743852055869</v>
      </c>
      <c r="L491" s="35">
        <f t="shared" si="37"/>
        <v>5.4585152838427948</v>
      </c>
      <c r="M491" s="35">
        <f>3.558125*($T$2)</f>
        <v>7.11625</v>
      </c>
      <c r="N491" s="35">
        <f>81.6*(5280/3600)</f>
        <v>119.67999999999998</v>
      </c>
      <c r="O491" s="35">
        <f t="shared" si="35"/>
        <v>0.70000491835530199</v>
      </c>
      <c r="P491" s="35">
        <f t="shared" si="38"/>
        <v>38.85027296871926</v>
      </c>
      <c r="Q491" s="35">
        <f>('Batt Capacity and Sys Weight'!$I$4) + (B491*$T$2)</f>
        <v>46.424503000000001</v>
      </c>
      <c r="R491" s="35">
        <f>'Batt Capacity and Sys Weight'!$H$4</f>
        <v>92.5</v>
      </c>
    </row>
    <row r="492" spans="1:18" x14ac:dyDescent="0.3">
      <c r="A492" s="35" t="s">
        <v>92</v>
      </c>
      <c r="B492" s="35">
        <v>9.6300000000000008</v>
      </c>
      <c r="C492" s="35">
        <v>420</v>
      </c>
      <c r="D492" s="35" t="s">
        <v>37</v>
      </c>
      <c r="E492" s="36" t="str" cm="1">
        <f t="array" ref="E492">GetNumber(D492,1)</f>
        <v>13</v>
      </c>
      <c r="F492" s="36" t="str" cm="1">
        <f t="array" ref="F492">GetNumber(D492,2)</f>
        <v>10</v>
      </c>
      <c r="G492" s="35">
        <v>18.5</v>
      </c>
      <c r="H492" s="35">
        <v>7055</v>
      </c>
      <c r="I492" s="35">
        <f>31.24*($T$2)</f>
        <v>62.48</v>
      </c>
      <c r="J492" s="35">
        <f>578*($T$2)</f>
        <v>1156</v>
      </c>
      <c r="K492" s="35">
        <f t="shared" si="36"/>
        <v>4.8010380622837374</v>
      </c>
      <c r="L492" s="35">
        <f t="shared" si="37"/>
        <v>4.8015364916773375</v>
      </c>
      <c r="M492" s="35">
        <f>4.695625*($T$2)</f>
        <v>9.3912499999999994</v>
      </c>
      <c r="N492" s="35">
        <f>66.8*(5280/3600)</f>
        <v>97.973333333333329</v>
      </c>
      <c r="O492" s="35">
        <f t="shared" si="35"/>
        <v>0.81239186851211065</v>
      </c>
      <c r="P492" s="35">
        <f t="shared" si="38"/>
        <v>45.087748702422147</v>
      </c>
      <c r="Q492" s="35">
        <f>('Batt Capacity and Sys Weight'!$I$4) + (B492*$T$2)</f>
        <v>46.424503000000001</v>
      </c>
      <c r="R492" s="35">
        <f>'Batt Capacity and Sys Weight'!$H$4</f>
        <v>92.5</v>
      </c>
    </row>
    <row r="493" spans="1:18" x14ac:dyDescent="0.3">
      <c r="A493" s="35" t="s">
        <v>92</v>
      </c>
      <c r="B493" s="35">
        <v>9.6300000000000008</v>
      </c>
      <c r="C493" s="35">
        <v>420</v>
      </c>
      <c r="D493" s="35" t="s">
        <v>39</v>
      </c>
      <c r="E493" s="36" t="str" cm="1">
        <f t="array" ref="E493">GetNumber(D493,1)</f>
        <v>14</v>
      </c>
      <c r="F493" s="36" t="str" cm="1">
        <f t="array" ref="F493">GetNumber(D493,2)</f>
        <v>7</v>
      </c>
      <c r="G493" s="35">
        <v>18.5</v>
      </c>
      <c r="H493" s="35">
        <v>7175</v>
      </c>
      <c r="I493" s="35">
        <f>26.44*($T$2)</f>
        <v>52.88</v>
      </c>
      <c r="J493" s="35">
        <f>489.1*($T$2)</f>
        <v>978.2</v>
      </c>
      <c r="K493" s="35">
        <f t="shared" si="36"/>
        <v>5.6736863627070129</v>
      </c>
      <c r="L493" s="35">
        <f t="shared" si="37"/>
        <v>5.6732223903176999</v>
      </c>
      <c r="M493" s="35">
        <f>5.751875*($T$2)</f>
        <v>11.50375</v>
      </c>
      <c r="N493" s="35">
        <f>47.6*(5280/3600)</f>
        <v>69.813333333333333</v>
      </c>
      <c r="O493" s="35">
        <f t="shared" si="35"/>
        <v>1.1760120629728072</v>
      </c>
      <c r="P493" s="35">
        <f t="shared" si="38"/>
        <v>65.268669494990803</v>
      </c>
      <c r="Q493" s="35">
        <f>('Batt Capacity and Sys Weight'!$I$4) + (B493*$T$2)</f>
        <v>46.424503000000001</v>
      </c>
      <c r="R493" s="35">
        <f>'Batt Capacity and Sys Weight'!$H$4</f>
        <v>92.5</v>
      </c>
    </row>
    <row r="494" spans="1:18" x14ac:dyDescent="0.3">
      <c r="A494" s="35" t="s">
        <v>92</v>
      </c>
      <c r="B494" s="35">
        <v>9.6300000000000008</v>
      </c>
      <c r="C494" s="35">
        <v>420</v>
      </c>
      <c r="D494" s="35" t="s">
        <v>40</v>
      </c>
      <c r="E494" s="36" t="str" cm="1">
        <f t="array" ref="E494">GetNumber(D494,1)</f>
        <v>14</v>
      </c>
      <c r="F494" s="36" cm="1">
        <f t="array" ref="F494">GetNumber(D494,2)+(GetNumber(D494,3)/10)</f>
        <v>8.5</v>
      </c>
      <c r="G494" s="35">
        <v>18.5</v>
      </c>
      <c r="H494" s="35">
        <v>7117</v>
      </c>
      <c r="I494" s="35">
        <f>27.91*($T$2)</f>
        <v>55.82</v>
      </c>
      <c r="J494" s="35">
        <f>516.4*($T$2)</f>
        <v>1032.8</v>
      </c>
      <c r="K494" s="35">
        <f t="shared" si="36"/>
        <v>5.3737412858249423</v>
      </c>
      <c r="L494" s="35">
        <f t="shared" si="37"/>
        <v>5.3744177714080967</v>
      </c>
      <c r="M494" s="35">
        <f>5.8775*($T$2)</f>
        <v>11.755000000000001</v>
      </c>
      <c r="N494" s="35">
        <f>57.3*(5280/3600)</f>
        <v>84.039999999999992</v>
      </c>
      <c r="O494" s="35">
        <f t="shared" si="35"/>
        <v>1.1381680867544539</v>
      </c>
      <c r="P494" s="35">
        <f t="shared" si="38"/>
        <v>63.168328814872197</v>
      </c>
      <c r="Q494" s="35">
        <f>('Batt Capacity and Sys Weight'!$I$4) + (B494*$T$2)</f>
        <v>46.424503000000001</v>
      </c>
      <c r="R494" s="35">
        <f>'Batt Capacity and Sys Weight'!$H$4</f>
        <v>92.5</v>
      </c>
    </row>
    <row r="495" spans="1:18" x14ac:dyDescent="0.3">
      <c r="A495" s="35" t="s">
        <v>92</v>
      </c>
      <c r="B495" s="35">
        <v>9.6300000000000008</v>
      </c>
      <c r="C495" s="35">
        <v>420</v>
      </c>
      <c r="D495" s="35" t="s">
        <v>41</v>
      </c>
      <c r="E495" s="36" t="str" cm="1">
        <f t="array" ref="E495">GetNumber(D495,1)</f>
        <v>14</v>
      </c>
      <c r="F495" s="36" t="str" cm="1">
        <f t="array" ref="F495">GetNumber(D495,2)</f>
        <v>10</v>
      </c>
      <c r="G495" s="35">
        <v>18.5</v>
      </c>
      <c r="H495" s="35">
        <v>7110</v>
      </c>
      <c r="I495" s="35">
        <f>28.12*($T$2)</f>
        <v>56.24</v>
      </c>
      <c r="J495" s="35">
        <f>520.2*($T$2)</f>
        <v>1040.4000000000001</v>
      </c>
      <c r="K495" s="35">
        <f t="shared" si="36"/>
        <v>5.3344867358708186</v>
      </c>
      <c r="L495" s="35">
        <f t="shared" si="37"/>
        <v>5.3342816500711239</v>
      </c>
      <c r="M495" s="35">
        <f>5.824375*($T$2)</f>
        <v>11.64875</v>
      </c>
      <c r="N495" s="35">
        <f>67.3*(5280/3600)</f>
        <v>98.706666666666649</v>
      </c>
      <c r="O495" s="35">
        <f t="shared" si="35"/>
        <v>1.1196414840445983</v>
      </c>
      <c r="P495" s="35">
        <f t="shared" si="38"/>
        <v>62.140102364475197</v>
      </c>
      <c r="Q495" s="35">
        <f>('Batt Capacity and Sys Weight'!$I$4) + (B495*$T$2)</f>
        <v>46.424503000000001</v>
      </c>
      <c r="R495" s="35">
        <f>'Batt Capacity and Sys Weight'!$H$4</f>
        <v>92.5</v>
      </c>
    </row>
    <row r="496" spans="1:18" x14ac:dyDescent="0.3">
      <c r="A496" s="35" t="s">
        <v>92</v>
      </c>
      <c r="B496" s="35">
        <v>9.6300000000000008</v>
      </c>
      <c r="C496" s="35">
        <v>420</v>
      </c>
      <c r="D496" s="35" t="s">
        <v>43</v>
      </c>
      <c r="E496" s="36" t="str" cm="1">
        <f t="array" ref="E496">GetNumber(D496,1)</f>
        <v>15</v>
      </c>
      <c r="F496" s="36" t="str" cm="1">
        <f t="array" ref="F496">GetNumber(D496,2)</f>
        <v>6</v>
      </c>
      <c r="G496" s="35">
        <v>18.5</v>
      </c>
      <c r="H496" s="35">
        <v>7138</v>
      </c>
      <c r="I496" s="35">
        <f>27.99*($T$2)</f>
        <v>55.98</v>
      </c>
      <c r="J496" s="35">
        <f>517.9*($T$2)</f>
        <v>1035.8</v>
      </c>
      <c r="K496" s="35">
        <f t="shared" si="36"/>
        <v>5.3581772542961961</v>
      </c>
      <c r="L496" s="35">
        <f t="shared" si="37"/>
        <v>5.359056806002144</v>
      </c>
      <c r="M496" s="35">
        <f>6.543125*($T$2)</f>
        <v>13.08625</v>
      </c>
      <c r="N496" s="35">
        <f>40.6*(5280/3600)</f>
        <v>59.546666666666667</v>
      </c>
      <c r="O496" s="35">
        <f t="shared" si="35"/>
        <v>1.2633954431357406</v>
      </c>
      <c r="P496" s="35">
        <f t="shared" si="38"/>
        <v>70.118447094033598</v>
      </c>
      <c r="Q496" s="35">
        <f>('Batt Capacity and Sys Weight'!$I$4) + (B496*$T$2)</f>
        <v>46.424503000000001</v>
      </c>
      <c r="R496" s="35">
        <f>'Batt Capacity and Sys Weight'!$H$4</f>
        <v>92.5</v>
      </c>
    </row>
    <row r="497" spans="1:18" x14ac:dyDescent="0.3">
      <c r="A497" s="35" t="s">
        <v>92</v>
      </c>
      <c r="B497" s="35">
        <v>9.6300000000000008</v>
      </c>
      <c r="C497" s="35">
        <v>420</v>
      </c>
      <c r="D497" s="35" t="s">
        <v>44</v>
      </c>
      <c r="E497" s="36" t="str" cm="1">
        <f t="array" ref="E497">GetNumber(D497,1)</f>
        <v>15</v>
      </c>
      <c r="F497" s="36" t="str" cm="1">
        <f t="array" ref="F497">GetNumber(D497,2)</f>
        <v>7</v>
      </c>
      <c r="G497" s="35">
        <v>18.5</v>
      </c>
      <c r="H497" s="35">
        <v>7134</v>
      </c>
      <c r="I497" s="35">
        <f>28.22*($T$2)</f>
        <v>56.44</v>
      </c>
      <c r="J497" s="35">
        <f>522.1*($T$2)</f>
        <v>1044.2</v>
      </c>
      <c r="K497" s="35">
        <f t="shared" si="36"/>
        <v>5.315073740662708</v>
      </c>
      <c r="L497" s="35">
        <f t="shared" si="37"/>
        <v>5.3153791637136791</v>
      </c>
      <c r="M497" s="35">
        <f>6.551875*($T$2)</f>
        <v>13.10375</v>
      </c>
      <c r="N497" s="35">
        <f>47.3*(5280/3600)</f>
        <v>69.373333333333321</v>
      </c>
      <c r="O497" s="35">
        <f t="shared" si="35"/>
        <v>1.2549080635893506</v>
      </c>
      <c r="P497" s="35">
        <f t="shared" si="38"/>
        <v>69.647397529208959</v>
      </c>
      <c r="Q497" s="35">
        <f>('Batt Capacity and Sys Weight'!$I$4) + (B497*$T$2)</f>
        <v>46.424503000000001</v>
      </c>
      <c r="R497" s="35">
        <f>'Batt Capacity and Sys Weight'!$H$4</f>
        <v>92.5</v>
      </c>
    </row>
    <row r="498" spans="1:18" x14ac:dyDescent="0.3">
      <c r="A498" s="35" t="s">
        <v>92</v>
      </c>
      <c r="B498" s="35">
        <v>9.6300000000000008</v>
      </c>
      <c r="C498" s="35">
        <v>420</v>
      </c>
      <c r="D498" s="35" t="s">
        <v>0</v>
      </c>
      <c r="E498" s="36" t="str" cm="1">
        <f t="array" ref="E498">GetNumber(D498,1)</f>
        <v>15</v>
      </c>
      <c r="F498" s="36" t="str" cm="1">
        <f t="array" ref="F498">GetNumber(D498,2)</f>
        <v>8</v>
      </c>
      <c r="G498" s="35">
        <v>18.5</v>
      </c>
      <c r="H498" s="35">
        <v>7037</v>
      </c>
      <c r="I498" s="35">
        <f>30.84*($T$2)</f>
        <v>61.68</v>
      </c>
      <c r="J498" s="35">
        <f>570.5*($T$2)</f>
        <v>1141</v>
      </c>
      <c r="K498" s="35">
        <f t="shared" si="36"/>
        <v>4.8641542506573181</v>
      </c>
      <c r="L498" s="35">
        <f t="shared" si="37"/>
        <v>4.8638132295719849</v>
      </c>
      <c r="M498" s="35">
        <f>6.673125*($T$2)</f>
        <v>13.34625</v>
      </c>
      <c r="N498" s="35">
        <f>53.3*(5280/3600)</f>
        <v>78.173333333333318</v>
      </c>
      <c r="O498" s="35">
        <f t="shared" si="35"/>
        <v>1.1696976336546889</v>
      </c>
      <c r="P498" s="35">
        <f t="shared" si="38"/>
        <v>64.918218667835234</v>
      </c>
      <c r="Q498" s="35">
        <f>('Batt Capacity and Sys Weight'!$I$4) + (B498*$T$2)</f>
        <v>46.424503000000001</v>
      </c>
      <c r="R498" s="35">
        <f>'Batt Capacity and Sys Weight'!$H$4</f>
        <v>92.5</v>
      </c>
    </row>
    <row r="499" spans="1:18" x14ac:dyDescent="0.3">
      <c r="A499" s="35" t="s">
        <v>92</v>
      </c>
      <c r="B499" s="35">
        <v>9.6300000000000008</v>
      </c>
      <c r="C499" s="35">
        <v>420</v>
      </c>
      <c r="D499" s="35" t="s">
        <v>2</v>
      </c>
      <c r="E499" s="36" t="str" cm="1">
        <f t="array" ref="E499">GetNumber(D499,1)</f>
        <v>16</v>
      </c>
      <c r="F499" s="36" t="str" cm="1">
        <f t="array" ref="F499">GetNumber(D499,2)</f>
        <v>7</v>
      </c>
      <c r="G499" s="35">
        <v>18.5</v>
      </c>
      <c r="H499" s="35">
        <v>6812</v>
      </c>
      <c r="I499" s="35">
        <f>37.52*($T$2)</f>
        <v>75.040000000000006</v>
      </c>
      <c r="J499" s="35">
        <f>694.1*($T$2)</f>
        <v>1388.2</v>
      </c>
      <c r="K499" s="35">
        <f t="shared" si="36"/>
        <v>3.9979829995677858</v>
      </c>
      <c r="L499" s="35">
        <f t="shared" si="37"/>
        <v>3.9978678038379529</v>
      </c>
      <c r="M499" s="35">
        <f>8.185625*($T$2)</f>
        <v>16.37125</v>
      </c>
      <c r="N499" s="35">
        <f>45.2*(5280/3600)</f>
        <v>66.293333333333337</v>
      </c>
      <c r="O499" s="35">
        <f t="shared" si="35"/>
        <v>1.1793149402103444</v>
      </c>
      <c r="P499" s="35">
        <f t="shared" si="38"/>
        <v>65.451979181674119</v>
      </c>
      <c r="Q499" s="35">
        <f>('Batt Capacity and Sys Weight'!$I$4) + (B499*$T$2)</f>
        <v>46.424503000000001</v>
      </c>
      <c r="R499" s="35">
        <f>'Batt Capacity and Sys Weight'!$H$4</f>
        <v>92.5</v>
      </c>
    </row>
    <row r="500" spans="1:18" x14ac:dyDescent="0.3">
      <c r="A500" s="35" t="s">
        <v>92</v>
      </c>
      <c r="B500" s="35">
        <v>9.6300000000000008</v>
      </c>
      <c r="C500" s="35">
        <v>420</v>
      </c>
      <c r="D500" s="35" t="s">
        <v>46</v>
      </c>
      <c r="E500" s="36" t="str" cm="1">
        <f t="array" ref="E500">GetNumber(D500,1)</f>
        <v>13</v>
      </c>
      <c r="F500" s="36" t="str" cm="1">
        <f t="array" ref="F500">GetNumber(D500,2)</f>
        <v>10</v>
      </c>
      <c r="G500" s="35">
        <v>18.5</v>
      </c>
      <c r="H500" s="35">
        <v>7047</v>
      </c>
      <c r="I500" s="35">
        <f>31.05*($T$2)</f>
        <v>62.1</v>
      </c>
      <c r="J500" s="35">
        <f>574.4*($T$2)</f>
        <v>1148.8</v>
      </c>
      <c r="K500" s="35">
        <f t="shared" si="36"/>
        <v>4.8311281337047358</v>
      </c>
      <c r="L500" s="35">
        <f t="shared" si="37"/>
        <v>4.8309178743961354</v>
      </c>
      <c r="M500" s="35">
        <f>4.340625*($T$2)</f>
        <v>8.6812500000000004</v>
      </c>
      <c r="N500" s="35">
        <f>66.7*(5280/3600)</f>
        <v>97.826666666666668</v>
      </c>
      <c r="O500" s="35">
        <f t="shared" si="35"/>
        <v>0.75567983983286913</v>
      </c>
      <c r="P500" s="35">
        <f t="shared" si="38"/>
        <v>41.940231110724241</v>
      </c>
      <c r="Q500" s="35">
        <f>('Batt Capacity and Sys Weight'!$I$4) + (B500*$T$2)</f>
        <v>46.424503000000001</v>
      </c>
      <c r="R500" s="35">
        <f>'Batt Capacity and Sys Weight'!$H$4</f>
        <v>92.5</v>
      </c>
    </row>
    <row r="501" spans="1:18" x14ac:dyDescent="0.3">
      <c r="A501" s="35" t="s">
        <v>92</v>
      </c>
      <c r="B501" s="35">
        <v>9.6300000000000008</v>
      </c>
      <c r="C501" s="35">
        <v>420</v>
      </c>
      <c r="D501" s="35" t="s">
        <v>48</v>
      </c>
      <c r="E501" s="36" t="str" cm="1">
        <f t="array" ref="E501">GetNumber(D501,1)</f>
        <v>14</v>
      </c>
      <c r="F501" s="36" t="str" cm="1">
        <f t="array" ref="F501">GetNumber(D501,2)</f>
        <v>8</v>
      </c>
      <c r="G501" s="35">
        <v>18.5</v>
      </c>
      <c r="H501" s="35">
        <v>7195</v>
      </c>
      <c r="I501" s="35">
        <f>27.1*($T$2)</f>
        <v>54.2</v>
      </c>
      <c r="J501" s="35">
        <f>501.4*($T$2)</f>
        <v>1002.8</v>
      </c>
      <c r="K501" s="35">
        <f t="shared" si="36"/>
        <v>5.5345033905065826</v>
      </c>
      <c r="L501" s="35">
        <f t="shared" si="37"/>
        <v>5.5350553505535052</v>
      </c>
      <c r="M501" s="35">
        <f>5.769375*($T$2)</f>
        <v>11.53875</v>
      </c>
      <c r="N501" s="35">
        <f>54.5*(5280/3600)</f>
        <v>79.933333333333323</v>
      </c>
      <c r="O501" s="35">
        <f t="shared" si="35"/>
        <v>1.1506531711208616</v>
      </c>
      <c r="P501" s="35">
        <f t="shared" si="38"/>
        <v>63.861250997207833</v>
      </c>
      <c r="Q501" s="35">
        <f>('Batt Capacity and Sys Weight'!$I$4) + (B501*$T$2)</f>
        <v>46.424503000000001</v>
      </c>
      <c r="R501" s="35">
        <f>'Batt Capacity and Sys Weight'!$H$4</f>
        <v>92.5</v>
      </c>
    </row>
    <row r="502" spans="1:18" x14ac:dyDescent="0.3">
      <c r="A502" s="35" t="s">
        <v>92</v>
      </c>
      <c r="B502" s="35">
        <v>9.6300000000000008</v>
      </c>
      <c r="C502" s="35">
        <v>420</v>
      </c>
      <c r="D502" s="35" t="s">
        <v>49</v>
      </c>
      <c r="E502" s="36" t="str" cm="1">
        <f t="array" ref="E502">GetNumber(D502,1)</f>
        <v>14</v>
      </c>
      <c r="F502" s="36" t="str" cm="1">
        <f t="array" ref="F502">GetNumber(D502,2)</f>
        <v>10</v>
      </c>
      <c r="G502" s="35">
        <v>18.5</v>
      </c>
      <c r="H502" s="35">
        <v>6810</v>
      </c>
      <c r="I502" s="35">
        <f>37.54*($T$2)</f>
        <v>75.08</v>
      </c>
      <c r="J502" s="35">
        <f>694.5*($T$2)</f>
        <v>1389</v>
      </c>
      <c r="K502" s="35">
        <f t="shared" si="36"/>
        <v>3.995680345572354</v>
      </c>
      <c r="L502" s="35">
        <f t="shared" si="37"/>
        <v>3.9957378795950991</v>
      </c>
      <c r="M502" s="35">
        <f>5.97875*($T$2)</f>
        <v>11.9575</v>
      </c>
      <c r="N502" s="35">
        <f>64.5*(5280/3600)</f>
        <v>94.6</v>
      </c>
      <c r="O502" s="35">
        <f t="shared" si="35"/>
        <v>0.86087113030957518</v>
      </c>
      <c r="P502" s="35">
        <f t="shared" si="38"/>
        <v>47.778347732181423</v>
      </c>
      <c r="Q502" s="35">
        <f>('Batt Capacity and Sys Weight'!$I$4) + (B502*$T$2)</f>
        <v>46.424503000000001</v>
      </c>
      <c r="R502" s="35">
        <f>'Batt Capacity and Sys Weight'!$H$4</f>
        <v>92.5</v>
      </c>
    </row>
    <row r="503" spans="1:18" x14ac:dyDescent="0.3">
      <c r="A503" s="35" t="s">
        <v>92</v>
      </c>
      <c r="B503" s="35">
        <v>9.6300000000000008</v>
      </c>
      <c r="C503" s="35">
        <v>420</v>
      </c>
      <c r="D503" s="35" t="s">
        <v>50</v>
      </c>
      <c r="E503" s="36" t="str" cm="1">
        <f t="array" ref="E503">GetNumber(D503,1)</f>
        <v>15</v>
      </c>
      <c r="F503" s="36" t="str" cm="1">
        <f t="array" ref="F503">GetNumber(D503,2)</f>
        <v>6</v>
      </c>
      <c r="G503" s="35">
        <v>18.5</v>
      </c>
      <c r="H503" s="35">
        <v>7109</v>
      </c>
      <c r="I503" s="35">
        <f>28.79*($T$2)</f>
        <v>57.58</v>
      </c>
      <c r="J503" s="35">
        <f>532.7*($T$2)</f>
        <v>1065.4000000000001</v>
      </c>
      <c r="K503" s="35">
        <f t="shared" si="36"/>
        <v>5.2093110568800443</v>
      </c>
      <c r="L503" s="35">
        <f t="shared" si="37"/>
        <v>5.2101424105592216</v>
      </c>
      <c r="M503" s="35">
        <f>6.329375*($T$2)</f>
        <v>12.65875</v>
      </c>
      <c r="N503" s="35">
        <f>40.4*(5280/3600)</f>
        <v>59.25333333333333</v>
      </c>
      <c r="O503" s="35">
        <f t="shared" si="35"/>
        <v>1.1881687629059505</v>
      </c>
      <c r="P503" s="35">
        <f t="shared" si="38"/>
        <v>65.943366341280253</v>
      </c>
      <c r="Q503" s="35">
        <f>('Batt Capacity and Sys Weight'!$I$4) + (B503*$T$2)</f>
        <v>46.424503000000001</v>
      </c>
      <c r="R503" s="35">
        <f>'Batt Capacity and Sys Weight'!$H$4</f>
        <v>92.5</v>
      </c>
    </row>
    <row r="504" spans="1:18" x14ac:dyDescent="0.3">
      <c r="A504" s="35" t="s">
        <v>92</v>
      </c>
      <c r="B504" s="35">
        <v>9.6300000000000008</v>
      </c>
      <c r="C504" s="35">
        <v>420</v>
      </c>
      <c r="D504" s="35" t="s">
        <v>51</v>
      </c>
      <c r="E504" s="36" t="str" cm="1">
        <f t="array" ref="E504">GetNumber(D504,1)</f>
        <v>15</v>
      </c>
      <c r="F504" s="36" t="str" cm="1">
        <f t="array" ref="F504">GetNumber(D504,2)</f>
        <v>7</v>
      </c>
      <c r="G504" s="35">
        <v>18.5</v>
      </c>
      <c r="H504" s="35">
        <v>7080</v>
      </c>
      <c r="I504" s="35">
        <f>29.84*($T$2)</f>
        <v>59.68</v>
      </c>
      <c r="J504" s="35">
        <f>552.1*($T$2)</f>
        <v>1104.2</v>
      </c>
      <c r="K504" s="35">
        <f t="shared" si="36"/>
        <v>5.0262633580873031</v>
      </c>
      <c r="L504" s="35">
        <f t="shared" si="37"/>
        <v>5.0268096514745313</v>
      </c>
      <c r="M504" s="35">
        <f>6.646875*($T$2)</f>
        <v>13.293749999999999</v>
      </c>
      <c r="N504" s="35">
        <f>46.9*(5280/3600)</f>
        <v>68.786666666666662</v>
      </c>
      <c r="O504" s="35">
        <f t="shared" si="35"/>
        <v>1.2039259192175329</v>
      </c>
      <c r="P504" s="35">
        <f t="shared" si="38"/>
        <v>66.817888516573078</v>
      </c>
      <c r="Q504" s="35">
        <f>('Batt Capacity and Sys Weight'!$I$4) + (B504*$T$2)</f>
        <v>46.424503000000001</v>
      </c>
      <c r="R504" s="35">
        <f>'Batt Capacity and Sys Weight'!$H$4</f>
        <v>92.5</v>
      </c>
    </row>
    <row r="505" spans="1:18" x14ac:dyDescent="0.3">
      <c r="A505" s="35" t="s">
        <v>92</v>
      </c>
      <c r="B505" s="35">
        <v>9.6300000000000008</v>
      </c>
      <c r="C505" s="35">
        <v>420</v>
      </c>
      <c r="D505" s="35" t="s">
        <v>16</v>
      </c>
      <c r="E505" s="36" t="str" cm="1">
        <f t="array" ref="E505">GetNumber(D505,1)</f>
        <v>15</v>
      </c>
      <c r="F505" s="36" t="str" cm="1">
        <f t="array" ref="F505">GetNumber(D505,2)</f>
        <v>8</v>
      </c>
      <c r="G505" s="35">
        <v>18.5</v>
      </c>
      <c r="H505" s="35">
        <v>6984</v>
      </c>
      <c r="I505" s="35">
        <f>32.15*($T$2)</f>
        <v>64.3</v>
      </c>
      <c r="J505" s="35">
        <f>594.8*($T$2)</f>
        <v>1189.5999999999999</v>
      </c>
      <c r="K505" s="35">
        <f t="shared" si="36"/>
        <v>4.665433759246806</v>
      </c>
      <c r="L505" s="35">
        <f t="shared" si="37"/>
        <v>4.6656298600311041</v>
      </c>
      <c r="M505" s="35">
        <f>6.475*($T$2)</f>
        <v>12.95</v>
      </c>
      <c r="N505" s="35">
        <f>52.9*(5280/3600)</f>
        <v>77.586666666666659</v>
      </c>
      <c r="O505" s="35">
        <f t="shared" si="35"/>
        <v>1.0886012104909213</v>
      </c>
      <c r="P505" s="35">
        <f t="shared" si="38"/>
        <v>60.417367182246132</v>
      </c>
      <c r="Q505" s="35">
        <f>('Batt Capacity and Sys Weight'!$I$4) + (B505*$T$2)</f>
        <v>46.424503000000001</v>
      </c>
      <c r="R505" s="35">
        <f>'Batt Capacity and Sys Weight'!$H$4</f>
        <v>92.5</v>
      </c>
    </row>
    <row r="506" spans="1:18" x14ac:dyDescent="0.3">
      <c r="A506" s="35" t="s">
        <v>92</v>
      </c>
      <c r="B506" s="35">
        <v>9.6300000000000008</v>
      </c>
      <c r="C506" s="35">
        <v>420</v>
      </c>
      <c r="D506" s="35" t="s">
        <v>52</v>
      </c>
      <c r="E506" s="36" t="str" cm="1">
        <f t="array" ref="E506">GetNumber(D506,1)</f>
        <v>16</v>
      </c>
      <c r="F506" s="36" t="str" cm="1">
        <f t="array" ref="F506">GetNumber(D506,2)</f>
        <v>6</v>
      </c>
      <c r="G506" s="35">
        <v>18.5</v>
      </c>
      <c r="H506" s="35">
        <v>6950</v>
      </c>
      <c r="I506" s="35">
        <f>33.32*($T$2)</f>
        <v>66.64</v>
      </c>
      <c r="J506" s="35">
        <f>616.4*($T$2)</f>
        <v>1232.8</v>
      </c>
      <c r="K506" s="35">
        <f t="shared" si="36"/>
        <v>4.5019467878001302</v>
      </c>
      <c r="L506" s="35">
        <f t="shared" si="37"/>
        <v>4.5018007202881147</v>
      </c>
      <c r="M506" s="35">
        <f>7.4275*($T$2)</f>
        <v>14.855</v>
      </c>
      <c r="N506" s="35">
        <f>39.5*(5280/3600)</f>
        <v>57.93333333333333</v>
      </c>
      <c r="O506" s="35">
        <f t="shared" si="35"/>
        <v>1.2049805321219988</v>
      </c>
      <c r="P506" s="35">
        <f t="shared" si="38"/>
        <v>66.876419532770939</v>
      </c>
      <c r="Q506" s="35">
        <f>('Batt Capacity and Sys Weight'!$I$4) + (B506*$T$2)</f>
        <v>46.424503000000001</v>
      </c>
      <c r="R506" s="35">
        <f>'Batt Capacity and Sys Weight'!$H$4</f>
        <v>92.5</v>
      </c>
    </row>
    <row r="507" spans="1:18" x14ac:dyDescent="0.3">
      <c r="A507" s="35" t="s">
        <v>92</v>
      </c>
      <c r="B507" s="35">
        <v>9.6300000000000008</v>
      </c>
      <c r="C507" s="35">
        <v>420</v>
      </c>
      <c r="D507" s="35" t="s">
        <v>18</v>
      </c>
      <c r="E507" s="36" t="str" cm="1">
        <f t="array" ref="E507">GetNumber(D507,1)</f>
        <v>16</v>
      </c>
      <c r="F507" s="36" t="str" cm="1">
        <f t="array" ref="F507">GetNumber(D507,2)</f>
        <v>7</v>
      </c>
      <c r="G507" s="35">
        <v>18.5</v>
      </c>
      <c r="H507" s="35">
        <v>6838</v>
      </c>
      <c r="I507" s="35">
        <f>36.16*($T$2)</f>
        <v>72.319999999999993</v>
      </c>
      <c r="J507" s="35">
        <f>669*($T$2)</f>
        <v>1338</v>
      </c>
      <c r="K507" s="35">
        <f t="shared" si="36"/>
        <v>4.1479820627802688</v>
      </c>
      <c r="L507" s="35">
        <f t="shared" si="37"/>
        <v>4.1482300884955761</v>
      </c>
      <c r="M507" s="35">
        <f>7.60625*($T$2)</f>
        <v>15.2125</v>
      </c>
      <c r="N507" s="35">
        <f>45.3*(5280/3600)</f>
        <v>66.44</v>
      </c>
      <c r="O507" s="35">
        <f t="shared" si="35"/>
        <v>1.1369581464872947</v>
      </c>
      <c r="P507" s="35">
        <f t="shared" si="38"/>
        <v>63.101177130044839</v>
      </c>
      <c r="Q507" s="35">
        <f>('Batt Capacity and Sys Weight'!$I$4) + (B507*$T$2)</f>
        <v>46.424503000000001</v>
      </c>
      <c r="R507" s="35">
        <f>'Batt Capacity and Sys Weight'!$H$4</f>
        <v>92.5</v>
      </c>
    </row>
    <row r="508" spans="1:18" x14ac:dyDescent="0.3">
      <c r="A508" s="35" t="s">
        <v>92</v>
      </c>
      <c r="B508" s="35">
        <v>9.6300000000000008</v>
      </c>
      <c r="C508" s="35">
        <v>420</v>
      </c>
      <c r="D508" s="35" t="s">
        <v>54</v>
      </c>
      <c r="E508" s="36" t="str" cm="1">
        <f t="array" ref="E508">GetNumber(D508,1)</f>
        <v>12</v>
      </c>
      <c r="F508" s="36" t="str" cm="1">
        <f t="array" ref="F508">GetNumber(D508,2)</f>
        <v>8</v>
      </c>
      <c r="G508" s="35">
        <v>18.5</v>
      </c>
      <c r="H508" s="35">
        <v>7299</v>
      </c>
      <c r="I508" s="35">
        <f>24.43*($T$2)</f>
        <v>48.86</v>
      </c>
      <c r="J508" s="35">
        <f>452*($T$2)</f>
        <v>904</v>
      </c>
      <c r="K508" s="35">
        <f t="shared" si="36"/>
        <v>6.1393805309734519</v>
      </c>
      <c r="L508" s="35">
        <f t="shared" si="37"/>
        <v>6.139991813344249</v>
      </c>
      <c r="M508" s="35">
        <f>5.194375*($T$2)</f>
        <v>10.38875</v>
      </c>
      <c r="N508" s="35">
        <f>55.3*(5280/3600)</f>
        <v>81.106666666666655</v>
      </c>
      <c r="O508" s="35">
        <f t="shared" si="35"/>
        <v>1.1491980088495575</v>
      </c>
      <c r="P508" s="35">
        <f t="shared" si="38"/>
        <v>63.780489491150448</v>
      </c>
      <c r="Q508" s="35">
        <f>('Batt Capacity and Sys Weight'!$I$4) + (B508*$T$2)</f>
        <v>46.424503000000001</v>
      </c>
      <c r="R508" s="35">
        <f>'Batt Capacity and Sys Weight'!$H$4</f>
        <v>92.5</v>
      </c>
    </row>
    <row r="509" spans="1:18" x14ac:dyDescent="0.3">
      <c r="A509" s="35" t="s">
        <v>92</v>
      </c>
      <c r="B509" s="35">
        <v>9.6300000000000008</v>
      </c>
      <c r="C509" s="35">
        <v>420</v>
      </c>
      <c r="D509" s="35" t="s">
        <v>25</v>
      </c>
      <c r="E509" s="36" t="str" cm="1">
        <f t="array" ref="E509">GetNumber(D509,1)</f>
        <v>13</v>
      </c>
      <c r="F509" s="36" t="str" cm="1">
        <f t="array" ref="F509">GetNumber(D509,2)</f>
        <v>8</v>
      </c>
      <c r="G509" s="35">
        <v>18.5</v>
      </c>
      <c r="H509" s="35">
        <v>7144</v>
      </c>
      <c r="I509" s="35">
        <f>27.31*($T$2)</f>
        <v>54.62</v>
      </c>
      <c r="J509" s="35">
        <f>505.3*($T$2)</f>
        <v>1010.6</v>
      </c>
      <c r="K509" s="35">
        <f t="shared" si="36"/>
        <v>5.4917870571937462</v>
      </c>
      <c r="L509" s="35">
        <f t="shared" si="37"/>
        <v>5.4924935920908098</v>
      </c>
      <c r="M509" s="35">
        <f>5.800625*($T$2)</f>
        <v>11.60125</v>
      </c>
      <c r="N509" s="35">
        <f>54.1*(5280/3600)</f>
        <v>79.346666666666664</v>
      </c>
      <c r="O509" s="35">
        <f t="shared" si="35"/>
        <v>1.1479566594102515</v>
      </c>
      <c r="P509" s="35">
        <f t="shared" si="38"/>
        <v>63.711594597268949</v>
      </c>
      <c r="Q509" s="35">
        <f>('Batt Capacity and Sys Weight'!$I$4) + (B509*$T$2)</f>
        <v>46.424503000000001</v>
      </c>
      <c r="R509" s="35">
        <f>'Batt Capacity and Sys Weight'!$H$4</f>
        <v>92.5</v>
      </c>
    </row>
    <row r="510" spans="1:18" x14ac:dyDescent="0.3">
      <c r="A510" s="35" t="s">
        <v>92</v>
      </c>
      <c r="B510" s="35">
        <v>9.6300000000000008</v>
      </c>
      <c r="C510" s="35">
        <v>420</v>
      </c>
      <c r="D510" s="35" t="s">
        <v>26</v>
      </c>
      <c r="E510" s="36" t="str" cm="1">
        <f t="array" ref="E510">GetNumber(D510,1)</f>
        <v>14</v>
      </c>
      <c r="F510" s="36" t="str" cm="1">
        <f t="array" ref="F510">GetNumber(D510,2)</f>
        <v>7</v>
      </c>
      <c r="G510" s="35">
        <v>18.5</v>
      </c>
      <c r="H510" s="35">
        <v>7010</v>
      </c>
      <c r="I510" s="35">
        <f>32.07*($T$2)</f>
        <v>64.14</v>
      </c>
      <c r="J510" s="35">
        <f>593.2*($T$2)</f>
        <v>1186.4000000000001</v>
      </c>
      <c r="K510" s="35">
        <f t="shared" si="36"/>
        <v>4.6780175320296689</v>
      </c>
      <c r="L510" s="35">
        <f t="shared" si="37"/>
        <v>4.677268475210477</v>
      </c>
      <c r="M510" s="35">
        <f>6.83625*($T$2)</f>
        <v>13.672499999999999</v>
      </c>
      <c r="N510" s="35">
        <f>46.5*(5280/3600)</f>
        <v>68.199999999999989</v>
      </c>
      <c r="O510" s="35">
        <f t="shared" si="35"/>
        <v>1.1524359406608227</v>
      </c>
      <c r="P510" s="35">
        <f t="shared" si="38"/>
        <v>63.960194706675644</v>
      </c>
      <c r="Q510" s="35">
        <f>('Batt Capacity and Sys Weight'!$I$4) + (B510*$T$2)</f>
        <v>46.424503000000001</v>
      </c>
      <c r="R510" s="35">
        <f>'Batt Capacity and Sys Weight'!$H$4</f>
        <v>92.5</v>
      </c>
    </row>
    <row r="511" spans="1:18" x14ac:dyDescent="0.3">
      <c r="A511" s="35" t="s">
        <v>92</v>
      </c>
      <c r="B511" s="35">
        <v>9.6300000000000008</v>
      </c>
      <c r="C511" s="35">
        <v>420</v>
      </c>
      <c r="D511" s="35" t="s">
        <v>57</v>
      </c>
      <c r="E511" s="36" t="str" cm="1">
        <f t="array" ref="E511">GetNumber(D511,1)</f>
        <v>11</v>
      </c>
      <c r="F511" s="36" t="str" cm="1">
        <f t="array" ref="F511">GetNumber(D511,2)</f>
        <v>10</v>
      </c>
      <c r="G511" s="35">
        <v>22.2</v>
      </c>
      <c r="H511" s="35">
        <v>8739</v>
      </c>
      <c r="I511" s="35">
        <f>25.96*($T$2)</f>
        <v>51.92</v>
      </c>
      <c r="J511" s="35">
        <f>576.3*($T$2)</f>
        <v>1152.5999999999999</v>
      </c>
      <c r="K511" s="35">
        <f t="shared" si="36"/>
        <v>5.200416449765747</v>
      </c>
      <c r="L511" s="35">
        <f t="shared" si="37"/>
        <v>5.2003081664098616</v>
      </c>
      <c r="M511" s="35">
        <f>3.98375*($T$2)</f>
        <v>7.9675000000000002</v>
      </c>
      <c r="N511" s="35">
        <f>82.8*(5280/3600)</f>
        <v>121.43999999999998</v>
      </c>
      <c r="O511" s="35">
        <f t="shared" si="35"/>
        <v>0.69126323095609932</v>
      </c>
      <c r="P511" s="35">
        <f t="shared" si="38"/>
        <v>41.434318063508591</v>
      </c>
      <c r="Q511" s="35">
        <f>('Batt Capacity and Sys Weight'!$I$5) + (B511*$T$2)</f>
        <v>50.833753000000002</v>
      </c>
      <c r="R511" s="35">
        <f>'Batt Capacity and Sys Weight'!$H$5</f>
        <v>99.9</v>
      </c>
    </row>
    <row r="512" spans="1:18" x14ac:dyDescent="0.3">
      <c r="A512" s="35" t="s">
        <v>92</v>
      </c>
      <c r="B512" s="35">
        <v>9.6300000000000008</v>
      </c>
      <c r="C512" s="35">
        <v>420</v>
      </c>
      <c r="D512" s="35" t="s">
        <v>32</v>
      </c>
      <c r="E512" s="36" t="str" cm="1">
        <f t="array" ref="E512">GetNumber(D512,1)</f>
        <v>12</v>
      </c>
      <c r="F512" s="36" t="str" cm="1">
        <f t="array" ref="F512">GetNumber(D512,2)</f>
        <v>8</v>
      </c>
      <c r="G512" s="35">
        <v>22.2</v>
      </c>
      <c r="H512" s="35">
        <v>8713</v>
      </c>
      <c r="I512" s="35">
        <f>26.61*($T$2)</f>
        <v>53.22</v>
      </c>
      <c r="J512" s="35">
        <f>590.6*($T$2)</f>
        <v>1181.2</v>
      </c>
      <c r="K512" s="35">
        <f t="shared" si="36"/>
        <v>5.0745005079580086</v>
      </c>
      <c r="L512" s="35">
        <f t="shared" si="37"/>
        <v>5.0732807215332585</v>
      </c>
      <c r="M512" s="35">
        <f>4.845625*($T$2)</f>
        <v>9.6912500000000001</v>
      </c>
      <c r="N512" s="35">
        <f>66*(5280/3600)</f>
        <v>96.8</v>
      </c>
      <c r="O512" s="35">
        <f t="shared" si="35"/>
        <v>0.8204580088046054</v>
      </c>
      <c r="P512" s="35">
        <f t="shared" si="38"/>
        <v>49.178253047748051</v>
      </c>
      <c r="Q512" s="35">
        <f>('Batt Capacity and Sys Weight'!$I$5) + (B512*$T$2)</f>
        <v>50.833753000000002</v>
      </c>
      <c r="R512" s="35">
        <f>'Batt Capacity and Sys Weight'!$H$5</f>
        <v>99.9</v>
      </c>
    </row>
    <row r="513" spans="1:18" x14ac:dyDescent="0.3">
      <c r="A513" s="35" t="s">
        <v>92</v>
      </c>
      <c r="B513" s="35">
        <v>9.6300000000000008</v>
      </c>
      <c r="C513" s="35">
        <v>420</v>
      </c>
      <c r="D513" s="35" t="s">
        <v>33</v>
      </c>
      <c r="E513" s="36" t="str" cm="1">
        <f t="array" ref="E513">GetNumber(D513,1)</f>
        <v>12</v>
      </c>
      <c r="F513" s="36" t="str" cm="1">
        <f t="array" ref="F513">GetNumber(D513,2)</f>
        <v>10</v>
      </c>
      <c r="G513" s="35">
        <v>22.2</v>
      </c>
      <c r="H513" s="35">
        <v>8520</v>
      </c>
      <c r="I513" s="35">
        <f>32.79*($T$2)</f>
        <v>65.58</v>
      </c>
      <c r="J513" s="35">
        <f>727.8*($T$2)</f>
        <v>1455.6</v>
      </c>
      <c r="K513" s="35">
        <f t="shared" si="36"/>
        <v>4.117889530090685</v>
      </c>
      <c r="L513" s="35">
        <f t="shared" si="37"/>
        <v>4.1171088746569078</v>
      </c>
      <c r="M513" s="35">
        <f>5.3175*($T$2)</f>
        <v>10.635</v>
      </c>
      <c r="N513" s="35">
        <f>80.7*(5280/3600)</f>
        <v>118.36</v>
      </c>
      <c r="O513" s="35">
        <f t="shared" si="35"/>
        <v>0.73062654575432817</v>
      </c>
      <c r="P513" s="35">
        <f t="shared" si="38"/>
        <v>43.793755152514436</v>
      </c>
      <c r="Q513" s="35">
        <f>('Batt Capacity and Sys Weight'!$I$5) + (B513*$T$2)</f>
        <v>50.833753000000002</v>
      </c>
      <c r="R513" s="35">
        <f>'Batt Capacity and Sys Weight'!$H$5</f>
        <v>99.9</v>
      </c>
    </row>
    <row r="514" spans="1:18" x14ac:dyDescent="0.3">
      <c r="A514" s="35" t="s">
        <v>92</v>
      </c>
      <c r="B514" s="35">
        <v>9.6300000000000008</v>
      </c>
      <c r="C514" s="35">
        <v>420</v>
      </c>
      <c r="D514" s="35" t="s">
        <v>34</v>
      </c>
      <c r="E514" s="36" t="str" cm="1">
        <f t="array" ref="E514">GetNumber(D514,1)</f>
        <v>12</v>
      </c>
      <c r="F514" s="36" t="str" cm="1">
        <f t="array" ref="F514">GetNumber(D514,2)</f>
        <v>12</v>
      </c>
      <c r="G514" s="35">
        <v>22.2</v>
      </c>
      <c r="H514" s="35">
        <v>8368</v>
      </c>
      <c r="I514" s="35">
        <f>36.57*($T$2)</f>
        <v>73.14</v>
      </c>
      <c r="J514" s="35">
        <f>811.8*($T$2)</f>
        <v>1623.6</v>
      </c>
      <c r="K514" s="35">
        <f t="shared" si="36"/>
        <v>3.6917960088691801</v>
      </c>
      <c r="L514" s="35">
        <f t="shared" si="37"/>
        <v>3.6915504511894994</v>
      </c>
      <c r="M514" s="35">
        <f>4.810625*($T$2)</f>
        <v>9.6212499999999999</v>
      </c>
      <c r="N514" s="35">
        <f>95.1*(5280/3600)</f>
        <v>139.47999999999999</v>
      </c>
      <c r="O514" s="35">
        <f t="shared" ref="O514:O577" si="39" xml:space="preserve"> (M514/J514)*100</f>
        <v>0.59258745996550877</v>
      </c>
      <c r="P514" s="35">
        <f t="shared" si="38"/>
        <v>35.519692350332598</v>
      </c>
      <c r="Q514" s="35">
        <f>('Batt Capacity and Sys Weight'!$I$5) + (B514*$T$2)</f>
        <v>50.833753000000002</v>
      </c>
      <c r="R514" s="35">
        <f>'Batt Capacity and Sys Weight'!$H$5</f>
        <v>99.9</v>
      </c>
    </row>
    <row r="515" spans="1:18" x14ac:dyDescent="0.3">
      <c r="A515" s="35" t="s">
        <v>92</v>
      </c>
      <c r="B515" s="35">
        <v>9.6300000000000008</v>
      </c>
      <c r="C515" s="35">
        <v>420</v>
      </c>
      <c r="D515" s="35" t="s">
        <v>59</v>
      </c>
      <c r="E515" s="36" t="str" cm="1">
        <f t="array" ref="E515">GetNumber(D515,1)</f>
        <v>13</v>
      </c>
      <c r="F515" s="36" cm="1">
        <f t="array" ref="F515">GetNumber(D515,2)+(GetNumber(D515,3)/10)</f>
        <v>5.5</v>
      </c>
      <c r="G515" s="35">
        <v>22.2</v>
      </c>
      <c r="H515" s="35">
        <v>8875</v>
      </c>
      <c r="I515" s="35">
        <f>22.59*($T$2)</f>
        <v>45.18</v>
      </c>
      <c r="J515" s="35">
        <f>501.5*($T$2)</f>
        <v>1003</v>
      </c>
      <c r="K515" s="35">
        <f t="shared" ref="K515:K578" si="40" xml:space="preserve"> (R515/J515)*60</f>
        <v>5.976071784646062</v>
      </c>
      <c r="L515" s="35">
        <f t="shared" ref="L515:L578" si="41">( (R515/G515)/I515)*60</f>
        <v>5.9760956175298805</v>
      </c>
      <c r="M515" s="35">
        <f>5.861875*($T$2)</f>
        <v>11.723750000000001</v>
      </c>
      <c r="N515" s="35">
        <f>46.2*(5280/3600)</f>
        <v>67.760000000000005</v>
      </c>
      <c r="O515" s="35">
        <f t="shared" si="39"/>
        <v>1.1688683948155534</v>
      </c>
      <c r="P515" s="35">
        <f t="shared" si="38"/>
        <v>70.061971585244279</v>
      </c>
      <c r="Q515" s="35">
        <f>('Batt Capacity and Sys Weight'!$I$5) + (B515*$T$2)</f>
        <v>50.833753000000002</v>
      </c>
      <c r="R515" s="35">
        <f>'Batt Capacity and Sys Weight'!$H$5</f>
        <v>99.9</v>
      </c>
    </row>
    <row r="516" spans="1:18" x14ac:dyDescent="0.3">
      <c r="A516" s="35" t="s">
        <v>92</v>
      </c>
      <c r="B516" s="35">
        <v>9.6300000000000008</v>
      </c>
      <c r="C516" s="35">
        <v>420</v>
      </c>
      <c r="D516" s="35" t="s">
        <v>35</v>
      </c>
      <c r="E516" s="36" t="str" cm="1">
        <f t="array" ref="E516">GetNumber(D516,1)</f>
        <v>13</v>
      </c>
      <c r="F516" s="36" cm="1">
        <f t="array" ref="F516">GetNumber(D516,2)+(GetNumber(D516,3)/10)</f>
        <v>6.5</v>
      </c>
      <c r="G516" s="35">
        <v>22.2</v>
      </c>
      <c r="H516" s="35">
        <v>8625</v>
      </c>
      <c r="I516" s="35">
        <f>30.11*($T$2)</f>
        <v>60.22</v>
      </c>
      <c r="J516" s="35">
        <f>668.4*($T$2)</f>
        <v>1336.8</v>
      </c>
      <c r="K516" s="35">
        <f t="shared" si="40"/>
        <v>4.4838420107719932</v>
      </c>
      <c r="L516" s="35">
        <f t="shared" si="41"/>
        <v>4.4835602789770839</v>
      </c>
      <c r="M516" s="35">
        <f>6.779375*($T$2)</f>
        <v>13.55875</v>
      </c>
      <c r="N516" s="35">
        <f>53.1*(5280/3600)</f>
        <v>77.88</v>
      </c>
      <c r="O516" s="35">
        <f t="shared" si="39"/>
        <v>1.0142691502094554</v>
      </c>
      <c r="P516" s="35">
        <f t="shared" si="38"/>
        <v>60.795292863554764</v>
      </c>
      <c r="Q516" s="35">
        <f>('Batt Capacity and Sys Weight'!$I$5) + (B516*$T$2)</f>
        <v>50.833753000000002</v>
      </c>
      <c r="R516" s="35">
        <f>'Batt Capacity and Sys Weight'!$H$5</f>
        <v>99.9</v>
      </c>
    </row>
    <row r="517" spans="1:18" x14ac:dyDescent="0.3">
      <c r="A517" s="35" t="s">
        <v>92</v>
      </c>
      <c r="B517" s="35">
        <v>9.6300000000000008</v>
      </c>
      <c r="C517" s="35">
        <v>420</v>
      </c>
      <c r="D517" s="35" t="s">
        <v>36</v>
      </c>
      <c r="E517" s="36" t="str" cm="1">
        <f t="array" ref="E517">GetNumber(D517,1)</f>
        <v>13</v>
      </c>
      <c r="F517" s="36" t="str" cm="1">
        <f t="array" ref="F517">GetNumber(D517,2)</f>
        <v>8</v>
      </c>
      <c r="G517" s="35">
        <v>22.2</v>
      </c>
      <c r="H517" s="35">
        <v>8509</v>
      </c>
      <c r="I517" s="35">
        <f>33.14*($T$2)</f>
        <v>66.28</v>
      </c>
      <c r="J517" s="35">
        <f>735.8*($T$2)</f>
        <v>1471.6</v>
      </c>
      <c r="K517" s="35">
        <f t="shared" si="40"/>
        <v>4.0731176950258234</v>
      </c>
      <c r="L517" s="35">
        <f t="shared" si="41"/>
        <v>4.0736270368135177</v>
      </c>
      <c r="M517" s="35">
        <f>6.748125*($T$2)</f>
        <v>13.49625</v>
      </c>
      <c r="N517" s="35">
        <f>64.5*(5280/3600)</f>
        <v>94.6</v>
      </c>
      <c r="O517" s="35">
        <f t="shared" si="39"/>
        <v>0.91711402555042132</v>
      </c>
      <c r="P517" s="35">
        <f t="shared" si="38"/>
        <v>54.97181469149227</v>
      </c>
      <c r="Q517" s="35">
        <f>('Batt Capacity and Sys Weight'!$I$5) + (B517*$T$2)</f>
        <v>50.833753000000002</v>
      </c>
      <c r="R517" s="35">
        <f>'Batt Capacity and Sys Weight'!$H$5</f>
        <v>99.9</v>
      </c>
    </row>
    <row r="518" spans="1:18" x14ac:dyDescent="0.3">
      <c r="A518" s="35" t="s">
        <v>92</v>
      </c>
      <c r="B518" s="35">
        <v>9.6300000000000008</v>
      </c>
      <c r="C518" s="35">
        <v>420</v>
      </c>
      <c r="D518" s="35" t="s">
        <v>38</v>
      </c>
      <c r="E518" s="36" t="str" cm="1">
        <f t="array" ref="E518">GetNumber(D518,1)</f>
        <v>14</v>
      </c>
      <c r="F518" s="36" t="str" cm="1">
        <f t="array" ref="F518">GetNumber(D518,2)</f>
        <v>6</v>
      </c>
      <c r="G518" s="35">
        <v>22.2</v>
      </c>
      <c r="H518" s="35">
        <v>8688</v>
      </c>
      <c r="I518" s="35">
        <f>27.43*($T$2)</f>
        <v>54.86</v>
      </c>
      <c r="J518" s="35">
        <f>609*($T$2)</f>
        <v>1218</v>
      </c>
      <c r="K518" s="35">
        <f t="shared" si="40"/>
        <v>4.9211822660098523</v>
      </c>
      <c r="L518" s="35">
        <f t="shared" si="41"/>
        <v>4.9216186656944947</v>
      </c>
      <c r="M518" s="35">
        <f>7.036875*($T$2)</f>
        <v>14.07375</v>
      </c>
      <c r="N518" s="35">
        <f>49.4*(5280/3600)</f>
        <v>72.453333333333333</v>
      </c>
      <c r="O518" s="35">
        <f t="shared" si="39"/>
        <v>1.1554802955665027</v>
      </c>
      <c r="P518" s="35">
        <f t="shared" si="38"/>
        <v>69.25948891625616</v>
      </c>
      <c r="Q518" s="35">
        <f>('Batt Capacity and Sys Weight'!$I$5) + (B518*$T$2)</f>
        <v>50.833753000000002</v>
      </c>
      <c r="R518" s="35">
        <f>'Batt Capacity and Sys Weight'!$H$5</f>
        <v>99.9</v>
      </c>
    </row>
    <row r="519" spans="1:18" x14ac:dyDescent="0.3">
      <c r="A519" s="35" t="s">
        <v>92</v>
      </c>
      <c r="B519" s="35">
        <v>9.6300000000000008</v>
      </c>
      <c r="C519" s="35">
        <v>420</v>
      </c>
      <c r="D519" s="35" t="s">
        <v>60</v>
      </c>
      <c r="E519" s="36" t="str" cm="1">
        <f t="array" ref="E519">GetNumber(D519,1)</f>
        <v>15</v>
      </c>
      <c r="F519" s="36" t="str" cm="1">
        <f t="array" ref="F519">GetNumber(D519,2)</f>
        <v>4</v>
      </c>
      <c r="G519" s="35">
        <v>22.2</v>
      </c>
      <c r="H519" s="35">
        <v>8621</v>
      </c>
      <c r="I519" s="35">
        <f>30.24*($T$2)</f>
        <v>60.48</v>
      </c>
      <c r="J519" s="35">
        <f>671.3*($T$2)</f>
        <v>1342.6</v>
      </c>
      <c r="K519" s="35">
        <f t="shared" si="40"/>
        <v>4.4644719201549234</v>
      </c>
      <c r="L519" s="35">
        <f t="shared" si="41"/>
        <v>4.4642857142857144</v>
      </c>
      <c r="M519" s="35">
        <f>7.983125*($T$2)</f>
        <v>15.96625</v>
      </c>
      <c r="N519" s="35">
        <f>32.7*(5280/3600)</f>
        <v>47.96</v>
      </c>
      <c r="O519" s="35">
        <f t="shared" si="39"/>
        <v>1.1892037837032625</v>
      </c>
      <c r="P519" s="35">
        <f t="shared" si="38"/>
        <v>71.280874795173546</v>
      </c>
      <c r="Q519" s="35">
        <f>('Batt Capacity and Sys Weight'!$I$5) + (B519*$T$2)</f>
        <v>50.833753000000002</v>
      </c>
      <c r="R519" s="35">
        <f>'Batt Capacity and Sys Weight'!$H$5</f>
        <v>99.9</v>
      </c>
    </row>
    <row r="520" spans="1:18" x14ac:dyDescent="0.3">
      <c r="A520" s="35" t="s">
        <v>92</v>
      </c>
      <c r="B520" s="35">
        <v>9.6300000000000008</v>
      </c>
      <c r="C520" s="35">
        <v>420</v>
      </c>
      <c r="D520" s="35" t="s">
        <v>64</v>
      </c>
      <c r="E520" s="36" t="str" cm="1">
        <f t="array" ref="E520">GetNumber(D520,1)</f>
        <v>12</v>
      </c>
      <c r="F520" s="36" t="str" cm="1">
        <f t="array" ref="F520">GetNumber(D520,2)</f>
        <v>8</v>
      </c>
      <c r="G520" s="35">
        <v>22.2</v>
      </c>
      <c r="H520" s="35">
        <v>8675</v>
      </c>
      <c r="I520" s="35">
        <f>27.55*($T$2)</f>
        <v>55.1</v>
      </c>
      <c r="J520" s="35">
        <f>611.5*($T$2)</f>
        <v>1223</v>
      </c>
      <c r="K520" s="35">
        <f t="shared" si="40"/>
        <v>4.9010629599345874</v>
      </c>
      <c r="L520" s="35">
        <f t="shared" si="41"/>
        <v>4.9001814882032662</v>
      </c>
      <c r="M520" s="35">
        <f>4.334375*($T$2)</f>
        <v>8.6687499999999993</v>
      </c>
      <c r="N520" s="35">
        <f>65.7*(5280/3600)</f>
        <v>96.36</v>
      </c>
      <c r="O520" s="35">
        <f t="shared" si="39"/>
        <v>0.70881030253475052</v>
      </c>
      <c r="P520" s="35">
        <f t="shared" si="38"/>
        <v>42.486089533932955</v>
      </c>
      <c r="Q520" s="35">
        <f>('Batt Capacity and Sys Weight'!$I$5) + (B520*$T$2)</f>
        <v>50.833753000000002</v>
      </c>
      <c r="R520" s="35">
        <f>'Batt Capacity and Sys Weight'!$H$5</f>
        <v>99.9</v>
      </c>
    </row>
    <row r="521" spans="1:18" x14ac:dyDescent="0.3">
      <c r="A521" s="35" t="s">
        <v>92</v>
      </c>
      <c r="B521" s="35">
        <v>9.6300000000000008</v>
      </c>
      <c r="C521" s="35">
        <v>420</v>
      </c>
      <c r="D521" s="35" t="s">
        <v>45</v>
      </c>
      <c r="E521" s="36" t="str" cm="1">
        <f t="array" ref="E521">GetNumber(D521,1)</f>
        <v>13</v>
      </c>
      <c r="F521" s="36" t="str" cm="1">
        <f t="array" ref="F521">GetNumber(D521,2)</f>
        <v>8</v>
      </c>
      <c r="G521" s="35">
        <v>22.2</v>
      </c>
      <c r="H521" s="35">
        <v>8541</v>
      </c>
      <c r="I521" s="35">
        <f>32.05*($T$2)</f>
        <v>64.099999999999994</v>
      </c>
      <c r="J521" s="35">
        <f>711.5*($T$2)</f>
        <v>1423</v>
      </c>
      <c r="K521" s="35">
        <f t="shared" si="40"/>
        <v>4.212227687983134</v>
      </c>
      <c r="L521" s="35">
        <f t="shared" si="41"/>
        <v>4.2121684867394702</v>
      </c>
      <c r="M521" s="35">
        <f>6.01*($T$2)</f>
        <v>12.02</v>
      </c>
      <c r="N521" s="35">
        <f>64.7*(5280/3600)</f>
        <v>94.893333333333331</v>
      </c>
      <c r="O521" s="35">
        <f t="shared" si="39"/>
        <v>0.84469430780042165</v>
      </c>
      <c r="P521" s="35">
        <f t="shared" si="38"/>
        <v>50.630976809557268</v>
      </c>
      <c r="Q521" s="35">
        <f>('Batt Capacity and Sys Weight'!$I$5) + (B521*$T$2)</f>
        <v>50.833753000000002</v>
      </c>
      <c r="R521" s="35">
        <f>'Batt Capacity and Sys Weight'!$H$5</f>
        <v>99.9</v>
      </c>
    </row>
    <row r="522" spans="1:18" x14ac:dyDescent="0.3">
      <c r="A522" s="35" t="s">
        <v>92</v>
      </c>
      <c r="B522" s="35">
        <v>9.6300000000000008</v>
      </c>
      <c r="C522" s="35">
        <v>420</v>
      </c>
      <c r="D522" s="35" t="s">
        <v>47</v>
      </c>
      <c r="E522" s="36" t="str" cm="1">
        <f t="array" ref="E522">GetNumber(D522,1)</f>
        <v>14</v>
      </c>
      <c r="F522" s="36" t="str" cm="1">
        <f t="array" ref="F522">GetNumber(D522,2)</f>
        <v>6</v>
      </c>
      <c r="G522" s="35">
        <v>22.2</v>
      </c>
      <c r="H522" s="35">
        <v>8590</v>
      </c>
      <c r="I522" s="35">
        <f>30.96*($T$2)</f>
        <v>61.92</v>
      </c>
      <c r="J522" s="35">
        <f>687.3*($T$2)</f>
        <v>1374.6</v>
      </c>
      <c r="K522" s="35">
        <f t="shared" si="40"/>
        <v>4.3605412483631607</v>
      </c>
      <c r="L522" s="35">
        <f t="shared" si="41"/>
        <v>4.3604651162790704</v>
      </c>
      <c r="M522" s="35">
        <f>6.915625*($T$2)</f>
        <v>13.831250000000001</v>
      </c>
      <c r="N522" s="35">
        <f>48.8*(5280/3600)</f>
        <v>71.573333333333323</v>
      </c>
      <c r="O522" s="35">
        <f t="shared" si="39"/>
        <v>1.0062018041612106</v>
      </c>
      <c r="P522" s="35">
        <f t="shared" si="38"/>
        <v>60.311736141422969</v>
      </c>
      <c r="Q522" s="35">
        <f>('Batt Capacity and Sys Weight'!$I$5) + (B522*$T$2)</f>
        <v>50.833753000000002</v>
      </c>
      <c r="R522" s="35">
        <f>'Batt Capacity and Sys Weight'!$H$5</f>
        <v>99.9</v>
      </c>
    </row>
    <row r="523" spans="1:18" x14ac:dyDescent="0.3">
      <c r="A523" s="35" t="s">
        <v>92</v>
      </c>
      <c r="B523" s="35">
        <v>9.6300000000000008</v>
      </c>
      <c r="C523" s="35">
        <v>420</v>
      </c>
      <c r="D523" s="35" t="s">
        <v>48</v>
      </c>
      <c r="E523" s="36" t="str" cm="1">
        <f t="array" ref="E523">GetNumber(D523,1)</f>
        <v>14</v>
      </c>
      <c r="F523" s="36" t="str" cm="1">
        <f t="array" ref="F523">GetNumber(D523,2)</f>
        <v>8</v>
      </c>
      <c r="G523" s="35">
        <v>22.2</v>
      </c>
      <c r="H523" s="35">
        <v>8344</v>
      </c>
      <c r="I523" s="35">
        <f>36.89*($T$2)</f>
        <v>73.78</v>
      </c>
      <c r="J523" s="35">
        <f>818.9*($T$2)</f>
        <v>1637.8</v>
      </c>
      <c r="K523" s="35">
        <f t="shared" si="40"/>
        <v>3.6597875198436931</v>
      </c>
      <c r="L523" s="35">
        <f t="shared" si="41"/>
        <v>3.6595283274600163</v>
      </c>
      <c r="M523" s="35">
        <f>7.876875*($T$2)</f>
        <v>15.75375</v>
      </c>
      <c r="N523" s="35">
        <f>63.2*(5280/3600)</f>
        <v>92.693333333333328</v>
      </c>
      <c r="O523" s="35">
        <f t="shared" si="39"/>
        <v>0.96188484552448417</v>
      </c>
      <c r="P523" s="35">
        <f t="shared" si="38"/>
        <v>57.655377640737584</v>
      </c>
      <c r="Q523" s="35">
        <f>('Batt Capacity and Sys Weight'!$I$5) + (B523*$T$2)</f>
        <v>50.833753000000002</v>
      </c>
      <c r="R523" s="35">
        <f>'Batt Capacity and Sys Weight'!$H$5</f>
        <v>99.9</v>
      </c>
    </row>
    <row r="524" spans="1:18" x14ac:dyDescent="0.3">
      <c r="A524" s="35" t="s">
        <v>92</v>
      </c>
      <c r="B524" s="35">
        <v>9.6300000000000008</v>
      </c>
      <c r="C524" s="35">
        <v>420</v>
      </c>
      <c r="D524" s="35" t="s">
        <v>54</v>
      </c>
      <c r="E524" s="36" t="str" cm="1">
        <f t="array" ref="E524">GetNumber(D524,1)</f>
        <v>12</v>
      </c>
      <c r="F524" s="36" t="str" cm="1">
        <f t="array" ref="F524">GetNumber(D524,2)</f>
        <v>8</v>
      </c>
      <c r="G524" s="35">
        <v>22.2</v>
      </c>
      <c r="H524" s="35">
        <v>8510</v>
      </c>
      <c r="I524" s="35">
        <f>32.9*($T$2)</f>
        <v>65.8</v>
      </c>
      <c r="J524" s="35">
        <f>730.4*($T$2)</f>
        <v>1460.8</v>
      </c>
      <c r="K524" s="35">
        <f t="shared" si="40"/>
        <v>4.1032311062431548</v>
      </c>
      <c r="L524" s="35">
        <f t="shared" si="41"/>
        <v>4.1033434650455929</v>
      </c>
      <c r="M524" s="35">
        <f>7.13*($T$2)</f>
        <v>14.26</v>
      </c>
      <c r="N524" s="35">
        <f>64.5*(5280/3600)</f>
        <v>94.6</v>
      </c>
      <c r="O524" s="35">
        <f t="shared" si="39"/>
        <v>0.9761774370208105</v>
      </c>
      <c r="P524" s="35">
        <f t="shared" si="38"/>
        <v>58.512075575027389</v>
      </c>
      <c r="Q524" s="35">
        <f>('Batt Capacity and Sys Weight'!$I$5) + (B524*$T$2)</f>
        <v>50.833753000000002</v>
      </c>
      <c r="R524" s="35">
        <f>'Batt Capacity and Sys Weight'!$H$5</f>
        <v>99.9</v>
      </c>
    </row>
    <row r="525" spans="1:18" x14ac:dyDescent="0.3">
      <c r="A525" s="35" t="s">
        <v>92</v>
      </c>
      <c r="B525" s="35">
        <v>9.6300000000000008</v>
      </c>
      <c r="C525" s="35">
        <v>420</v>
      </c>
      <c r="D525" s="35" t="s">
        <v>25</v>
      </c>
      <c r="E525" s="36" t="str" cm="1">
        <f t="array" ref="E525">GetNumber(D525,1)</f>
        <v>13</v>
      </c>
      <c r="F525" s="36" t="str" cm="1">
        <f t="array" ref="F525">GetNumber(D525,2)</f>
        <v>8</v>
      </c>
      <c r="G525" s="35">
        <v>22.2</v>
      </c>
      <c r="H525" s="35">
        <v>8353</v>
      </c>
      <c r="I525" s="35">
        <f>36.83*($T$2)</f>
        <v>73.66</v>
      </c>
      <c r="J525" s="35">
        <f>817.5*($T$2)</f>
        <v>1635</v>
      </c>
      <c r="K525" s="35">
        <f t="shared" si="40"/>
        <v>3.6660550458715599</v>
      </c>
      <c r="L525" s="35">
        <f t="shared" si="41"/>
        <v>3.6654900896008691</v>
      </c>
      <c r="M525" s="35">
        <f>7.91*($T$2)</f>
        <v>15.82</v>
      </c>
      <c r="N525" s="35">
        <f>63.3*(5280/3600)</f>
        <v>92.839999999999989</v>
      </c>
      <c r="O525" s="35">
        <f t="shared" si="39"/>
        <v>0.9675840978593272</v>
      </c>
      <c r="P525" s="35">
        <f t="shared" si="38"/>
        <v>57.99699082568808</v>
      </c>
      <c r="Q525" s="35">
        <f>('Batt Capacity and Sys Weight'!$I$5) + (B525*$T$2)</f>
        <v>50.833753000000002</v>
      </c>
      <c r="R525" s="35">
        <f>'Batt Capacity and Sys Weight'!$H$5</f>
        <v>99.9</v>
      </c>
    </row>
    <row r="526" spans="1:18" x14ac:dyDescent="0.3">
      <c r="A526" s="35" t="s">
        <v>92</v>
      </c>
      <c r="B526" s="35">
        <v>9.6300000000000008</v>
      </c>
      <c r="C526" s="35">
        <v>420</v>
      </c>
      <c r="D526" s="35" t="s">
        <v>69</v>
      </c>
      <c r="E526" s="36" t="str" cm="1">
        <f t="array" ref="E526">GetNumber(D526,1)</f>
        <v>10</v>
      </c>
      <c r="F526" s="36" t="str" cm="1">
        <f t="array" ref="F526">GetNumber(D526,2)</f>
        <v>8</v>
      </c>
      <c r="G526" s="35">
        <v>29.6</v>
      </c>
      <c r="H526" s="35">
        <v>11796</v>
      </c>
      <c r="I526" s="35">
        <f>27.78*($T$2)</f>
        <v>55.56</v>
      </c>
      <c r="J526" s="35">
        <f>822.2*($T$2)</f>
        <v>1644.4</v>
      </c>
      <c r="K526" s="35">
        <f t="shared" si="40"/>
        <v>3.6487472634395521</v>
      </c>
      <c r="L526" s="35">
        <f t="shared" si="41"/>
        <v>3.6483567801062398</v>
      </c>
      <c r="M526" s="35">
        <f>5.14125*($T$2)</f>
        <v>10.282500000000001</v>
      </c>
      <c r="N526" s="35">
        <f>89.4*(5280/3600)</f>
        <v>131.12</v>
      </c>
      <c r="O526" s="35">
        <f t="shared" si="39"/>
        <v>0.62530406227195323</v>
      </c>
      <c r="P526" s="35">
        <f t="shared" si="38"/>
        <v>37.518243736317196</v>
      </c>
      <c r="Q526" s="35">
        <v>0</v>
      </c>
      <c r="R526" s="35">
        <f t="shared" ref="R526:R541" si="42">$T$1</f>
        <v>100</v>
      </c>
    </row>
    <row r="527" spans="1:18" x14ac:dyDescent="0.3">
      <c r="A527" s="35" t="s">
        <v>92</v>
      </c>
      <c r="B527" s="35">
        <v>9.6300000000000008</v>
      </c>
      <c r="C527" s="35">
        <v>420</v>
      </c>
      <c r="D527" s="35" t="s">
        <v>55</v>
      </c>
      <c r="E527" s="36" t="str" cm="1">
        <f t="array" ref="E527">GetNumber(D527,1)</f>
        <v>10</v>
      </c>
      <c r="F527" s="36" t="str" cm="1">
        <f t="array" ref="F527">GetNumber(D527,2)</f>
        <v>10</v>
      </c>
      <c r="G527" s="35">
        <v>29.6</v>
      </c>
      <c r="H527" s="35">
        <v>11440</v>
      </c>
      <c r="I527" s="35">
        <f>36.57*($T$2)</f>
        <v>73.14</v>
      </c>
      <c r="J527" s="35">
        <f>1082.4*($T$2)</f>
        <v>2164.8000000000002</v>
      </c>
      <c r="K527" s="35">
        <f t="shared" si="40"/>
        <v>2.7716186252771617</v>
      </c>
      <c r="L527" s="35">
        <f t="shared" si="41"/>
        <v>2.7714342726647891</v>
      </c>
      <c r="M527" s="35">
        <f>4.8325*($T$2)</f>
        <v>9.6649999999999991</v>
      </c>
      <c r="N527" s="35">
        <f>108.3*(5280/3600)</f>
        <v>158.83999999999997</v>
      </c>
      <c r="O527" s="35">
        <f t="shared" si="39"/>
        <v>0.44646156688839611</v>
      </c>
      <c r="P527" s="35">
        <f t="shared" si="38"/>
        <v>26.787694013303767</v>
      </c>
      <c r="Q527" s="35">
        <v>0</v>
      </c>
      <c r="R527" s="35">
        <f t="shared" si="42"/>
        <v>100</v>
      </c>
    </row>
    <row r="528" spans="1:18" x14ac:dyDescent="0.3">
      <c r="A528" s="35" t="s">
        <v>92</v>
      </c>
      <c r="B528" s="35">
        <v>9.6300000000000008</v>
      </c>
      <c r="C528" s="35">
        <v>420</v>
      </c>
      <c r="D528" s="35" t="s">
        <v>70</v>
      </c>
      <c r="E528" s="36" t="str" cm="1">
        <f t="array" ref="E528">GetNumber(D528,1)</f>
        <v>11</v>
      </c>
      <c r="F528" s="36" cm="1">
        <f t="array" ref="F528">GetNumber(D528,2)+(GetNumber(D528,3)/10)</f>
        <v>5.5</v>
      </c>
      <c r="G528" s="35">
        <v>29.6</v>
      </c>
      <c r="H528" s="35">
        <v>11825</v>
      </c>
      <c r="I528" s="35">
        <f>27.49*($T$2)</f>
        <v>54.98</v>
      </c>
      <c r="J528" s="35">
        <f>813.8*($T$2)</f>
        <v>1627.6</v>
      </c>
      <c r="K528" s="35">
        <f t="shared" si="40"/>
        <v>3.6864094372081597</v>
      </c>
      <c r="L528" s="35">
        <f t="shared" si="41"/>
        <v>3.6868443561786592</v>
      </c>
      <c r="M528" s="35">
        <f>6.97125*($T$2)</f>
        <v>13.942500000000001</v>
      </c>
      <c r="N528" s="35">
        <f>78.4*(5280/3600)</f>
        <v>114.98666666666666</v>
      </c>
      <c r="O528" s="35">
        <f t="shared" si="39"/>
        <v>0.85662939297124607</v>
      </c>
      <c r="P528" s="35">
        <f t="shared" si="38"/>
        <v>51.39776357827477</v>
      </c>
      <c r="Q528" s="35">
        <v>0</v>
      </c>
      <c r="R528" s="35">
        <f t="shared" si="42"/>
        <v>100</v>
      </c>
    </row>
    <row r="529" spans="1:18" x14ac:dyDescent="0.3">
      <c r="A529" s="35" t="s">
        <v>92</v>
      </c>
      <c r="B529" s="35">
        <v>9.6300000000000008</v>
      </c>
      <c r="C529" s="35">
        <v>420</v>
      </c>
      <c r="D529" s="35" t="s">
        <v>71</v>
      </c>
      <c r="E529" s="36" t="str" cm="1">
        <f t="array" ref="E529">GetNumber(D529,1)</f>
        <v>11</v>
      </c>
      <c r="F529" s="36" t="str" cm="1">
        <f t="array" ref="F529">GetNumber(D529,2)</f>
        <v>7</v>
      </c>
      <c r="G529" s="35">
        <v>29.6</v>
      </c>
      <c r="H529" s="35">
        <v>11605</v>
      </c>
      <c r="I529" s="35">
        <f>33.17*($T$2)</f>
        <v>66.34</v>
      </c>
      <c r="J529" s="35">
        <f>982*($T$2)</f>
        <v>1964</v>
      </c>
      <c r="K529" s="35">
        <f t="shared" si="40"/>
        <v>3.0549898167006111</v>
      </c>
      <c r="L529" s="35">
        <f t="shared" si="41"/>
        <v>3.0555125520455633</v>
      </c>
      <c r="M529" s="35">
        <f>7.151875*($T$2)</f>
        <v>14.303750000000001</v>
      </c>
      <c r="N529" s="35">
        <f>76.9*(5280/3600)</f>
        <v>112.78666666666666</v>
      </c>
      <c r="O529" s="35">
        <f t="shared" si="39"/>
        <v>0.72829684317718946</v>
      </c>
      <c r="P529" s="35">
        <f t="shared" ref="P529:P592" si="43">M529*K529</f>
        <v>43.69781059063137</v>
      </c>
      <c r="Q529" s="35">
        <v>0</v>
      </c>
      <c r="R529" s="35">
        <f t="shared" si="42"/>
        <v>100</v>
      </c>
    </row>
    <row r="530" spans="1:18" x14ac:dyDescent="0.3">
      <c r="A530" s="35" t="s">
        <v>92</v>
      </c>
      <c r="B530" s="35">
        <v>9.6300000000000008</v>
      </c>
      <c r="C530" s="35">
        <v>420</v>
      </c>
      <c r="D530" s="35" t="s">
        <v>72</v>
      </c>
      <c r="E530" s="36" t="str" cm="1">
        <f t="array" ref="E530">GetNumber(D530,1)</f>
        <v>11</v>
      </c>
      <c r="F530" s="36" t="str" cm="1">
        <f t="array" ref="F530">GetNumber(D530,2)</f>
        <v>8</v>
      </c>
      <c r="G530" s="35">
        <v>29.6</v>
      </c>
      <c r="H530" s="35">
        <v>11432</v>
      </c>
      <c r="I530" s="35">
        <f>36.98*($T$2)</f>
        <v>73.959999999999994</v>
      </c>
      <c r="J530" s="35">
        <f>1094.7*($T$2)</f>
        <v>2189.4</v>
      </c>
      <c r="K530" s="35">
        <f t="shared" si="40"/>
        <v>2.740476842970677</v>
      </c>
      <c r="L530" s="35">
        <f t="shared" si="41"/>
        <v>2.7407071755368131</v>
      </c>
      <c r="M530" s="35">
        <f>6.84125*($T$2)</f>
        <v>13.682499999999999</v>
      </c>
      <c r="N530" s="35">
        <f>86.6*(5280/3600)</f>
        <v>127.01333333333332</v>
      </c>
      <c r="O530" s="35">
        <f t="shared" si="39"/>
        <v>0.62494290673243802</v>
      </c>
      <c r="P530" s="35">
        <f t="shared" si="43"/>
        <v>37.496574403946283</v>
      </c>
      <c r="Q530" s="35">
        <v>0</v>
      </c>
      <c r="R530" s="35">
        <f t="shared" si="42"/>
        <v>100</v>
      </c>
    </row>
    <row r="531" spans="1:18" x14ac:dyDescent="0.3">
      <c r="A531" s="35" t="s">
        <v>92</v>
      </c>
      <c r="B531" s="35">
        <v>9.6300000000000008</v>
      </c>
      <c r="C531" s="35">
        <v>420</v>
      </c>
      <c r="D531" s="35" t="s">
        <v>58</v>
      </c>
      <c r="E531" s="36" t="str" cm="1">
        <f t="array" ref="E531">GetNumber(D531,1)</f>
        <v>12</v>
      </c>
      <c r="F531" s="36" t="str" cm="1">
        <f t="array" ref="F531">GetNumber(D531,2)</f>
        <v>6</v>
      </c>
      <c r="G531" s="35">
        <v>29.6</v>
      </c>
      <c r="H531" s="35">
        <v>11368</v>
      </c>
      <c r="I531" s="35">
        <f>38.32*($T$2)</f>
        <v>76.64</v>
      </c>
      <c r="J531" s="35">
        <f>1134.3*($T$2)</f>
        <v>2268.6</v>
      </c>
      <c r="K531" s="35">
        <f t="shared" si="40"/>
        <v>2.6448029621793179</v>
      </c>
      <c r="L531" s="35">
        <f t="shared" si="41"/>
        <v>2.6448682502962253</v>
      </c>
      <c r="M531" s="35">
        <f>8.708125*($T$2)</f>
        <v>17.416250000000002</v>
      </c>
      <c r="N531" s="35">
        <f>64.6*(5280/3600)</f>
        <v>94.746666666666655</v>
      </c>
      <c r="O531" s="35">
        <f t="shared" si="39"/>
        <v>0.76770915983425914</v>
      </c>
      <c r="P531" s="35">
        <f t="shared" si="43"/>
        <v>46.062549590055546</v>
      </c>
      <c r="Q531" s="35">
        <v>0</v>
      </c>
      <c r="R531" s="35">
        <f t="shared" si="42"/>
        <v>100</v>
      </c>
    </row>
    <row r="532" spans="1:18" x14ac:dyDescent="0.3">
      <c r="A532" s="35" t="s">
        <v>92</v>
      </c>
      <c r="B532" s="35">
        <v>9.6300000000000008</v>
      </c>
      <c r="C532" s="35">
        <v>420</v>
      </c>
      <c r="D532" s="35" t="s">
        <v>59</v>
      </c>
      <c r="E532" s="36" t="str" cm="1">
        <f t="array" ref="E532">GetNumber(D532,1)</f>
        <v>13</v>
      </c>
      <c r="F532" s="36" cm="1">
        <f t="array" ref="F532">GetNumber(D532,2)+(GetNumber(D532,3)/10)</f>
        <v>5.5</v>
      </c>
      <c r="G532" s="35">
        <v>29.6</v>
      </c>
      <c r="H532" s="35">
        <v>11338</v>
      </c>
      <c r="I532" s="35">
        <f>39.12*($T$2)</f>
        <v>78.239999999999995</v>
      </c>
      <c r="J532" s="35">
        <f>1157.9*($T$2)</f>
        <v>2315.8000000000002</v>
      </c>
      <c r="K532" s="35">
        <f t="shared" si="40"/>
        <v>2.5908973141031177</v>
      </c>
      <c r="L532" s="35">
        <f t="shared" si="41"/>
        <v>2.5907809650140941</v>
      </c>
      <c r="M532" s="35">
        <f>9.995625*($T$2)</f>
        <v>19.991250000000001</v>
      </c>
      <c r="N532" s="35">
        <f>59.1*(5280/3600)</f>
        <v>86.679999999999993</v>
      </c>
      <c r="O532" s="35">
        <f t="shared" si="39"/>
        <v>0.86325459884273248</v>
      </c>
      <c r="P532" s="35">
        <f t="shared" si="43"/>
        <v>51.795275930563953</v>
      </c>
      <c r="Q532" s="35">
        <v>0</v>
      </c>
      <c r="R532" s="35">
        <f t="shared" si="42"/>
        <v>100</v>
      </c>
    </row>
    <row r="533" spans="1:18" x14ac:dyDescent="0.3">
      <c r="A533" s="35" t="s">
        <v>92</v>
      </c>
      <c r="B533" s="35">
        <v>9.6300000000000008</v>
      </c>
      <c r="C533" s="35">
        <v>420</v>
      </c>
      <c r="D533" s="35" t="s">
        <v>75</v>
      </c>
      <c r="E533" s="36" t="str" cm="1">
        <f t="array" ref="E533">GetNumber(D533,1)</f>
        <v>10</v>
      </c>
      <c r="F533" s="36" t="str" cm="1">
        <f t="array" ref="F533">GetNumber(D533,2)</f>
        <v>8</v>
      </c>
      <c r="G533" s="35">
        <v>29.6</v>
      </c>
      <c r="H533" s="35">
        <v>11830</v>
      </c>
      <c r="I533" s="35">
        <f>26.14*($T$2)</f>
        <v>52.28</v>
      </c>
      <c r="J533" s="35">
        <f>773.6*($T$2)</f>
        <v>1547.2</v>
      </c>
      <c r="K533" s="35">
        <f t="shared" si="40"/>
        <v>3.8779731127197521</v>
      </c>
      <c r="L533" s="35">
        <f t="shared" si="41"/>
        <v>3.8772513906408319</v>
      </c>
      <c r="M533" s="35">
        <f>4.530625*($T$2)</f>
        <v>9.0612499999999994</v>
      </c>
      <c r="N533" s="35">
        <f>89.6*(5280/3600)</f>
        <v>131.41333333333333</v>
      </c>
      <c r="O533" s="35">
        <f t="shared" si="39"/>
        <v>0.58565473112719746</v>
      </c>
      <c r="P533" s="35">
        <f t="shared" si="43"/>
        <v>35.139283867631853</v>
      </c>
      <c r="Q533" s="35">
        <v>0</v>
      </c>
      <c r="R533" s="35">
        <f t="shared" si="42"/>
        <v>100</v>
      </c>
    </row>
    <row r="534" spans="1:18" x14ac:dyDescent="0.3">
      <c r="A534" s="35" t="s">
        <v>92</v>
      </c>
      <c r="B534" s="35">
        <v>9.6300000000000008</v>
      </c>
      <c r="C534" s="35">
        <v>420</v>
      </c>
      <c r="D534" s="35" t="s">
        <v>77</v>
      </c>
      <c r="E534" s="36" t="str" cm="1">
        <f t="array" ref="E534">GetNumber(D534,1)</f>
        <v>11</v>
      </c>
      <c r="F534" s="36" t="str" cm="1">
        <f t="array" ref="F534">GetNumber(D534,2)</f>
        <v>6</v>
      </c>
      <c r="G534" s="35">
        <v>29.6</v>
      </c>
      <c r="H534" s="35">
        <v>11864</v>
      </c>
      <c r="I534" s="35">
        <f>24.9*($T$2)</f>
        <v>49.8</v>
      </c>
      <c r="J534" s="35">
        <f>737.1*($T$2)</f>
        <v>1474.2</v>
      </c>
      <c r="K534" s="35">
        <f t="shared" si="40"/>
        <v>4.0700040700040701</v>
      </c>
      <c r="L534" s="35">
        <f t="shared" si="41"/>
        <v>4.0703353956366</v>
      </c>
      <c r="M534" s="35">
        <f>6.208125*($T$2)</f>
        <v>12.41625</v>
      </c>
      <c r="N534" s="35">
        <f>67.4*(5280/3600)</f>
        <v>98.853333333333339</v>
      </c>
      <c r="O534" s="35">
        <f t="shared" si="39"/>
        <v>0.84223646723646728</v>
      </c>
      <c r="P534" s="35">
        <f t="shared" si="43"/>
        <v>50.534188034188034</v>
      </c>
      <c r="Q534" s="35">
        <v>0</v>
      </c>
      <c r="R534" s="35">
        <f t="shared" si="42"/>
        <v>100</v>
      </c>
    </row>
    <row r="535" spans="1:18" x14ac:dyDescent="0.3">
      <c r="A535" s="35" t="s">
        <v>92</v>
      </c>
      <c r="B535" s="35">
        <v>9.6300000000000008</v>
      </c>
      <c r="C535" s="35">
        <v>420</v>
      </c>
      <c r="D535" s="35" t="s">
        <v>78</v>
      </c>
      <c r="E535" s="36" t="str" cm="1">
        <f t="array" ref="E535">GetNumber(D535,1)</f>
        <v>11</v>
      </c>
      <c r="F535" s="36" t="str" cm="1">
        <f t="array" ref="F535">GetNumber(D535,2)</f>
        <v>7</v>
      </c>
      <c r="G535" s="35">
        <v>29.6</v>
      </c>
      <c r="H535" s="35">
        <v>11860</v>
      </c>
      <c r="I535" s="35">
        <f>26.04*($T$2)</f>
        <v>52.08</v>
      </c>
      <c r="J535" s="35">
        <f>770.9*($T$2)</f>
        <v>1541.8</v>
      </c>
      <c r="K535" s="35">
        <f t="shared" si="40"/>
        <v>3.8915553249448696</v>
      </c>
      <c r="L535" s="35">
        <f t="shared" si="41"/>
        <v>3.8921409889151821</v>
      </c>
      <c r="M535" s="35">
        <f>5.965625*($T$2)</f>
        <v>11.93125</v>
      </c>
      <c r="N535" s="35">
        <f>78.6*(5280/3600)</f>
        <v>115.27999999999999</v>
      </c>
      <c r="O535" s="35">
        <f t="shared" si="39"/>
        <v>0.77385199117914139</v>
      </c>
      <c r="P535" s="35">
        <f t="shared" si="43"/>
        <v>46.431119470748477</v>
      </c>
      <c r="Q535" s="35">
        <v>0</v>
      </c>
      <c r="R535" s="35">
        <f t="shared" si="42"/>
        <v>100</v>
      </c>
    </row>
    <row r="536" spans="1:18" x14ac:dyDescent="0.3">
      <c r="A536" s="35" t="s">
        <v>92</v>
      </c>
      <c r="B536" s="35">
        <v>9.6300000000000008</v>
      </c>
      <c r="C536" s="35">
        <v>420</v>
      </c>
      <c r="D536" s="35" t="s">
        <v>61</v>
      </c>
      <c r="E536" s="36" t="str" cm="1">
        <f t="array" ref="E536">GetNumber(D536,1)</f>
        <v>11</v>
      </c>
      <c r="F536" s="36" t="str" cm="1">
        <f t="array" ref="F536">GetNumber(D536,2)</f>
        <v>8</v>
      </c>
      <c r="G536" s="35">
        <v>29.6</v>
      </c>
      <c r="H536" s="35">
        <v>11569</v>
      </c>
      <c r="I536" s="35">
        <f>33.87*($T$2)</f>
        <v>67.739999999999995</v>
      </c>
      <c r="J536" s="35">
        <f>1002.6*($T$2)</f>
        <v>2005.2</v>
      </c>
      <c r="K536" s="35">
        <f t="shared" si="40"/>
        <v>2.9922202274087373</v>
      </c>
      <c r="L536" s="35">
        <f t="shared" si="41"/>
        <v>2.9923634883776602</v>
      </c>
      <c r="M536" s="35">
        <f>5.604375*($T$2)</f>
        <v>11.20875</v>
      </c>
      <c r="N536" s="35">
        <f>87.6*(5280/3600)</f>
        <v>128.47999999999999</v>
      </c>
      <c r="O536" s="35">
        <f t="shared" si="39"/>
        <v>0.55898414123279472</v>
      </c>
      <c r="P536" s="35">
        <f t="shared" si="43"/>
        <v>33.539048473967682</v>
      </c>
      <c r="Q536" s="35">
        <v>0</v>
      </c>
      <c r="R536" s="35">
        <f t="shared" si="42"/>
        <v>100</v>
      </c>
    </row>
    <row r="537" spans="1:18" x14ac:dyDescent="0.3">
      <c r="A537" s="35" t="s">
        <v>92</v>
      </c>
      <c r="B537" s="35">
        <v>9.6300000000000008</v>
      </c>
      <c r="C537" s="35">
        <v>420</v>
      </c>
      <c r="D537" s="35" t="s">
        <v>62</v>
      </c>
      <c r="E537" s="36" t="str" cm="1">
        <f t="array" ref="E537">GetNumber(D537,1)</f>
        <v>12</v>
      </c>
      <c r="F537" s="36" t="str" cm="1">
        <f t="array" ref="F537">GetNumber(D537,2)</f>
        <v>6</v>
      </c>
      <c r="G537" s="35">
        <v>29.6</v>
      </c>
      <c r="H537" s="35">
        <v>11630</v>
      </c>
      <c r="I537" s="35">
        <f>32.49*($T$2)</f>
        <v>64.98</v>
      </c>
      <c r="J537" s="35">
        <f>961.6*($T$2)</f>
        <v>1923.2</v>
      </c>
      <c r="K537" s="35">
        <f t="shared" si="40"/>
        <v>3.1198003327787021</v>
      </c>
      <c r="L537" s="35">
        <f t="shared" si="41"/>
        <v>3.1194629532579667</v>
      </c>
      <c r="M537" s="35">
        <f>7.1825*($T$2)</f>
        <v>14.365</v>
      </c>
      <c r="N537" s="35">
        <f>66.1*(5280/3600)</f>
        <v>96.946666666666658</v>
      </c>
      <c r="O537" s="35">
        <f t="shared" si="39"/>
        <v>0.74693219633943431</v>
      </c>
      <c r="P537" s="35">
        <f t="shared" si="43"/>
        <v>44.815931780366057</v>
      </c>
      <c r="Q537" s="35">
        <v>0</v>
      </c>
      <c r="R537" s="35">
        <f t="shared" si="42"/>
        <v>100</v>
      </c>
    </row>
    <row r="538" spans="1:18" x14ac:dyDescent="0.3">
      <c r="A538" s="35" t="s">
        <v>92</v>
      </c>
      <c r="B538" s="35">
        <v>9.6300000000000008</v>
      </c>
      <c r="C538" s="35">
        <v>420</v>
      </c>
      <c r="D538" s="35" t="s">
        <v>80</v>
      </c>
      <c r="E538" s="36" t="str" cm="1">
        <f t="array" ref="E538">GetNumber(D538,1)</f>
        <v>10</v>
      </c>
      <c r="F538" s="36" t="str" cm="1">
        <f t="array" ref="F538">GetNumber(D538,2)</f>
        <v>7</v>
      </c>
      <c r="G538" s="35">
        <v>29.6</v>
      </c>
      <c r="H538" s="35">
        <v>11817</v>
      </c>
      <c r="I538" s="35">
        <f>26.97*($T$2)</f>
        <v>53.94</v>
      </c>
      <c r="J538" s="35">
        <f>798.4*($T$2)</f>
        <v>1596.8</v>
      </c>
      <c r="K538" s="35">
        <f t="shared" si="40"/>
        <v>3.7575150300601208</v>
      </c>
      <c r="L538" s="35">
        <f t="shared" si="41"/>
        <v>3.7579292306767274</v>
      </c>
      <c r="M538" s="35">
        <f>6.600625*($T$2)</f>
        <v>13.20125</v>
      </c>
      <c r="N538" s="35">
        <f>78.3*(5280/3600)</f>
        <v>114.83999999999999</v>
      </c>
      <c r="O538" s="35">
        <f t="shared" si="39"/>
        <v>0.82673158817635273</v>
      </c>
      <c r="P538" s="35">
        <f t="shared" si="43"/>
        <v>49.603895290581171</v>
      </c>
      <c r="Q538" s="35">
        <v>0</v>
      </c>
      <c r="R538" s="35">
        <f t="shared" si="42"/>
        <v>100</v>
      </c>
    </row>
    <row r="539" spans="1:18" x14ac:dyDescent="0.3">
      <c r="A539" s="35" t="s">
        <v>92</v>
      </c>
      <c r="B539" s="35">
        <v>9.6300000000000008</v>
      </c>
      <c r="C539" s="35">
        <v>420</v>
      </c>
      <c r="D539" s="35" t="s">
        <v>81</v>
      </c>
      <c r="E539" s="36" t="str" cm="1">
        <f t="array" ref="E539">GetNumber(D539,1)</f>
        <v>11</v>
      </c>
      <c r="F539" s="36" t="str" cm="1">
        <f t="array" ref="F539">GetNumber(D539,2)</f>
        <v>7</v>
      </c>
      <c r="G539" s="35">
        <v>29.6</v>
      </c>
      <c r="H539" s="35">
        <v>11573</v>
      </c>
      <c r="I539" s="35">
        <f>32.89*($T$2)</f>
        <v>65.78</v>
      </c>
      <c r="J539" s="35">
        <f>973.6*($T$2)</f>
        <v>1947.2</v>
      </c>
      <c r="K539" s="35">
        <f t="shared" si="40"/>
        <v>3.0813475760065732</v>
      </c>
      <c r="L539" s="35">
        <f t="shared" si="41"/>
        <v>3.0815248206552552</v>
      </c>
      <c r="M539" s="35">
        <f>7.8575*($T$2)</f>
        <v>15.715</v>
      </c>
      <c r="N539" s="35">
        <f>76.7*(5280/3600)</f>
        <v>112.49333333333333</v>
      </c>
      <c r="O539" s="35">
        <f t="shared" si="39"/>
        <v>0.80705628594905499</v>
      </c>
      <c r="P539" s="35">
        <f t="shared" si="43"/>
        <v>48.423377156943296</v>
      </c>
      <c r="Q539" s="35">
        <v>0</v>
      </c>
      <c r="R539" s="35">
        <f t="shared" si="42"/>
        <v>100</v>
      </c>
    </row>
    <row r="540" spans="1:18" x14ac:dyDescent="0.3">
      <c r="A540" s="35" t="s">
        <v>92</v>
      </c>
      <c r="B540" s="35">
        <v>9.6300000000000008</v>
      </c>
      <c r="C540" s="35">
        <v>420</v>
      </c>
      <c r="D540" s="35" t="s">
        <v>66</v>
      </c>
      <c r="E540" s="36" t="str" cm="1">
        <f t="array" ref="E540">GetNumber(D540,1)</f>
        <v>11</v>
      </c>
      <c r="F540" s="36" t="str" cm="1">
        <f t="array" ref="F540">GetNumber(D540,2)</f>
        <v>8</v>
      </c>
      <c r="G540" s="35">
        <v>29.6</v>
      </c>
      <c r="H540" s="35">
        <v>11450</v>
      </c>
      <c r="I540" s="35">
        <f>36.65*($T$2)</f>
        <v>73.3</v>
      </c>
      <c r="J540" s="35">
        <f>1084.8*($T$2)</f>
        <v>2169.6</v>
      </c>
      <c r="K540" s="35">
        <f t="shared" si="40"/>
        <v>2.7654867256637172</v>
      </c>
      <c r="L540" s="35">
        <f t="shared" si="41"/>
        <v>2.7653847571992185</v>
      </c>
      <c r="M540" s="35">
        <f>8.25*($T$2)</f>
        <v>16.5</v>
      </c>
      <c r="N540" s="35">
        <f>86.7*(5280/3600)</f>
        <v>127.16</v>
      </c>
      <c r="O540" s="35">
        <f t="shared" si="39"/>
        <v>0.76050884955752218</v>
      </c>
      <c r="P540" s="35">
        <f t="shared" si="43"/>
        <v>45.630530973451336</v>
      </c>
      <c r="Q540" s="35">
        <v>0</v>
      </c>
      <c r="R540" s="35">
        <f t="shared" si="42"/>
        <v>100</v>
      </c>
    </row>
    <row r="541" spans="1:18" x14ac:dyDescent="0.3">
      <c r="A541" s="35" t="s">
        <v>92</v>
      </c>
      <c r="B541" s="35">
        <v>9.6300000000000008</v>
      </c>
      <c r="C541" s="35">
        <v>420</v>
      </c>
      <c r="D541" s="35" t="s">
        <v>53</v>
      </c>
      <c r="E541" s="36" t="str" cm="1">
        <f t="array" ref="E541">GetNumber(D541,1)</f>
        <v>12</v>
      </c>
      <c r="F541" s="36" t="str" cm="1">
        <f t="array" ref="F541">GetNumber(D541,2)</f>
        <v>6</v>
      </c>
      <c r="G541" s="35">
        <v>29.6</v>
      </c>
      <c r="H541" s="35">
        <v>11383</v>
      </c>
      <c r="I541" s="35">
        <f>37.9*($T$2)</f>
        <v>75.8</v>
      </c>
      <c r="J541" s="35">
        <f>1121.7*($T$2)</f>
        <v>2243.4</v>
      </c>
      <c r="K541" s="35">
        <f t="shared" si="40"/>
        <v>2.6745119015779619</v>
      </c>
      <c r="L541" s="35">
        <f t="shared" si="41"/>
        <v>2.6741781359195604</v>
      </c>
      <c r="M541" s="35">
        <f>9.29*($T$2)</f>
        <v>18.579999999999998</v>
      </c>
      <c r="N541" s="35">
        <f>64.7*(5280/3600)</f>
        <v>94.893333333333331</v>
      </c>
      <c r="O541" s="35">
        <f t="shared" si="39"/>
        <v>0.82820718552197548</v>
      </c>
      <c r="P541" s="35">
        <f t="shared" si="43"/>
        <v>49.692431131318529</v>
      </c>
      <c r="Q541" s="35">
        <v>0</v>
      </c>
      <c r="R541" s="35">
        <f t="shared" si="42"/>
        <v>100</v>
      </c>
    </row>
    <row r="542" spans="1:18" x14ac:dyDescent="0.3">
      <c r="A542" s="35" t="s">
        <v>97</v>
      </c>
      <c r="B542" s="35">
        <v>9.8800000000000008</v>
      </c>
      <c r="C542" s="35">
        <v>520</v>
      </c>
      <c r="D542" s="35" t="s">
        <v>37</v>
      </c>
      <c r="E542" s="36" t="str" cm="1">
        <f t="array" ref="E542">GetNumber(D542,1)</f>
        <v>13</v>
      </c>
      <c r="F542" s="36" t="str" cm="1">
        <f t="array" ref="F542">GetNumber(D542,2)</f>
        <v>10</v>
      </c>
      <c r="G542" s="35">
        <v>14.8</v>
      </c>
      <c r="H542" s="35">
        <v>6780</v>
      </c>
      <c r="I542" s="35">
        <f>34.9*($T$2)</f>
        <v>69.8</v>
      </c>
      <c r="J542" s="35">
        <f>516.5*($T$2)</f>
        <v>1033</v>
      </c>
      <c r="K542" s="35">
        <f t="shared" si="40"/>
        <v>5.6735721200387221</v>
      </c>
      <c r="L542" s="35">
        <f t="shared" si="41"/>
        <v>5.6733524355300862</v>
      </c>
      <c r="M542" s="35">
        <f>4.28125*($T$2)</f>
        <v>8.5625</v>
      </c>
      <c r="N542" s="35">
        <f>64.2*(5280/3600)</f>
        <v>94.16</v>
      </c>
      <c r="O542" s="35">
        <f t="shared" si="39"/>
        <v>0.82889641819941917</v>
      </c>
      <c r="P542" s="35">
        <f t="shared" si="43"/>
        <v>48.579961277831558</v>
      </c>
      <c r="Q542" s="35">
        <f>('Batt Capacity and Sys Weight'!$I$3) + (B542*$T$2)</f>
        <v>46.148475000000005</v>
      </c>
      <c r="R542" s="35">
        <f>'Batt Capacity and Sys Weight'!$H$3</f>
        <v>97.68</v>
      </c>
    </row>
    <row r="543" spans="1:18" x14ac:dyDescent="0.3">
      <c r="A543" s="35" t="s">
        <v>97</v>
      </c>
      <c r="B543" s="35">
        <v>9.8800000000000008</v>
      </c>
      <c r="C543" s="35">
        <v>520</v>
      </c>
      <c r="D543" s="35" t="s">
        <v>40</v>
      </c>
      <c r="E543" s="36" t="str" cm="1">
        <f t="array" ref="E543">GetNumber(D543,1)</f>
        <v>14</v>
      </c>
      <c r="F543" s="36" cm="1">
        <f t="array" ref="F543">GetNumber(D543,2)+(GetNumber(D543,3)/10)</f>
        <v>8.5</v>
      </c>
      <c r="G543" s="35">
        <v>14.8</v>
      </c>
      <c r="H543" s="35">
        <v>6865</v>
      </c>
      <c r="I543" s="35">
        <f>31.45*($T$2)</f>
        <v>62.9</v>
      </c>
      <c r="J543" s="35">
        <f>465.5*($T$2)</f>
        <v>931</v>
      </c>
      <c r="K543" s="35">
        <f t="shared" si="40"/>
        <v>6.2951664876476912</v>
      </c>
      <c r="L543" s="35">
        <f t="shared" si="41"/>
        <v>6.2957074721780613</v>
      </c>
      <c r="M543" s="35">
        <f>5.498125*($T$2)</f>
        <v>10.99625</v>
      </c>
      <c r="N543" s="35">
        <f>55.3*(5280/3600)</f>
        <v>81.106666666666655</v>
      </c>
      <c r="O543" s="35">
        <f t="shared" si="39"/>
        <v>1.1811224489795917</v>
      </c>
      <c r="P543" s="35">
        <f t="shared" si="43"/>
        <v>69.223224489795925</v>
      </c>
      <c r="Q543" s="35">
        <f>('Batt Capacity and Sys Weight'!$I$3) + (B543*$T$2)</f>
        <v>46.148475000000005</v>
      </c>
      <c r="R543" s="35">
        <f>'Batt Capacity and Sys Weight'!$H$3</f>
        <v>97.68</v>
      </c>
    </row>
    <row r="544" spans="1:18" x14ac:dyDescent="0.3">
      <c r="A544" s="35" t="s">
        <v>97</v>
      </c>
      <c r="B544" s="35">
        <v>9.8800000000000008</v>
      </c>
      <c r="C544" s="35">
        <v>520</v>
      </c>
      <c r="D544" s="35" t="s">
        <v>41</v>
      </c>
      <c r="E544" s="36" t="str" cm="1">
        <f t="array" ref="E544">GetNumber(D544,1)</f>
        <v>14</v>
      </c>
      <c r="F544" s="36" t="str" cm="1">
        <f t="array" ref="F544">GetNumber(D544,2)</f>
        <v>10</v>
      </c>
      <c r="G544" s="35">
        <v>14.8</v>
      </c>
      <c r="H544" s="35">
        <v>6850</v>
      </c>
      <c r="I544" s="35">
        <f>31.8*($T$2)</f>
        <v>63.6</v>
      </c>
      <c r="J544" s="35">
        <f>470.6*($T$2)</f>
        <v>941.2</v>
      </c>
      <c r="K544" s="35">
        <f t="shared" si="40"/>
        <v>6.2269443263918403</v>
      </c>
      <c r="L544" s="35">
        <f t="shared" si="41"/>
        <v>6.2264150943396226</v>
      </c>
      <c r="M544" s="35">
        <f>5.45875*($T$2)</f>
        <v>10.9175</v>
      </c>
      <c r="N544" s="35">
        <f>64.9*(5280/3600)</f>
        <v>95.186666666666667</v>
      </c>
      <c r="O544" s="35">
        <f t="shared" si="39"/>
        <v>1.159955376115597</v>
      </c>
      <c r="P544" s="35">
        <f t="shared" si="43"/>
        <v>67.982664683382922</v>
      </c>
      <c r="Q544" s="35">
        <f>('Batt Capacity and Sys Weight'!$I$3) + (B544*$T$2)</f>
        <v>46.148475000000005</v>
      </c>
      <c r="R544" s="35">
        <f>'Batt Capacity and Sys Weight'!$H$3</f>
        <v>97.68</v>
      </c>
    </row>
    <row r="545" spans="1:18" x14ac:dyDescent="0.3">
      <c r="A545" s="35" t="s">
        <v>97</v>
      </c>
      <c r="B545" s="35">
        <v>9.8800000000000008</v>
      </c>
      <c r="C545" s="35">
        <v>520</v>
      </c>
      <c r="D545" s="35" t="s">
        <v>42</v>
      </c>
      <c r="E545" s="36" t="str" cm="1">
        <f t="array" ref="E545">GetNumber(D545,1)</f>
        <v>14</v>
      </c>
      <c r="F545" s="36" t="str" cm="1">
        <f t="array" ref="F545">GetNumber(D545,2)</f>
        <v>12</v>
      </c>
      <c r="G545" s="35">
        <v>14.8</v>
      </c>
      <c r="H545" s="35">
        <v>6418</v>
      </c>
      <c r="I545" s="35">
        <f>47.26*($T$2)</f>
        <v>94.52</v>
      </c>
      <c r="J545" s="35">
        <f>699.4*($T$2)</f>
        <v>1398.8</v>
      </c>
      <c r="K545" s="35">
        <f t="shared" si="40"/>
        <v>4.1898770374606809</v>
      </c>
      <c r="L545" s="35">
        <f t="shared" si="41"/>
        <v>4.1895895048666958</v>
      </c>
      <c r="M545" s="35">
        <f>4.74*($T$2)</f>
        <v>9.48</v>
      </c>
      <c r="N545" s="35">
        <f>72.9*(5280/3600)</f>
        <v>106.92</v>
      </c>
      <c r="O545" s="35">
        <f t="shared" si="39"/>
        <v>0.677723763225622</v>
      </c>
      <c r="P545" s="35">
        <f t="shared" si="43"/>
        <v>39.720034315127258</v>
      </c>
      <c r="Q545" s="35">
        <f>('Batt Capacity and Sys Weight'!$I$3) + (B545*$T$2)</f>
        <v>46.148475000000005</v>
      </c>
      <c r="R545" s="35">
        <f>'Batt Capacity and Sys Weight'!$H$3</f>
        <v>97.68</v>
      </c>
    </row>
    <row r="546" spans="1:18" x14ac:dyDescent="0.3">
      <c r="A546" s="35" t="s">
        <v>97</v>
      </c>
      <c r="B546" s="35">
        <v>9.8800000000000008</v>
      </c>
      <c r="C546" s="35">
        <v>520</v>
      </c>
      <c r="D546" s="35" t="s">
        <v>43</v>
      </c>
      <c r="E546" s="36" t="str" cm="1">
        <f t="array" ref="E546">GetNumber(D546,1)</f>
        <v>15</v>
      </c>
      <c r="F546" s="36" t="str" cm="1">
        <f t="array" ref="F546">GetNumber(D546,2)</f>
        <v>6</v>
      </c>
      <c r="G546" s="35">
        <v>14.8</v>
      </c>
      <c r="H546" s="35">
        <v>6870</v>
      </c>
      <c r="I546" s="35">
        <f>31.27*($T$2)</f>
        <v>62.54</v>
      </c>
      <c r="J546" s="35">
        <f>462.8*($T$2)</f>
        <v>925.6</v>
      </c>
      <c r="K546" s="35">
        <f t="shared" si="40"/>
        <v>6.3318928262748493</v>
      </c>
      <c r="L546" s="35">
        <f t="shared" si="41"/>
        <v>6.3319475535657181</v>
      </c>
      <c r="M546" s="35">
        <f>6.011875*($T$2)</f>
        <v>12.02375</v>
      </c>
      <c r="N546" s="35">
        <f>39*(5280/3600)</f>
        <v>57.199999999999996</v>
      </c>
      <c r="O546" s="35">
        <f t="shared" si="39"/>
        <v>1.2990222558340534</v>
      </c>
      <c r="P546" s="35">
        <f t="shared" si="43"/>
        <v>76.133096369922214</v>
      </c>
      <c r="Q546" s="35">
        <f>('Batt Capacity and Sys Weight'!$I$3) + (B546*$T$2)</f>
        <v>46.148475000000005</v>
      </c>
      <c r="R546" s="35">
        <f>'Batt Capacity and Sys Weight'!$H$3</f>
        <v>97.68</v>
      </c>
    </row>
    <row r="547" spans="1:18" x14ac:dyDescent="0.3">
      <c r="A547" s="35" t="s">
        <v>97</v>
      </c>
      <c r="B547" s="35">
        <v>9.8800000000000008</v>
      </c>
      <c r="C547" s="35">
        <v>520</v>
      </c>
      <c r="D547" s="35" t="s">
        <v>44</v>
      </c>
      <c r="E547" s="36" t="str" cm="1">
        <f t="array" ref="E547">GetNumber(D547,1)</f>
        <v>15</v>
      </c>
      <c r="F547" s="36" t="str" cm="1">
        <f t="array" ref="F547">GetNumber(D547,2)</f>
        <v>7</v>
      </c>
      <c r="G547" s="35">
        <v>14.8</v>
      </c>
      <c r="H547" s="35">
        <v>6865</v>
      </c>
      <c r="I547" s="35">
        <f>31.32*($T$2)</f>
        <v>62.64</v>
      </c>
      <c r="J547" s="35">
        <f>463.6*($T$2)</f>
        <v>927.2</v>
      </c>
      <c r="K547" s="35">
        <f t="shared" si="40"/>
        <v>6.3209663503019842</v>
      </c>
      <c r="L547" s="35">
        <f t="shared" si="41"/>
        <v>6.3218390804597702</v>
      </c>
      <c r="M547" s="35">
        <f>6.014375*($T$2)</f>
        <v>12.02875</v>
      </c>
      <c r="N547" s="35">
        <f>45.5*(5280/3600)</f>
        <v>66.733333333333334</v>
      </c>
      <c r="O547" s="35">
        <f t="shared" si="39"/>
        <v>1.2973198878343399</v>
      </c>
      <c r="P547" s="35">
        <f t="shared" si="43"/>
        <v>76.033323986195001</v>
      </c>
      <c r="Q547" s="35">
        <f>('Batt Capacity and Sys Weight'!$I$3) + (B547*$T$2)</f>
        <v>46.148475000000005</v>
      </c>
      <c r="R547" s="35">
        <f>'Batt Capacity and Sys Weight'!$H$3</f>
        <v>97.68</v>
      </c>
    </row>
    <row r="548" spans="1:18" x14ac:dyDescent="0.3">
      <c r="A548" s="35" t="s">
        <v>97</v>
      </c>
      <c r="B548" s="35">
        <v>9.8800000000000008</v>
      </c>
      <c r="C548" s="35">
        <v>520</v>
      </c>
      <c r="D548" s="35" t="s">
        <v>0</v>
      </c>
      <c r="E548" s="36" t="str" cm="1">
        <f t="array" ref="E548">GetNumber(D548,1)</f>
        <v>15</v>
      </c>
      <c r="F548" s="36" t="str" cm="1">
        <f t="array" ref="F548">GetNumber(D548,2)</f>
        <v>8</v>
      </c>
      <c r="G548" s="35">
        <v>14.8</v>
      </c>
      <c r="H548" s="35">
        <v>6796</v>
      </c>
      <c r="I548" s="35">
        <f>34.19*($T$2)</f>
        <v>68.38</v>
      </c>
      <c r="J548" s="35">
        <f>506*($T$2)</f>
        <v>1012</v>
      </c>
      <c r="K548" s="35">
        <f t="shared" si="40"/>
        <v>5.7913043478260873</v>
      </c>
      <c r="L548" s="35">
        <f t="shared" si="41"/>
        <v>5.7911670078970463</v>
      </c>
      <c r="M548" s="35">
        <f>6.11125*($T$2)</f>
        <v>12.2225</v>
      </c>
      <c r="N548" s="35">
        <f>51.5*(5280/3600)</f>
        <v>75.533333333333331</v>
      </c>
      <c r="O548" s="35">
        <f t="shared" si="39"/>
        <v>1.2077569169960474</v>
      </c>
      <c r="P548" s="35">
        <f t="shared" si="43"/>
        <v>70.784217391304352</v>
      </c>
      <c r="Q548" s="35">
        <f>('Batt Capacity and Sys Weight'!$I$3) + (B548*$T$2)</f>
        <v>46.148475000000005</v>
      </c>
      <c r="R548" s="35">
        <f>'Batt Capacity and Sys Weight'!$H$3</f>
        <v>97.68</v>
      </c>
    </row>
    <row r="549" spans="1:18" x14ac:dyDescent="0.3">
      <c r="A549" s="35" t="s">
        <v>97</v>
      </c>
      <c r="B549" s="35">
        <v>9.8800000000000008</v>
      </c>
      <c r="C549" s="35">
        <v>520</v>
      </c>
      <c r="D549" s="35" t="s">
        <v>1</v>
      </c>
      <c r="E549" s="36" t="str" cm="1">
        <f t="array" ref="E549">GetNumber(D549,1)</f>
        <v>15</v>
      </c>
      <c r="F549" s="36" t="str" cm="1">
        <f t="array" ref="F549">GetNumber(D549,2)</f>
        <v>10</v>
      </c>
      <c r="G549" s="35">
        <v>14.8</v>
      </c>
      <c r="H549" s="35">
        <v>6445</v>
      </c>
      <c r="I549" s="35">
        <f>48.13*($T$2)</f>
        <v>96.26</v>
      </c>
      <c r="J549" s="35">
        <f>712.3*($T$2)</f>
        <v>1424.6</v>
      </c>
      <c r="K549" s="35">
        <f t="shared" si="40"/>
        <v>4.1139969114137305</v>
      </c>
      <c r="L549" s="35">
        <f t="shared" si="41"/>
        <v>4.1138583004363181</v>
      </c>
      <c r="M549" s="35">
        <f>6.8675*($T$2)</f>
        <v>13.734999999999999</v>
      </c>
      <c r="N549" s="35">
        <f>61*(5280/3600)</f>
        <v>89.466666666666654</v>
      </c>
      <c r="O549" s="35">
        <f t="shared" si="39"/>
        <v>0.96413028218447283</v>
      </c>
      <c r="P549" s="35">
        <f t="shared" si="43"/>
        <v>56.505747578267588</v>
      </c>
      <c r="Q549" s="35">
        <f>('Batt Capacity and Sys Weight'!$I$3) + (B549*$T$2)</f>
        <v>46.148475000000005</v>
      </c>
      <c r="R549" s="35">
        <f>'Batt Capacity and Sys Weight'!$H$3</f>
        <v>97.68</v>
      </c>
    </row>
    <row r="550" spans="1:18" x14ac:dyDescent="0.3">
      <c r="A550" s="35" t="s">
        <v>97</v>
      </c>
      <c r="B550" s="35">
        <v>9.8800000000000008</v>
      </c>
      <c r="C550" s="35">
        <v>520</v>
      </c>
      <c r="D550" s="35" t="s">
        <v>2</v>
      </c>
      <c r="E550" s="36" t="str" cm="1">
        <f t="array" ref="E550">GetNumber(D550,1)</f>
        <v>16</v>
      </c>
      <c r="F550" s="36" t="str" cm="1">
        <f t="array" ref="F550">GetNumber(D550,2)</f>
        <v>7</v>
      </c>
      <c r="G550" s="35">
        <v>14.8</v>
      </c>
      <c r="H550" s="35">
        <v>6574</v>
      </c>
      <c r="I550" s="35">
        <f>41.96*($T$2)</f>
        <v>83.92</v>
      </c>
      <c r="J550" s="35">
        <f>621*($T$2)</f>
        <v>1242</v>
      </c>
      <c r="K550" s="35">
        <f t="shared" si="40"/>
        <v>4.7188405797101449</v>
      </c>
      <c r="L550" s="35">
        <f t="shared" si="41"/>
        <v>4.7187797902764537</v>
      </c>
      <c r="M550" s="35">
        <f>7.52875*($T$2)</f>
        <v>15.057499999999999</v>
      </c>
      <c r="N550" s="35">
        <f>43.6*(5280/3600)</f>
        <v>63.946666666666665</v>
      </c>
      <c r="O550" s="35">
        <f t="shared" si="39"/>
        <v>1.2123590982286634</v>
      </c>
      <c r="P550" s="35">
        <f t="shared" si="43"/>
        <v>71.053942028985503</v>
      </c>
      <c r="Q550" s="35">
        <f>('Batt Capacity and Sys Weight'!$I$3) + (B550*$T$2)</f>
        <v>46.148475000000005</v>
      </c>
      <c r="R550" s="35">
        <f>'Batt Capacity and Sys Weight'!$H$3</f>
        <v>97.68</v>
      </c>
    </row>
    <row r="551" spans="1:18" x14ac:dyDescent="0.3">
      <c r="A551" s="35" t="s">
        <v>97</v>
      </c>
      <c r="B551" s="35">
        <v>9.8800000000000008</v>
      </c>
      <c r="C551" s="35">
        <v>520</v>
      </c>
      <c r="D551" s="35" t="s">
        <v>6</v>
      </c>
      <c r="E551" s="36" t="str" cm="1">
        <f t="array" ref="E551">GetNumber(D551,1)</f>
        <v>17</v>
      </c>
      <c r="F551" s="36" t="str" cm="1">
        <f t="array" ref="F551">GetNumber(D551,2)</f>
        <v>7</v>
      </c>
      <c r="G551" s="35">
        <v>14.8</v>
      </c>
      <c r="H551" s="35">
        <v>6500</v>
      </c>
      <c r="I551" s="35">
        <f>45.78*($T$2)</f>
        <v>91.56</v>
      </c>
      <c r="J551" s="35">
        <f>677.5*($T$2)</f>
        <v>1355</v>
      </c>
      <c r="K551" s="35">
        <f t="shared" si="40"/>
        <v>4.3253136531365319</v>
      </c>
      <c r="L551" s="35">
        <f t="shared" si="41"/>
        <v>4.3250327653997385</v>
      </c>
      <c r="M551" s="35">
        <f>8.33375*($T$2)</f>
        <v>16.6675</v>
      </c>
      <c r="N551" s="35">
        <f>43.1*(5280/3600)</f>
        <v>63.213333333333331</v>
      </c>
      <c r="O551" s="35">
        <f t="shared" si="39"/>
        <v>1.2300738007380074</v>
      </c>
      <c r="P551" s="35">
        <f t="shared" si="43"/>
        <v>72.092165313653155</v>
      </c>
      <c r="Q551" s="35">
        <f>('Batt Capacity and Sys Weight'!$I$3) + (B551*$T$2)</f>
        <v>46.148475000000005</v>
      </c>
      <c r="R551" s="35">
        <f>'Batt Capacity and Sys Weight'!$H$3</f>
        <v>97.68</v>
      </c>
    </row>
    <row r="552" spans="1:18" x14ac:dyDescent="0.3">
      <c r="A552" s="35" t="s">
        <v>97</v>
      </c>
      <c r="B552" s="35">
        <v>9.8800000000000008</v>
      </c>
      <c r="C552" s="35">
        <v>520</v>
      </c>
      <c r="D552" s="35" t="s">
        <v>46</v>
      </c>
      <c r="E552" s="36" t="str" cm="1">
        <f t="array" ref="E552">GetNumber(D552,1)</f>
        <v>13</v>
      </c>
      <c r="F552" s="36" t="str" cm="1">
        <f t="array" ref="F552">GetNumber(D552,2)</f>
        <v>10</v>
      </c>
      <c r="G552" s="35">
        <v>14.8</v>
      </c>
      <c r="H552" s="35">
        <v>6780</v>
      </c>
      <c r="I552" s="35">
        <f>35.09*($T$2)</f>
        <v>70.180000000000007</v>
      </c>
      <c r="J552" s="35">
        <f>519.4*($T$2)</f>
        <v>1038.8</v>
      </c>
      <c r="K552" s="35">
        <f t="shared" si="40"/>
        <v>5.6418944936465163</v>
      </c>
      <c r="L552" s="35">
        <f t="shared" si="41"/>
        <v>5.6426332288401255</v>
      </c>
      <c r="M552" s="35">
        <f>4.045625*($T$2)</f>
        <v>8.0912500000000005</v>
      </c>
      <c r="N552" s="35">
        <f>64.2*(5280/3600)</f>
        <v>94.16</v>
      </c>
      <c r="O552" s="35">
        <f t="shared" si="39"/>
        <v>0.77890354254909522</v>
      </c>
      <c r="P552" s="35">
        <f t="shared" si="43"/>
        <v>45.649978821717376</v>
      </c>
      <c r="Q552" s="35">
        <f>('Batt Capacity and Sys Weight'!$I$3) + (B552*$T$2)</f>
        <v>46.148475000000005</v>
      </c>
      <c r="R552" s="35">
        <f>'Batt Capacity and Sys Weight'!$H$3</f>
        <v>97.68</v>
      </c>
    </row>
    <row r="553" spans="1:18" x14ac:dyDescent="0.3">
      <c r="A553" s="35" t="s">
        <v>97</v>
      </c>
      <c r="B553" s="35">
        <v>9.8800000000000008</v>
      </c>
      <c r="C553" s="35">
        <v>520</v>
      </c>
      <c r="D553" s="35" t="s">
        <v>49</v>
      </c>
      <c r="E553" s="36" t="str" cm="1">
        <f t="array" ref="E553">GetNumber(D553,1)</f>
        <v>14</v>
      </c>
      <c r="F553" s="36" t="str" cm="1">
        <f t="array" ref="F553">GetNumber(D553,2)</f>
        <v>10</v>
      </c>
      <c r="G553" s="35">
        <v>14.8</v>
      </c>
      <c r="H553" s="35">
        <v>6610</v>
      </c>
      <c r="I553" s="35">
        <f>41.09*($T$2)</f>
        <v>82.18</v>
      </c>
      <c r="J553" s="35">
        <f>608.1*($T$2)</f>
        <v>1216.2</v>
      </c>
      <c r="K553" s="35">
        <f t="shared" si="40"/>
        <v>4.8189442525900343</v>
      </c>
      <c r="L553" s="35">
        <f t="shared" si="41"/>
        <v>4.8186906789973234</v>
      </c>
      <c r="M553" s="35">
        <f>5.639375*($T$2)</f>
        <v>11.27875</v>
      </c>
      <c r="N553" s="35">
        <f>62.6*(5280/3600)</f>
        <v>91.813333333333333</v>
      </c>
      <c r="O553" s="35">
        <f t="shared" si="39"/>
        <v>0.92737625390560774</v>
      </c>
      <c r="P553" s="35">
        <f t="shared" si="43"/>
        <v>54.351667488899849</v>
      </c>
      <c r="Q553" s="35">
        <f>('Batt Capacity and Sys Weight'!$I$3) + (B553*$T$2)</f>
        <v>46.148475000000005</v>
      </c>
      <c r="R553" s="35">
        <f>'Batt Capacity and Sys Weight'!$H$3</f>
        <v>97.68</v>
      </c>
    </row>
    <row r="554" spans="1:18" x14ac:dyDescent="0.3">
      <c r="A554" s="35" t="s">
        <v>97</v>
      </c>
      <c r="B554" s="35">
        <v>9.8800000000000008</v>
      </c>
      <c r="C554" s="35">
        <v>520</v>
      </c>
      <c r="D554" s="35" t="s">
        <v>50</v>
      </c>
      <c r="E554" s="36" t="str" cm="1">
        <f t="array" ref="E554">GetNumber(D554,1)</f>
        <v>15</v>
      </c>
      <c r="F554" s="36" t="str" cm="1">
        <f t="array" ref="F554">GetNumber(D554,2)</f>
        <v>6</v>
      </c>
      <c r="G554" s="35">
        <v>14.8</v>
      </c>
      <c r="H554" s="35">
        <v>6842</v>
      </c>
      <c r="I554" s="35">
        <f>32.27*($T$2)</f>
        <v>64.540000000000006</v>
      </c>
      <c r="J554" s="35">
        <f>477.6*($T$2)</f>
        <v>955.2</v>
      </c>
      <c r="K554" s="35">
        <f t="shared" si="40"/>
        <v>6.1356783919597984</v>
      </c>
      <c r="L554" s="35">
        <f t="shared" si="41"/>
        <v>6.135729779981407</v>
      </c>
      <c r="M554" s="35">
        <f>5.8575*($T$2)</f>
        <v>11.715</v>
      </c>
      <c r="N554" s="35">
        <f>38.9*(5280/3600)</f>
        <v>57.053333333333327</v>
      </c>
      <c r="O554" s="35">
        <f t="shared" si="39"/>
        <v>1.2264447236180904</v>
      </c>
      <c r="P554" s="35">
        <f t="shared" si="43"/>
        <v>71.879472361809036</v>
      </c>
      <c r="Q554" s="35">
        <f>('Batt Capacity and Sys Weight'!$I$3) + (B554*$T$2)</f>
        <v>46.148475000000005</v>
      </c>
      <c r="R554" s="35">
        <f>'Batt Capacity and Sys Weight'!$H$3</f>
        <v>97.68</v>
      </c>
    </row>
    <row r="555" spans="1:18" x14ac:dyDescent="0.3">
      <c r="A555" s="35" t="s">
        <v>97</v>
      </c>
      <c r="B555" s="35">
        <v>9.8800000000000008</v>
      </c>
      <c r="C555" s="35">
        <v>520</v>
      </c>
      <c r="D555" s="35" t="s">
        <v>51</v>
      </c>
      <c r="E555" s="36" t="str" cm="1">
        <f t="array" ref="E555">GetNumber(D555,1)</f>
        <v>15</v>
      </c>
      <c r="F555" s="36" t="str" cm="1">
        <f t="array" ref="F555">GetNumber(D555,2)</f>
        <v>7</v>
      </c>
      <c r="G555" s="35">
        <v>14.8</v>
      </c>
      <c r="H555" s="35">
        <v>6817</v>
      </c>
      <c r="I555" s="35">
        <f>33.43*($T$2)</f>
        <v>66.86</v>
      </c>
      <c r="J555" s="35">
        <f>494.7*($T$2)</f>
        <v>989.4</v>
      </c>
      <c r="K555" s="35">
        <f t="shared" si="40"/>
        <v>5.9235900545785327</v>
      </c>
      <c r="L555" s="35">
        <f t="shared" si="41"/>
        <v>5.9228238109482509</v>
      </c>
      <c r="M555" s="35">
        <f>6.1225*($T$2)</f>
        <v>12.244999999999999</v>
      </c>
      <c r="N555" s="35">
        <f>45.2*(5280/3600)</f>
        <v>66.293333333333337</v>
      </c>
      <c r="O555" s="35">
        <f t="shared" si="39"/>
        <v>1.2376187588437437</v>
      </c>
      <c r="P555" s="35">
        <f t="shared" si="43"/>
        <v>72.534360218314134</v>
      </c>
      <c r="Q555" s="35">
        <f>('Batt Capacity and Sys Weight'!$I$3) + (B555*$T$2)</f>
        <v>46.148475000000005</v>
      </c>
      <c r="R555" s="35">
        <f>'Batt Capacity and Sys Weight'!$H$3</f>
        <v>97.68</v>
      </c>
    </row>
    <row r="556" spans="1:18" x14ac:dyDescent="0.3">
      <c r="A556" s="35" t="s">
        <v>97</v>
      </c>
      <c r="B556" s="35">
        <v>9.8800000000000008</v>
      </c>
      <c r="C556" s="35">
        <v>520</v>
      </c>
      <c r="D556" s="35" t="s">
        <v>16</v>
      </c>
      <c r="E556" s="36" t="str" cm="1">
        <f t="array" ref="E556">GetNumber(D556,1)</f>
        <v>15</v>
      </c>
      <c r="F556" s="36" t="str" cm="1">
        <f t="array" ref="F556">GetNumber(D556,2)</f>
        <v>8</v>
      </c>
      <c r="G556" s="35">
        <v>14.8</v>
      </c>
      <c r="H556" s="35">
        <v>6750</v>
      </c>
      <c r="I556" s="35">
        <f>36.45*($T$2)</f>
        <v>72.900000000000006</v>
      </c>
      <c r="J556" s="35">
        <f>539.5*($T$2)</f>
        <v>1079</v>
      </c>
      <c r="K556" s="35">
        <f t="shared" si="40"/>
        <v>5.431696014828546</v>
      </c>
      <c r="L556" s="35">
        <f t="shared" si="41"/>
        <v>5.4320987654320989</v>
      </c>
      <c r="M556" s="35">
        <f>5.985625*($T$2)</f>
        <v>11.97125</v>
      </c>
      <c r="N556" s="35">
        <f>51.1*(5280/3600)</f>
        <v>74.946666666666658</v>
      </c>
      <c r="O556" s="35">
        <f t="shared" si="39"/>
        <v>1.1094763670064873</v>
      </c>
      <c r="P556" s="35">
        <f t="shared" si="43"/>
        <v>65.024190917516222</v>
      </c>
      <c r="Q556" s="35">
        <f>('Batt Capacity and Sys Weight'!$I$3) + (B556*$T$2)</f>
        <v>46.148475000000005</v>
      </c>
      <c r="R556" s="35">
        <f>'Batt Capacity and Sys Weight'!$H$3</f>
        <v>97.68</v>
      </c>
    </row>
    <row r="557" spans="1:18" x14ac:dyDescent="0.3">
      <c r="A557" s="35" t="s">
        <v>97</v>
      </c>
      <c r="B557" s="35">
        <v>9.8800000000000008</v>
      </c>
      <c r="C557" s="35">
        <v>520</v>
      </c>
      <c r="D557" s="35" t="s">
        <v>17</v>
      </c>
      <c r="E557" s="36" t="str" cm="1">
        <f t="array" ref="E557">GetNumber(D557,1)</f>
        <v>15</v>
      </c>
      <c r="F557" s="36" t="str" cm="1">
        <f t="array" ref="F557">GetNumber(D557,2)</f>
        <v>10</v>
      </c>
      <c r="G557" s="35">
        <v>14.8</v>
      </c>
      <c r="H557" s="35">
        <v>6406</v>
      </c>
      <c r="I557" s="35">
        <f>47.84*($T$2)</f>
        <v>95.68</v>
      </c>
      <c r="J557" s="35">
        <f>708.1*($T$2)</f>
        <v>1416.2</v>
      </c>
      <c r="K557" s="35">
        <f t="shared" si="40"/>
        <v>4.1383985312808926</v>
      </c>
      <c r="L557" s="35">
        <f t="shared" si="41"/>
        <v>4.1387959866220729</v>
      </c>
      <c r="M557" s="35">
        <f>6.080625*($T$2)</f>
        <v>12.161250000000001</v>
      </c>
      <c r="N557" s="35">
        <f>60.7*(5280/3600)</f>
        <v>89.026666666666671</v>
      </c>
      <c r="O557" s="35">
        <f t="shared" si="39"/>
        <v>0.85872405027538479</v>
      </c>
      <c r="P557" s="35">
        <f t="shared" si="43"/>
        <v>50.328099138539756</v>
      </c>
      <c r="Q557" s="35">
        <f>('Batt Capacity and Sys Weight'!$I$3) + (B557*$T$2)</f>
        <v>46.148475000000005</v>
      </c>
      <c r="R557" s="35">
        <f>'Batt Capacity and Sys Weight'!$H$3</f>
        <v>97.68</v>
      </c>
    </row>
    <row r="558" spans="1:18" x14ac:dyDescent="0.3">
      <c r="A558" s="35" t="s">
        <v>97</v>
      </c>
      <c r="B558" s="35">
        <v>9.8800000000000008</v>
      </c>
      <c r="C558" s="35">
        <v>520</v>
      </c>
      <c r="D558" s="35" t="s">
        <v>52</v>
      </c>
      <c r="E558" s="36" t="str" cm="1">
        <f t="array" ref="E558">GetNumber(D558,1)</f>
        <v>16</v>
      </c>
      <c r="F558" s="36" t="str" cm="1">
        <f t="array" ref="F558">GetNumber(D558,2)</f>
        <v>6</v>
      </c>
      <c r="G558" s="35">
        <v>14.8</v>
      </c>
      <c r="H558" s="35">
        <v>6725</v>
      </c>
      <c r="I558" s="35">
        <f>37.53*($T$2)</f>
        <v>75.06</v>
      </c>
      <c r="J558" s="35">
        <f>555.4*($T$2)</f>
        <v>1110.8</v>
      </c>
      <c r="K558" s="35">
        <f t="shared" si="40"/>
        <v>5.2761973352538716</v>
      </c>
      <c r="L558" s="35">
        <f t="shared" si="41"/>
        <v>5.275779376498801</v>
      </c>
      <c r="M558" s="35">
        <f>6.878125*($T$2)</f>
        <v>13.75625</v>
      </c>
      <c r="N558" s="35">
        <f>38.2*(5280/3600)</f>
        <v>56.026666666666664</v>
      </c>
      <c r="O558" s="35">
        <f t="shared" si="39"/>
        <v>1.2384092545912857</v>
      </c>
      <c r="P558" s="35">
        <f t="shared" si="43"/>
        <v>72.580689593086063</v>
      </c>
      <c r="Q558" s="35">
        <f>('Batt Capacity and Sys Weight'!$I$3) + (B558*$T$2)</f>
        <v>46.148475000000005</v>
      </c>
      <c r="R558" s="35">
        <f>'Batt Capacity and Sys Weight'!$H$3</f>
        <v>97.68</v>
      </c>
    </row>
    <row r="559" spans="1:18" x14ac:dyDescent="0.3">
      <c r="A559" s="35" t="s">
        <v>97</v>
      </c>
      <c r="B559" s="35">
        <v>9.8800000000000008</v>
      </c>
      <c r="C559" s="35">
        <v>520</v>
      </c>
      <c r="D559" s="35" t="s">
        <v>18</v>
      </c>
      <c r="E559" s="36" t="str" cm="1">
        <f t="array" ref="E559">GetNumber(D559,1)</f>
        <v>16</v>
      </c>
      <c r="F559" s="36" t="str" cm="1">
        <f t="array" ref="F559">GetNumber(D559,2)</f>
        <v>7</v>
      </c>
      <c r="G559" s="35">
        <v>14.8</v>
      </c>
      <c r="H559" s="35">
        <v>6614</v>
      </c>
      <c r="I559" s="35">
        <f>41.22*($T$2)</f>
        <v>82.44</v>
      </c>
      <c r="J559" s="35">
        <f>610*($T$2)</f>
        <v>1220</v>
      </c>
      <c r="K559" s="35">
        <f t="shared" si="40"/>
        <v>4.8039344262295085</v>
      </c>
      <c r="L559" s="35">
        <f t="shared" si="41"/>
        <v>4.8034934497816604</v>
      </c>
      <c r="M559" s="35">
        <f>7.13625*($T$2)</f>
        <v>14.272500000000001</v>
      </c>
      <c r="N559" s="35">
        <f>43.8*(5280/3600)</f>
        <v>64.239999999999995</v>
      </c>
      <c r="O559" s="35">
        <f t="shared" si="39"/>
        <v>1.1698770491803279</v>
      </c>
      <c r="P559" s="35">
        <f t="shared" si="43"/>
        <v>68.56415409836066</v>
      </c>
      <c r="Q559" s="35">
        <f>('Batt Capacity and Sys Weight'!$I$3) + (B559*$T$2)</f>
        <v>46.148475000000005</v>
      </c>
      <c r="R559" s="35">
        <f>'Batt Capacity and Sys Weight'!$H$3</f>
        <v>97.68</v>
      </c>
    </row>
    <row r="560" spans="1:18" x14ac:dyDescent="0.3">
      <c r="A560" s="35" t="s">
        <v>97</v>
      </c>
      <c r="B560" s="35">
        <v>9.8800000000000008</v>
      </c>
      <c r="C560" s="35">
        <v>520</v>
      </c>
      <c r="D560" s="35" t="s">
        <v>19</v>
      </c>
      <c r="E560" s="36" t="str" cm="1">
        <f t="array" ref="E560">GetNumber(D560,1)</f>
        <v>16</v>
      </c>
      <c r="F560" s="36" t="str" cm="1">
        <f t="array" ref="F560">GetNumber(D560,2)</f>
        <v>8</v>
      </c>
      <c r="G560" s="35">
        <v>14.8</v>
      </c>
      <c r="H560" s="35">
        <v>6479</v>
      </c>
      <c r="I560" s="35">
        <f>47.05*($T$2)</f>
        <v>94.1</v>
      </c>
      <c r="J560" s="35">
        <f>696.4*($T$2)</f>
        <v>1392.8</v>
      </c>
      <c r="K560" s="35">
        <f t="shared" si="40"/>
        <v>4.2079264790350379</v>
      </c>
      <c r="L560" s="35">
        <f t="shared" si="41"/>
        <v>4.208289054197663</v>
      </c>
      <c r="M560" s="35">
        <f>7.45375*($T$2)</f>
        <v>14.907500000000001</v>
      </c>
      <c r="N560" s="35">
        <f>49.1*(5280/3600)</f>
        <v>72.013333333333335</v>
      </c>
      <c r="O560" s="35">
        <f t="shared" si="39"/>
        <v>1.0703259620907524</v>
      </c>
      <c r="P560" s="35">
        <f t="shared" si="43"/>
        <v>62.729663986214831</v>
      </c>
      <c r="Q560" s="35">
        <f>('Batt Capacity and Sys Weight'!$I$3) + (B560*$T$2)</f>
        <v>46.148475000000005</v>
      </c>
      <c r="R560" s="35">
        <f>'Batt Capacity and Sys Weight'!$H$3</f>
        <v>97.68</v>
      </c>
    </row>
    <row r="561" spans="1:18" x14ac:dyDescent="0.3">
      <c r="A561" s="35" t="s">
        <v>97</v>
      </c>
      <c r="B561" s="35">
        <v>9.8800000000000008</v>
      </c>
      <c r="C561" s="35">
        <v>520</v>
      </c>
      <c r="D561" s="35" t="s">
        <v>21</v>
      </c>
      <c r="E561" s="36" t="str" cm="1">
        <f t="array" ref="E561">GetNumber(D561,1)</f>
        <v>17</v>
      </c>
      <c r="F561" s="36" t="str" cm="1">
        <f t="array" ref="F561">GetNumber(D561,2)</f>
        <v>6</v>
      </c>
      <c r="G561" s="35">
        <v>14.8</v>
      </c>
      <c r="H561" s="35">
        <v>6465</v>
      </c>
      <c r="I561" s="35">
        <f>47.49*($T$2)</f>
        <v>94.98</v>
      </c>
      <c r="J561" s="35">
        <f>702.8*($T$2)</f>
        <v>1405.6</v>
      </c>
      <c r="K561" s="35">
        <f t="shared" si="40"/>
        <v>4.1696072851451342</v>
      </c>
      <c r="L561" s="35">
        <f t="shared" si="41"/>
        <v>4.169298799747315</v>
      </c>
      <c r="M561" s="35">
        <f>7.8725*($T$2)</f>
        <v>15.744999999999999</v>
      </c>
      <c r="N561" s="35">
        <f>36.7*(5280/3600)</f>
        <v>53.826666666666668</v>
      </c>
      <c r="O561" s="35">
        <f t="shared" si="39"/>
        <v>1.1201622083096188</v>
      </c>
      <c r="P561" s="35">
        <f t="shared" si="43"/>
        <v>65.650466704610139</v>
      </c>
      <c r="Q561" s="35">
        <f>('Batt Capacity and Sys Weight'!$I$3) + (B561*$T$2)</f>
        <v>46.148475000000005</v>
      </c>
      <c r="R561" s="35">
        <f>'Batt Capacity and Sys Weight'!$H$3</f>
        <v>97.68</v>
      </c>
    </row>
    <row r="562" spans="1:18" x14ac:dyDescent="0.3">
      <c r="A562" s="35" t="s">
        <v>97</v>
      </c>
      <c r="B562" s="35">
        <v>9.8800000000000008</v>
      </c>
      <c r="C562" s="35">
        <v>520</v>
      </c>
      <c r="D562" s="35" t="s">
        <v>26</v>
      </c>
      <c r="E562" s="36" t="str" cm="1">
        <f t="array" ref="E562">GetNumber(D562,1)</f>
        <v>14</v>
      </c>
      <c r="F562" s="36" t="str" cm="1">
        <f t="array" ref="F562">GetNumber(D562,2)</f>
        <v>7</v>
      </c>
      <c r="G562" s="35">
        <v>14.8</v>
      </c>
      <c r="H562" s="35">
        <v>6754</v>
      </c>
      <c r="I562" s="35">
        <f>36.37*($T$2)</f>
        <v>72.739999999999995</v>
      </c>
      <c r="J562" s="35">
        <f>538.2*($T$2)</f>
        <v>1076.4000000000001</v>
      </c>
      <c r="K562" s="35">
        <f t="shared" si="40"/>
        <v>5.4448160535117056</v>
      </c>
      <c r="L562" s="35">
        <f t="shared" si="41"/>
        <v>5.4440472917239493</v>
      </c>
      <c r="M562" s="35">
        <f>6.33625*($T$2)</f>
        <v>12.672499999999999</v>
      </c>
      <c r="N562" s="35">
        <f>44.8*(5280/3600)</f>
        <v>65.706666666666663</v>
      </c>
      <c r="O562" s="35">
        <f t="shared" si="39"/>
        <v>1.1773039762170197</v>
      </c>
      <c r="P562" s="35">
        <f t="shared" si="43"/>
        <v>68.99943143812709</v>
      </c>
      <c r="Q562" s="35">
        <f>('Batt Capacity and Sys Weight'!$I$3) + (B562*$T$2)</f>
        <v>46.148475000000005</v>
      </c>
      <c r="R562" s="35">
        <f>'Batt Capacity and Sys Weight'!$H$3</f>
        <v>97.68</v>
      </c>
    </row>
    <row r="563" spans="1:18" x14ac:dyDescent="0.3">
      <c r="A563" s="35" t="s">
        <v>97</v>
      </c>
      <c r="B563" s="35">
        <v>9.8800000000000008</v>
      </c>
      <c r="C563" s="35">
        <v>520</v>
      </c>
      <c r="D563" s="35" t="s">
        <v>27</v>
      </c>
      <c r="E563" s="36" t="str" cm="1">
        <f t="array" ref="E563">GetNumber(D563,1)</f>
        <v>14</v>
      </c>
      <c r="F563" s="36" t="str" cm="1">
        <f t="array" ref="F563">GetNumber(D563,2)</f>
        <v>9</v>
      </c>
      <c r="G563" s="35">
        <v>14.8</v>
      </c>
      <c r="H563" s="35">
        <v>6543</v>
      </c>
      <c r="I563" s="35">
        <f>43.33*($T$2)</f>
        <v>86.66</v>
      </c>
      <c r="J563" s="35">
        <f>641.3*($T$2)</f>
        <v>1282.5999999999999</v>
      </c>
      <c r="K563" s="35">
        <f t="shared" si="40"/>
        <v>4.5694682675814757</v>
      </c>
      <c r="L563" s="35">
        <f t="shared" si="41"/>
        <v>4.5695822755596591</v>
      </c>
      <c r="M563" s="35">
        <f>7.096875*($T$2)</f>
        <v>14.19375</v>
      </c>
      <c r="N563" s="35">
        <f>55.8*(5280/3600)</f>
        <v>81.839999999999989</v>
      </c>
      <c r="O563" s="35">
        <f t="shared" si="39"/>
        <v>1.1066388585685327</v>
      </c>
      <c r="P563" s="35">
        <f t="shared" si="43"/>
        <v>64.857890222984565</v>
      </c>
      <c r="Q563" s="35">
        <f>('Batt Capacity and Sys Weight'!$I$3) + (B563*$T$2)</f>
        <v>46.148475000000005</v>
      </c>
      <c r="R563" s="35">
        <f>'Batt Capacity and Sys Weight'!$H$3</f>
        <v>97.68</v>
      </c>
    </row>
    <row r="564" spans="1:18" x14ac:dyDescent="0.3">
      <c r="A564" s="35" t="s">
        <v>97</v>
      </c>
      <c r="B564" s="35">
        <v>9.8800000000000008</v>
      </c>
      <c r="C564" s="35">
        <v>520</v>
      </c>
      <c r="D564" s="35" t="s">
        <v>28</v>
      </c>
      <c r="E564" s="36" t="str" cm="1">
        <f t="array" ref="E564">GetNumber(D564,1)</f>
        <v>15</v>
      </c>
      <c r="F564" s="36" t="str" cm="1">
        <f t="array" ref="F564">GetNumber(D564,2)</f>
        <v>7</v>
      </c>
      <c r="G564" s="35">
        <v>14.8</v>
      </c>
      <c r="H564" s="35">
        <v>6511</v>
      </c>
      <c r="I564" s="35">
        <f>45.63*($T$2)</f>
        <v>91.26</v>
      </c>
      <c r="J564" s="35">
        <f>675.3*($T$2)</f>
        <v>1350.6</v>
      </c>
      <c r="K564" s="35">
        <f t="shared" si="40"/>
        <v>4.3394047090182148</v>
      </c>
      <c r="L564" s="35">
        <f t="shared" si="41"/>
        <v>4.3392504930966469</v>
      </c>
      <c r="M564" s="35">
        <f>7.6325*($T$2)</f>
        <v>15.265000000000001</v>
      </c>
      <c r="N564" s="35">
        <f>43.2*(5280/3600)</f>
        <v>63.36</v>
      </c>
      <c r="O564" s="35">
        <f t="shared" si="39"/>
        <v>1.1302384125573821</v>
      </c>
      <c r="P564" s="35">
        <f t="shared" si="43"/>
        <v>66.241012883163052</v>
      </c>
      <c r="Q564" s="35">
        <f>('Batt Capacity and Sys Weight'!$I$3) + (B564*$T$2)</f>
        <v>46.148475000000005</v>
      </c>
      <c r="R564" s="35">
        <f>'Batt Capacity and Sys Weight'!$H$3</f>
        <v>97.68</v>
      </c>
    </row>
    <row r="565" spans="1:18" x14ac:dyDescent="0.3">
      <c r="A565" s="35" t="s">
        <v>97</v>
      </c>
      <c r="B565" s="35">
        <v>9.8800000000000008</v>
      </c>
      <c r="C565" s="35">
        <v>520</v>
      </c>
      <c r="D565" s="35" t="s">
        <v>57</v>
      </c>
      <c r="E565" s="36" t="str" cm="1">
        <f t="array" ref="E565">GetNumber(D565,1)</f>
        <v>11</v>
      </c>
      <c r="F565" s="36" t="str" cm="1">
        <f t="array" ref="F565">GetNumber(D565,2)</f>
        <v>10</v>
      </c>
      <c r="G565" s="35">
        <v>18.5</v>
      </c>
      <c r="H565" s="35">
        <v>8730</v>
      </c>
      <c r="I565" s="35">
        <f>31.07*($T$2)</f>
        <v>62.14</v>
      </c>
      <c r="J565" s="35">
        <f>574.8*($T$2)</f>
        <v>1149.5999999999999</v>
      </c>
      <c r="K565" s="35">
        <f t="shared" si="40"/>
        <v>4.8277661795407099</v>
      </c>
      <c r="L565" s="35">
        <f t="shared" si="41"/>
        <v>4.82780817508851</v>
      </c>
      <c r="M565" s="35">
        <f>3.92*($T$2)</f>
        <v>7.84</v>
      </c>
      <c r="N565" s="35">
        <f>82.7*(5280/3600)</f>
        <v>121.29333333333332</v>
      </c>
      <c r="O565" s="35">
        <f t="shared" si="39"/>
        <v>0.68197633959638138</v>
      </c>
      <c r="P565" s="35">
        <f t="shared" si="43"/>
        <v>37.849686847599166</v>
      </c>
      <c r="Q565" s="35">
        <f>('Batt Capacity and Sys Weight'!$I$4) + (B565*$T$2)</f>
        <v>46.924503000000001</v>
      </c>
      <c r="R565" s="35">
        <f>'Batt Capacity and Sys Weight'!$H$4</f>
        <v>92.5</v>
      </c>
    </row>
    <row r="566" spans="1:18" x14ac:dyDescent="0.3">
      <c r="A566" s="35" t="s">
        <v>97</v>
      </c>
      <c r="B566" s="35">
        <v>9.8800000000000008</v>
      </c>
      <c r="C566" s="35">
        <v>520</v>
      </c>
      <c r="D566" s="35" t="s">
        <v>32</v>
      </c>
      <c r="E566" s="36" t="str" cm="1">
        <f t="array" ref="E566">GetNumber(D566,1)</f>
        <v>12</v>
      </c>
      <c r="F566" s="36" t="str" cm="1">
        <f t="array" ref="F566">GetNumber(D566,2)</f>
        <v>8</v>
      </c>
      <c r="G566" s="35">
        <v>18.5</v>
      </c>
      <c r="H566" s="35">
        <v>8705</v>
      </c>
      <c r="I566" s="35">
        <f>31.87*($T$2)</f>
        <v>63.74</v>
      </c>
      <c r="J566" s="35">
        <f>589.6*($T$2)</f>
        <v>1179.2</v>
      </c>
      <c r="K566" s="35">
        <f t="shared" si="40"/>
        <v>4.7065807327001359</v>
      </c>
      <c r="L566" s="35">
        <f t="shared" si="41"/>
        <v>4.7066206463759013</v>
      </c>
      <c r="M566" s="35">
        <f>4.76*($T$2)</f>
        <v>9.52</v>
      </c>
      <c r="N566" s="35">
        <f>65.9*(5280/3600)</f>
        <v>96.653333333333336</v>
      </c>
      <c r="O566" s="35">
        <f t="shared" si="39"/>
        <v>0.80732700135685198</v>
      </c>
      <c r="P566" s="35">
        <f t="shared" si="43"/>
        <v>44.806648575305289</v>
      </c>
      <c r="Q566" s="35">
        <f>('Batt Capacity and Sys Weight'!$I$4) + (B566*$T$2)</f>
        <v>46.924503000000001</v>
      </c>
      <c r="R566" s="35">
        <f>'Batt Capacity and Sys Weight'!$H$4</f>
        <v>92.5</v>
      </c>
    </row>
    <row r="567" spans="1:18" x14ac:dyDescent="0.3">
      <c r="A567" s="35" t="s">
        <v>97</v>
      </c>
      <c r="B567" s="35">
        <v>9.8800000000000008</v>
      </c>
      <c r="C567" s="35">
        <v>520</v>
      </c>
      <c r="D567" s="35" t="s">
        <v>33</v>
      </c>
      <c r="E567" s="36" t="str" cm="1">
        <f t="array" ref="E567">GetNumber(D567,1)</f>
        <v>12</v>
      </c>
      <c r="F567" s="36" t="str" cm="1">
        <f t="array" ref="F567">GetNumber(D567,2)</f>
        <v>10</v>
      </c>
      <c r="G567" s="35">
        <v>18.5</v>
      </c>
      <c r="H567" s="35">
        <v>8475</v>
      </c>
      <c r="I567" s="35">
        <f>38.92*($T$2)</f>
        <v>77.84</v>
      </c>
      <c r="J567" s="35">
        <f>720.1*($T$2)</f>
        <v>1440.2</v>
      </c>
      <c r="K567" s="35">
        <f t="shared" si="40"/>
        <v>3.8536314400777671</v>
      </c>
      <c r="L567" s="35">
        <f t="shared" si="41"/>
        <v>3.8540596094552928</v>
      </c>
      <c r="M567" s="35">
        <f>5.16125*($T$2)</f>
        <v>10.3225</v>
      </c>
      <c r="N567" s="35">
        <f>80.3*(5280/3600)</f>
        <v>117.77333333333333</v>
      </c>
      <c r="O567" s="35">
        <f t="shared" si="39"/>
        <v>0.71674073045410358</v>
      </c>
      <c r="P567" s="35">
        <f t="shared" si="43"/>
        <v>39.779110540202751</v>
      </c>
      <c r="Q567" s="35">
        <f>('Batt Capacity and Sys Weight'!$I$4) + (B567*$T$2)</f>
        <v>46.924503000000001</v>
      </c>
      <c r="R567" s="35">
        <f>'Batt Capacity and Sys Weight'!$H$4</f>
        <v>92.5</v>
      </c>
    </row>
    <row r="568" spans="1:18" x14ac:dyDescent="0.3">
      <c r="A568" s="35" t="s">
        <v>97</v>
      </c>
      <c r="B568" s="35">
        <v>9.8800000000000008</v>
      </c>
      <c r="C568" s="35">
        <v>520</v>
      </c>
      <c r="D568" s="35" t="s">
        <v>34</v>
      </c>
      <c r="E568" s="36" t="str" cm="1">
        <f t="array" ref="E568">GetNumber(D568,1)</f>
        <v>12</v>
      </c>
      <c r="F568" s="36" t="str" cm="1">
        <f t="array" ref="F568">GetNumber(D568,2)</f>
        <v>12</v>
      </c>
      <c r="G568" s="35">
        <v>18.5</v>
      </c>
      <c r="H568" s="35">
        <v>8314</v>
      </c>
      <c r="I568" s="35">
        <f>43.64*($T$2)</f>
        <v>87.28</v>
      </c>
      <c r="J568" s="35">
        <f>807.3*($T$2)</f>
        <v>1614.6</v>
      </c>
      <c r="K568" s="35">
        <f t="shared" si="40"/>
        <v>3.4373838721664809</v>
      </c>
      <c r="L568" s="35">
        <f t="shared" si="41"/>
        <v>3.4372135655362053</v>
      </c>
      <c r="M568" s="35">
        <f>4.7375*($T$2)</f>
        <v>9.4749999999999996</v>
      </c>
      <c r="N568" s="35">
        <f>94.5*(5280/3600)</f>
        <v>138.6</v>
      </c>
      <c r="O568" s="35">
        <f t="shared" si="39"/>
        <v>0.58683265205004331</v>
      </c>
      <c r="P568" s="35">
        <f t="shared" si="43"/>
        <v>32.569212188777406</v>
      </c>
      <c r="Q568" s="35">
        <f>('Batt Capacity and Sys Weight'!$I$4) + (B568*$T$2)</f>
        <v>46.924503000000001</v>
      </c>
      <c r="R568" s="35">
        <f>'Batt Capacity and Sys Weight'!$H$4</f>
        <v>92.5</v>
      </c>
    </row>
    <row r="569" spans="1:18" x14ac:dyDescent="0.3">
      <c r="A569" s="35" t="s">
        <v>97</v>
      </c>
      <c r="B569" s="35">
        <v>9.8800000000000008</v>
      </c>
      <c r="C569" s="35">
        <v>520</v>
      </c>
      <c r="D569" s="35" t="s">
        <v>35</v>
      </c>
      <c r="E569" s="36" t="str" cm="1">
        <f t="array" ref="E569">GetNumber(D569,1)</f>
        <v>13</v>
      </c>
      <c r="F569" s="36" cm="1">
        <f t="array" ref="F569">GetNumber(D569,2)+(GetNumber(D569,3)/10)</f>
        <v>6.5</v>
      </c>
      <c r="G569" s="35">
        <v>18.5</v>
      </c>
      <c r="H569" s="35">
        <v>8570</v>
      </c>
      <c r="I569" s="35">
        <f>35.85*($T$2)</f>
        <v>71.7</v>
      </c>
      <c r="J569" s="35">
        <f>663.2*($T$2)</f>
        <v>1326.4</v>
      </c>
      <c r="K569" s="35">
        <f t="shared" si="40"/>
        <v>4.1842581423401688</v>
      </c>
      <c r="L569" s="35">
        <f t="shared" si="41"/>
        <v>4.1841004184100417</v>
      </c>
      <c r="M569" s="35">
        <f>6.626875*($T$2)</f>
        <v>13.25375</v>
      </c>
      <c r="N569" s="35">
        <f>52.8*(5280/3600)</f>
        <v>77.439999999999984</v>
      </c>
      <c r="O569" s="35">
        <f t="shared" si="39"/>
        <v>0.99922723160434257</v>
      </c>
      <c r="P569" s="35">
        <f t="shared" si="43"/>
        <v>55.457111354041011</v>
      </c>
      <c r="Q569" s="35">
        <f>('Batt Capacity and Sys Weight'!$I$4) + (B569*$T$2)</f>
        <v>46.924503000000001</v>
      </c>
      <c r="R569" s="35">
        <f>'Batt Capacity and Sys Weight'!$H$4</f>
        <v>92.5</v>
      </c>
    </row>
    <row r="570" spans="1:18" x14ac:dyDescent="0.3">
      <c r="A570" s="35" t="s">
        <v>97</v>
      </c>
      <c r="B570" s="35">
        <v>9.8800000000000008</v>
      </c>
      <c r="C570" s="35">
        <v>520</v>
      </c>
      <c r="D570" s="35" t="s">
        <v>36</v>
      </c>
      <c r="E570" s="36" t="str" cm="1">
        <f t="array" ref="E570">GetNumber(D570,1)</f>
        <v>13</v>
      </c>
      <c r="F570" s="36" t="str" cm="1">
        <f t="array" ref="F570">GetNumber(D570,2)</f>
        <v>8</v>
      </c>
      <c r="G570" s="35">
        <v>18.5</v>
      </c>
      <c r="H570" s="35">
        <v>8456</v>
      </c>
      <c r="I570" s="35">
        <f>39.49*($T$2)</f>
        <v>78.98</v>
      </c>
      <c r="J570" s="35">
        <f>730.5*($T$2)</f>
        <v>1461</v>
      </c>
      <c r="K570" s="35">
        <f t="shared" si="40"/>
        <v>3.7987679671457908</v>
      </c>
      <c r="L570" s="35">
        <f t="shared" si="41"/>
        <v>3.7984299822739933</v>
      </c>
      <c r="M570" s="35">
        <f>6.66875*($T$2)</f>
        <v>13.3375</v>
      </c>
      <c r="N570" s="35">
        <f>64.1*(5280/3600)</f>
        <v>94.013333333333321</v>
      </c>
      <c r="O570" s="35">
        <f t="shared" si="39"/>
        <v>0.91290212183436015</v>
      </c>
      <c r="P570" s="35">
        <f t="shared" si="43"/>
        <v>50.666067761806985</v>
      </c>
      <c r="Q570" s="35">
        <f>('Batt Capacity and Sys Weight'!$I$4) + (B570*$T$2)</f>
        <v>46.924503000000001</v>
      </c>
      <c r="R570" s="35">
        <f>'Batt Capacity and Sys Weight'!$H$4</f>
        <v>92.5</v>
      </c>
    </row>
    <row r="571" spans="1:18" x14ac:dyDescent="0.3">
      <c r="A571" s="35" t="s">
        <v>97</v>
      </c>
      <c r="B571" s="35">
        <v>9.8800000000000008</v>
      </c>
      <c r="C571" s="35">
        <v>520</v>
      </c>
      <c r="D571" s="35" t="s">
        <v>38</v>
      </c>
      <c r="E571" s="36" t="str" cm="1">
        <f t="array" ref="E571">GetNumber(D571,1)</f>
        <v>14</v>
      </c>
      <c r="F571" s="36" t="str" cm="1">
        <f t="array" ref="F571">GetNumber(D571,2)</f>
        <v>6</v>
      </c>
      <c r="G571" s="35">
        <v>18.5</v>
      </c>
      <c r="H571" s="35">
        <v>8659</v>
      </c>
      <c r="I571" s="35">
        <f>33.12*($T$2)</f>
        <v>66.239999999999995</v>
      </c>
      <c r="J571" s="35">
        <f>612.8*($T$2)</f>
        <v>1225.5999999999999</v>
      </c>
      <c r="K571" s="35">
        <f t="shared" si="40"/>
        <v>4.5283942558746739</v>
      </c>
      <c r="L571" s="35">
        <f t="shared" si="41"/>
        <v>4.5289855072463769</v>
      </c>
      <c r="M571" s="35">
        <f>7.004375*($T$2)</f>
        <v>14.008749999999999</v>
      </c>
      <c r="N571" s="35">
        <f>49.2*(5280/3600)</f>
        <v>72.16</v>
      </c>
      <c r="O571" s="35">
        <f t="shared" si="39"/>
        <v>1.1430115861618799</v>
      </c>
      <c r="P571" s="35">
        <f t="shared" si="43"/>
        <v>63.437143031984334</v>
      </c>
      <c r="Q571" s="35">
        <f>('Batt Capacity and Sys Weight'!$I$4) + (B571*$T$2)</f>
        <v>46.924503000000001</v>
      </c>
      <c r="R571" s="35">
        <f>'Batt Capacity and Sys Weight'!$H$4</f>
        <v>92.5</v>
      </c>
    </row>
    <row r="572" spans="1:18" x14ac:dyDescent="0.3">
      <c r="A572" s="35" t="s">
        <v>97</v>
      </c>
      <c r="B572" s="35">
        <v>9.8800000000000008</v>
      </c>
      <c r="C572" s="35">
        <v>520</v>
      </c>
      <c r="D572" s="35" t="s">
        <v>39</v>
      </c>
      <c r="E572" s="36" t="str" cm="1">
        <f t="array" ref="E572">GetNumber(D572,1)</f>
        <v>14</v>
      </c>
      <c r="F572" s="36" t="str" cm="1">
        <f t="array" ref="F572">GetNumber(D572,2)</f>
        <v>7</v>
      </c>
      <c r="G572" s="35">
        <v>18.5</v>
      </c>
      <c r="H572" s="35">
        <v>8234</v>
      </c>
      <c r="I572" s="35">
        <f>46.51*($T$2)</f>
        <v>93.02</v>
      </c>
      <c r="J572" s="35">
        <f>860.5*($T$2)</f>
        <v>1721</v>
      </c>
      <c r="K572" s="35">
        <f t="shared" si="40"/>
        <v>3.2248692620569432</v>
      </c>
      <c r="L572" s="35">
        <f t="shared" si="41"/>
        <v>3.2251128789507635</v>
      </c>
      <c r="M572" s="35">
        <f>7.793125*($T$2)</f>
        <v>15.58625</v>
      </c>
      <c r="N572" s="35">
        <f>54.6*(5280/3600)</f>
        <v>80.08</v>
      </c>
      <c r="O572" s="35">
        <f t="shared" si="39"/>
        <v>0.90565078442765823</v>
      </c>
      <c r="P572" s="35">
        <f t="shared" si="43"/>
        <v>50.263618535735034</v>
      </c>
      <c r="Q572" s="35">
        <f>('Batt Capacity and Sys Weight'!$I$4) + (B572*$T$2)</f>
        <v>46.924503000000001</v>
      </c>
      <c r="R572" s="35">
        <f>'Batt Capacity and Sys Weight'!$H$4</f>
        <v>92.5</v>
      </c>
    </row>
    <row r="573" spans="1:18" x14ac:dyDescent="0.3">
      <c r="A573" s="35" t="s">
        <v>97</v>
      </c>
      <c r="B573" s="35">
        <v>9.8800000000000008</v>
      </c>
      <c r="C573" s="35">
        <v>520</v>
      </c>
      <c r="D573" s="35" t="s">
        <v>40</v>
      </c>
      <c r="E573" s="36" t="str" cm="1">
        <f t="array" ref="E573">GetNumber(D573,1)</f>
        <v>14</v>
      </c>
      <c r="F573" s="36" cm="1">
        <f t="array" ref="F573">GetNumber(D573,2)+(GetNumber(D573,3)/10)</f>
        <v>8.5</v>
      </c>
      <c r="G573" s="35">
        <v>18.5</v>
      </c>
      <c r="H573" s="35">
        <v>8235</v>
      </c>
      <c r="I573" s="35">
        <f>47.99*($T$2)</f>
        <v>95.98</v>
      </c>
      <c r="J573" s="35">
        <f>887.7*($T$2)</f>
        <v>1775.4</v>
      </c>
      <c r="K573" s="35">
        <f t="shared" si="40"/>
        <v>3.1260561000337952</v>
      </c>
      <c r="L573" s="35">
        <f t="shared" si="41"/>
        <v>3.12565117732861</v>
      </c>
      <c r="M573" s="35">
        <f>8.05125*($T$2)</f>
        <v>16.102499999999999</v>
      </c>
      <c r="N573" s="35">
        <f>66.3*(5280/3600)</f>
        <v>97.24</v>
      </c>
      <c r="O573" s="35">
        <f t="shared" si="39"/>
        <v>0.90697870902331867</v>
      </c>
      <c r="P573" s="35">
        <f t="shared" si="43"/>
        <v>50.337318350794185</v>
      </c>
      <c r="Q573" s="35">
        <f>('Batt Capacity and Sys Weight'!$I$4) + (B573*$T$2)</f>
        <v>46.924503000000001</v>
      </c>
      <c r="R573" s="35">
        <f>'Batt Capacity and Sys Weight'!$H$4</f>
        <v>92.5</v>
      </c>
    </row>
    <row r="574" spans="1:18" x14ac:dyDescent="0.3">
      <c r="A574" s="35" t="s">
        <v>97</v>
      </c>
      <c r="B574" s="35">
        <v>9.8800000000000008</v>
      </c>
      <c r="C574" s="35">
        <v>520</v>
      </c>
      <c r="D574" s="35" t="s">
        <v>41</v>
      </c>
      <c r="E574" s="36" t="str" cm="1">
        <f t="array" ref="E574">GetNumber(D574,1)</f>
        <v>14</v>
      </c>
      <c r="F574" s="36" t="str" cm="1">
        <f t="array" ref="F574">GetNumber(D574,2)</f>
        <v>10</v>
      </c>
      <c r="G574" s="35">
        <v>18.5</v>
      </c>
      <c r="H574" s="35">
        <v>8234</v>
      </c>
      <c r="I574" s="35">
        <f>47.87*($T$2)</f>
        <v>95.74</v>
      </c>
      <c r="J574" s="35">
        <f>885.6*($T$2)</f>
        <v>1771.2</v>
      </c>
      <c r="K574" s="35">
        <f t="shared" si="40"/>
        <v>3.133468834688347</v>
      </c>
      <c r="L574" s="35">
        <f t="shared" si="41"/>
        <v>3.1334865260079385</v>
      </c>
      <c r="M574" s="35">
        <f>7.97625*($T$2)</f>
        <v>15.952500000000001</v>
      </c>
      <c r="N574" s="35">
        <f>78*(5280/3600)</f>
        <v>114.39999999999999</v>
      </c>
      <c r="O574" s="35">
        <f t="shared" si="39"/>
        <v>0.90066056910569103</v>
      </c>
      <c r="P574" s="35">
        <f t="shared" si="43"/>
        <v>49.986661585365859</v>
      </c>
      <c r="Q574" s="35">
        <f>('Batt Capacity and Sys Weight'!$I$4) + (B574*$T$2)</f>
        <v>46.924503000000001</v>
      </c>
      <c r="R574" s="35">
        <f>'Batt Capacity and Sys Weight'!$H$4</f>
        <v>92.5</v>
      </c>
    </row>
    <row r="575" spans="1:18" x14ac:dyDescent="0.3">
      <c r="A575" s="35" t="s">
        <v>97</v>
      </c>
      <c r="B575" s="35">
        <v>9.8800000000000008</v>
      </c>
      <c r="C575" s="35">
        <v>520</v>
      </c>
      <c r="D575" s="35" t="s">
        <v>60</v>
      </c>
      <c r="E575" s="36" t="str" cm="1">
        <f t="array" ref="E575">GetNumber(D575,1)</f>
        <v>15</v>
      </c>
      <c r="F575" s="36" t="str" cm="1">
        <f t="array" ref="F575">GetNumber(D575,2)</f>
        <v>4</v>
      </c>
      <c r="G575" s="35">
        <v>18.5</v>
      </c>
      <c r="H575" s="35">
        <v>8575</v>
      </c>
      <c r="I575" s="35">
        <f>35.77*($T$2)</f>
        <v>71.540000000000006</v>
      </c>
      <c r="J575" s="35">
        <f>661.7*($T$2)</f>
        <v>1323.4</v>
      </c>
      <c r="K575" s="35">
        <f t="shared" si="40"/>
        <v>4.1937433882424058</v>
      </c>
      <c r="L575" s="35">
        <f t="shared" si="41"/>
        <v>4.1934582051998879</v>
      </c>
      <c r="M575" s="35">
        <f>7.77375*($T$2)</f>
        <v>15.547499999999999</v>
      </c>
      <c r="N575" s="35">
        <f>32.5*(5280/3600)</f>
        <v>47.666666666666664</v>
      </c>
      <c r="O575" s="35">
        <f t="shared" si="39"/>
        <v>1.1748148707873658</v>
      </c>
      <c r="P575" s="35">
        <f t="shared" si="43"/>
        <v>65.202225328698802</v>
      </c>
      <c r="Q575" s="35">
        <f>('Batt Capacity and Sys Weight'!$I$4) + (B575*$T$2)</f>
        <v>46.924503000000001</v>
      </c>
      <c r="R575" s="35">
        <f>'Batt Capacity and Sys Weight'!$H$4</f>
        <v>92.5</v>
      </c>
    </row>
    <row r="576" spans="1:18" x14ac:dyDescent="0.3">
      <c r="A576" s="35" t="s">
        <v>97</v>
      </c>
      <c r="B576" s="35">
        <v>9.8800000000000008</v>
      </c>
      <c r="C576" s="35">
        <v>520</v>
      </c>
      <c r="D576" s="35" t="s">
        <v>43</v>
      </c>
      <c r="E576" s="36" t="str" cm="1">
        <f t="array" ref="E576">GetNumber(D576,1)</f>
        <v>15</v>
      </c>
      <c r="F576" s="36" t="str" cm="1">
        <f t="array" ref="F576">GetNumber(D576,2)</f>
        <v>6</v>
      </c>
      <c r="G576" s="35">
        <v>18.5</v>
      </c>
      <c r="H576" s="35">
        <v>8236</v>
      </c>
      <c r="I576" s="35">
        <f>48.06*($T$2)</f>
        <v>96.12</v>
      </c>
      <c r="J576" s="35">
        <f>889.1*($T$2)</f>
        <v>1778.2</v>
      </c>
      <c r="K576" s="35">
        <f t="shared" si="40"/>
        <v>3.1211337307389493</v>
      </c>
      <c r="L576" s="35">
        <f t="shared" si="41"/>
        <v>3.1210986267166043</v>
      </c>
      <c r="M576" s="35">
        <f>9.120625*($T$2)</f>
        <v>18.241250000000001</v>
      </c>
      <c r="N576" s="35">
        <f>46.8*(5280/3600)</f>
        <v>68.639999999999986</v>
      </c>
      <c r="O576" s="35">
        <f t="shared" si="39"/>
        <v>1.0258266786638173</v>
      </c>
      <c r="P576" s="35">
        <f t="shared" si="43"/>
        <v>56.93338066584186</v>
      </c>
      <c r="Q576" s="35">
        <f>('Batt Capacity and Sys Weight'!$I$4) + (B576*$T$2)</f>
        <v>46.924503000000001</v>
      </c>
      <c r="R576" s="35">
        <f>'Batt Capacity and Sys Weight'!$H$4</f>
        <v>92.5</v>
      </c>
    </row>
    <row r="577" spans="1:18" x14ac:dyDescent="0.3">
      <c r="A577" s="35" t="s">
        <v>97</v>
      </c>
      <c r="B577" s="35">
        <v>9.8800000000000008</v>
      </c>
      <c r="C577" s="35">
        <v>520</v>
      </c>
      <c r="D577" s="35" t="s">
        <v>44</v>
      </c>
      <c r="E577" s="36" t="str" cm="1">
        <f t="array" ref="E577">GetNumber(D577,1)</f>
        <v>15</v>
      </c>
      <c r="F577" s="36" t="str" cm="1">
        <f t="array" ref="F577">GetNumber(D577,2)</f>
        <v>7</v>
      </c>
      <c r="G577" s="35">
        <v>18.5</v>
      </c>
      <c r="H577" s="35">
        <v>8268</v>
      </c>
      <c r="I577" s="35">
        <f>47.06*($T$2)</f>
        <v>94.12</v>
      </c>
      <c r="J577" s="35">
        <f>870.6*($T$2)</f>
        <v>1741.2</v>
      </c>
      <c r="K577" s="35">
        <f t="shared" si="40"/>
        <v>3.1874569262577532</v>
      </c>
      <c r="L577" s="35">
        <f t="shared" si="41"/>
        <v>3.1874203144921376</v>
      </c>
      <c r="M577" s="35">
        <f>9.045625*($T$2)</f>
        <v>18.091249999999999</v>
      </c>
      <c r="N577" s="35">
        <f>54.8*(5280/3600)</f>
        <v>80.373333333333321</v>
      </c>
      <c r="O577" s="35">
        <f t="shared" si="39"/>
        <v>1.0390104525614519</v>
      </c>
      <c r="P577" s="35">
        <f t="shared" si="43"/>
        <v>57.665080117160571</v>
      </c>
      <c r="Q577" s="35">
        <f>('Batt Capacity and Sys Weight'!$I$4) + (B577*$T$2)</f>
        <v>46.924503000000001</v>
      </c>
      <c r="R577" s="35">
        <f>'Batt Capacity and Sys Weight'!$H$4</f>
        <v>92.5</v>
      </c>
    </row>
    <row r="578" spans="1:18" x14ac:dyDescent="0.3">
      <c r="A578" s="35" t="s">
        <v>97</v>
      </c>
      <c r="B578" s="35">
        <v>9.8800000000000008</v>
      </c>
      <c r="C578" s="35">
        <v>520</v>
      </c>
      <c r="D578" s="35" t="s">
        <v>64</v>
      </c>
      <c r="E578" s="36" t="str" cm="1">
        <f t="array" ref="E578">GetNumber(D578,1)</f>
        <v>12</v>
      </c>
      <c r="F578" s="36" t="str" cm="1">
        <f t="array" ref="F578">GetNumber(D578,2)</f>
        <v>8</v>
      </c>
      <c r="G578" s="35">
        <v>18.5</v>
      </c>
      <c r="H578" s="35">
        <v>8656</v>
      </c>
      <c r="I578" s="35">
        <f>33.35*($T$2)</f>
        <v>66.7</v>
      </c>
      <c r="J578" s="35">
        <f>617*($T$2)</f>
        <v>1234</v>
      </c>
      <c r="K578" s="35">
        <f t="shared" si="40"/>
        <v>4.4975688816855754</v>
      </c>
      <c r="L578" s="35">
        <f t="shared" si="41"/>
        <v>4.497751124437781</v>
      </c>
      <c r="M578" s="35">
        <f>4.3275*($T$2)</f>
        <v>8.6549999999999994</v>
      </c>
      <c r="N578" s="35">
        <f>65.6*(5280/3600)</f>
        <v>96.213333333333324</v>
      </c>
      <c r="O578" s="35">
        <f t="shared" ref="O578:O641" si="44" xml:space="preserve"> (M578/J578)*100</f>
        <v>0.70137763371150719</v>
      </c>
      <c r="P578" s="35">
        <f t="shared" si="43"/>
        <v>38.926458670988652</v>
      </c>
      <c r="Q578" s="35">
        <f>('Batt Capacity and Sys Weight'!$I$4) + (B578*$T$2)</f>
        <v>46.924503000000001</v>
      </c>
      <c r="R578" s="35">
        <f>'Batt Capacity and Sys Weight'!$H$4</f>
        <v>92.5</v>
      </c>
    </row>
    <row r="579" spans="1:18" x14ac:dyDescent="0.3">
      <c r="A579" s="35" t="s">
        <v>97</v>
      </c>
      <c r="B579" s="35">
        <v>9.8800000000000008</v>
      </c>
      <c r="C579" s="35">
        <v>520</v>
      </c>
      <c r="D579" s="35" t="s">
        <v>45</v>
      </c>
      <c r="E579" s="36" t="str" cm="1">
        <f t="array" ref="E579">GetNumber(D579,1)</f>
        <v>13</v>
      </c>
      <c r="F579" s="36" t="str" cm="1">
        <f t="array" ref="F579">GetNumber(D579,2)</f>
        <v>8</v>
      </c>
      <c r="G579" s="35">
        <v>18.5</v>
      </c>
      <c r="H579" s="35">
        <v>8500</v>
      </c>
      <c r="I579" s="35">
        <f>38.23*($T$2)</f>
        <v>76.459999999999994</v>
      </c>
      <c r="J579" s="35">
        <f>707.3*($T$2)</f>
        <v>1414.6</v>
      </c>
      <c r="K579" s="35">
        <f t="shared" ref="K579:K642" si="45" xml:space="preserve"> (R579/J579)*60</f>
        <v>3.9233705641170649</v>
      </c>
      <c r="L579" s="35">
        <f t="shared" ref="L579:L642" si="46">( (R579/G579)/I579)*60</f>
        <v>3.923620193565263</v>
      </c>
      <c r="M579" s="35">
        <f>5.96125*($T$2)</f>
        <v>11.922499999999999</v>
      </c>
      <c r="N579" s="35">
        <f>64.4*(5280/3600)</f>
        <v>94.453333333333333</v>
      </c>
      <c r="O579" s="35">
        <f t="shared" si="44"/>
        <v>0.84281775767001266</v>
      </c>
      <c r="P579" s="35">
        <f t="shared" si="43"/>
        <v>46.776385550685703</v>
      </c>
      <c r="Q579" s="35">
        <f>('Batt Capacity and Sys Weight'!$I$4) + (B579*$T$2)</f>
        <v>46.924503000000001</v>
      </c>
      <c r="R579" s="35">
        <f>'Batt Capacity and Sys Weight'!$H$4</f>
        <v>92.5</v>
      </c>
    </row>
    <row r="580" spans="1:18" x14ac:dyDescent="0.3">
      <c r="A580" s="35" t="s">
        <v>97</v>
      </c>
      <c r="B580" s="35">
        <v>9.8800000000000008</v>
      </c>
      <c r="C580" s="35">
        <v>520</v>
      </c>
      <c r="D580" s="35" t="s">
        <v>47</v>
      </c>
      <c r="E580" s="36" t="str" cm="1">
        <f t="array" ref="E580">GetNumber(D580,1)</f>
        <v>14</v>
      </c>
      <c r="F580" s="36" t="str" cm="1">
        <f t="array" ref="F580">GetNumber(D580,2)</f>
        <v>6</v>
      </c>
      <c r="G580" s="35">
        <v>18.5</v>
      </c>
      <c r="H580" s="35">
        <v>8541</v>
      </c>
      <c r="I580" s="35">
        <f>37.51*($T$2)</f>
        <v>75.02</v>
      </c>
      <c r="J580" s="35">
        <f>693.9*($T$2)</f>
        <v>1387.8</v>
      </c>
      <c r="K580" s="35">
        <f t="shared" si="45"/>
        <v>3.9991353220925205</v>
      </c>
      <c r="L580" s="35">
        <f t="shared" si="46"/>
        <v>3.9989336177019466</v>
      </c>
      <c r="M580" s="35">
        <f>6.860625*($T$2)</f>
        <v>13.72125</v>
      </c>
      <c r="N580" s="35">
        <f>48.5*(5280/3600)</f>
        <v>71.133333333333326</v>
      </c>
      <c r="O580" s="35">
        <f t="shared" si="44"/>
        <v>0.98870514483354943</v>
      </c>
      <c r="P580" s="35">
        <f t="shared" si="43"/>
        <v>54.873135538261998</v>
      </c>
      <c r="Q580" s="35">
        <f>('Batt Capacity and Sys Weight'!$I$4) + (B580*$T$2)</f>
        <v>46.924503000000001</v>
      </c>
      <c r="R580" s="35">
        <f>'Batt Capacity and Sys Weight'!$H$4</f>
        <v>92.5</v>
      </c>
    </row>
    <row r="581" spans="1:18" x14ac:dyDescent="0.3">
      <c r="A581" s="35" t="s">
        <v>97</v>
      </c>
      <c r="B581" s="35">
        <v>9.8800000000000008</v>
      </c>
      <c r="C581" s="35">
        <v>520</v>
      </c>
      <c r="D581" s="35" t="s">
        <v>48</v>
      </c>
      <c r="E581" s="36" t="str" cm="1">
        <f t="array" ref="E581">GetNumber(D581,1)</f>
        <v>14</v>
      </c>
      <c r="F581" s="36" t="str" cm="1">
        <f t="array" ref="F581">GetNumber(D581,2)</f>
        <v>8</v>
      </c>
      <c r="G581" s="35">
        <v>18.5</v>
      </c>
      <c r="H581" s="35">
        <v>8308</v>
      </c>
      <c r="I581" s="35">
        <f>44.01*($T$2)</f>
        <v>88.02</v>
      </c>
      <c r="J581" s="35">
        <f>814.2*($T$2)</f>
        <v>1628.4</v>
      </c>
      <c r="K581" s="35">
        <f t="shared" si="45"/>
        <v>3.4082535003684598</v>
      </c>
      <c r="L581" s="35">
        <f t="shared" si="46"/>
        <v>3.4083162917518748</v>
      </c>
      <c r="M581" s="35">
        <f>7.801875*($T$2)</f>
        <v>15.60375</v>
      </c>
      <c r="N581" s="35">
        <f>62.9*(5280/3600)</f>
        <v>92.25333333333333</v>
      </c>
      <c r="O581" s="35">
        <f t="shared" si="44"/>
        <v>0.95822586588061898</v>
      </c>
      <c r="P581" s="35">
        <f t="shared" si="43"/>
        <v>53.181535556374357</v>
      </c>
      <c r="Q581" s="35">
        <f>('Batt Capacity and Sys Weight'!$I$4) + (B581*$T$2)</f>
        <v>46.924503000000001</v>
      </c>
      <c r="R581" s="35">
        <f>'Batt Capacity and Sys Weight'!$H$4</f>
        <v>92.5</v>
      </c>
    </row>
    <row r="582" spans="1:18" x14ac:dyDescent="0.3">
      <c r="A582" s="35" t="s">
        <v>97</v>
      </c>
      <c r="B582" s="35">
        <v>9.8800000000000008</v>
      </c>
      <c r="C582" s="35">
        <v>520</v>
      </c>
      <c r="D582" s="35" t="s">
        <v>50</v>
      </c>
      <c r="E582" s="36" t="str" cm="1">
        <f t="array" ref="E582">GetNumber(D582,1)</f>
        <v>15</v>
      </c>
      <c r="F582" s="36" t="str" cm="1">
        <f t="array" ref="F582">GetNumber(D582,2)</f>
        <v>6</v>
      </c>
      <c r="G582" s="35">
        <v>18.5</v>
      </c>
      <c r="H582" s="35">
        <v>8255</v>
      </c>
      <c r="I582" s="35">
        <f>47.4*($T$2)</f>
        <v>94.8</v>
      </c>
      <c r="J582" s="35">
        <f>877*($T$2)</f>
        <v>1754</v>
      </c>
      <c r="K582" s="35">
        <f t="shared" si="45"/>
        <v>3.1641961231470921</v>
      </c>
      <c r="L582" s="35">
        <f t="shared" si="46"/>
        <v>3.1645569620253164</v>
      </c>
      <c r="M582" s="35">
        <f>8.66*($T$2)</f>
        <v>17.32</v>
      </c>
      <c r="N582" s="35">
        <f>46.9*(5280/3600)</f>
        <v>68.786666666666662</v>
      </c>
      <c r="O582" s="35">
        <f t="shared" si="44"/>
        <v>0.98745724059293039</v>
      </c>
      <c r="P582" s="35">
        <f t="shared" si="43"/>
        <v>54.803876852907635</v>
      </c>
      <c r="Q582" s="35">
        <f>('Batt Capacity and Sys Weight'!$I$4) + (B582*$T$2)</f>
        <v>46.924503000000001</v>
      </c>
      <c r="R582" s="35">
        <f>'Batt Capacity and Sys Weight'!$H$4</f>
        <v>92.5</v>
      </c>
    </row>
    <row r="583" spans="1:18" x14ac:dyDescent="0.3">
      <c r="A583" s="35" t="s">
        <v>97</v>
      </c>
      <c r="B583" s="35">
        <v>9.8800000000000008</v>
      </c>
      <c r="C583" s="35">
        <v>520</v>
      </c>
      <c r="D583" s="35" t="s">
        <v>51</v>
      </c>
      <c r="E583" s="36" t="str" cm="1">
        <f t="array" ref="E583">GetNumber(D583,1)</f>
        <v>15</v>
      </c>
      <c r="F583" s="36" t="str" cm="1">
        <f t="array" ref="F583">GetNumber(D583,2)</f>
        <v>7</v>
      </c>
      <c r="G583" s="35">
        <v>18.5</v>
      </c>
      <c r="H583" s="35">
        <v>8223</v>
      </c>
      <c r="I583" s="35">
        <f>48.38*($T$2)</f>
        <v>96.76</v>
      </c>
      <c r="J583" s="35">
        <f>895*($T$2)</f>
        <v>1790</v>
      </c>
      <c r="K583" s="35">
        <f t="shared" si="45"/>
        <v>3.1005586592178771</v>
      </c>
      <c r="L583" s="35">
        <f t="shared" si="46"/>
        <v>3.1004547333608929</v>
      </c>
      <c r="M583" s="35">
        <f>9.091875*($T$2)</f>
        <v>18.18375</v>
      </c>
      <c r="N583" s="35">
        <f>54.5*(5280/3600)</f>
        <v>79.933333333333323</v>
      </c>
      <c r="O583" s="35">
        <f t="shared" si="44"/>
        <v>1.0158519553072625</v>
      </c>
      <c r="P583" s="35">
        <f t="shared" si="43"/>
        <v>56.379783519553072</v>
      </c>
      <c r="Q583" s="35">
        <f>('Batt Capacity and Sys Weight'!$I$4) + (B583*$T$2)</f>
        <v>46.924503000000001</v>
      </c>
      <c r="R583" s="35">
        <f>'Batt Capacity and Sys Weight'!$H$4</f>
        <v>92.5</v>
      </c>
    </row>
    <row r="584" spans="1:18" x14ac:dyDescent="0.3">
      <c r="A584" s="35" t="s">
        <v>97</v>
      </c>
      <c r="B584" s="35">
        <v>9.8800000000000008</v>
      </c>
      <c r="C584" s="35">
        <v>520</v>
      </c>
      <c r="D584" s="35" t="s">
        <v>54</v>
      </c>
      <c r="E584" s="36" t="str" cm="1">
        <f t="array" ref="E584">GetNumber(D584,1)</f>
        <v>12</v>
      </c>
      <c r="F584" s="36" t="str" cm="1">
        <f t="array" ref="F584">GetNumber(D584,2)</f>
        <v>8</v>
      </c>
      <c r="G584" s="35">
        <v>18.5</v>
      </c>
      <c r="H584" s="35">
        <v>8470</v>
      </c>
      <c r="I584" s="35">
        <f>39.18*($T$2)</f>
        <v>78.36</v>
      </c>
      <c r="J584" s="35">
        <f>724.8*($T$2)</f>
        <v>1449.6</v>
      </c>
      <c r="K584" s="35">
        <f t="shared" si="45"/>
        <v>3.8286423841059603</v>
      </c>
      <c r="L584" s="35">
        <f t="shared" si="46"/>
        <v>3.828483920367534</v>
      </c>
      <c r="M584" s="35">
        <f>7.004375*($T$2)</f>
        <v>14.008749999999999</v>
      </c>
      <c r="N584" s="35">
        <f>64.2*(5280/3600)</f>
        <v>94.16</v>
      </c>
      <c r="O584" s="35">
        <f t="shared" si="44"/>
        <v>0.96638727924944823</v>
      </c>
      <c r="P584" s="35">
        <f t="shared" si="43"/>
        <v>53.634493998344368</v>
      </c>
      <c r="Q584" s="35">
        <f>('Batt Capacity and Sys Weight'!$I$4) + (B584*$T$2)</f>
        <v>46.924503000000001</v>
      </c>
      <c r="R584" s="35">
        <f>'Batt Capacity and Sys Weight'!$H$4</f>
        <v>92.5</v>
      </c>
    </row>
    <row r="585" spans="1:18" x14ac:dyDescent="0.3">
      <c r="A585" s="35" t="s">
        <v>97</v>
      </c>
      <c r="B585" s="35">
        <v>9.8800000000000008</v>
      </c>
      <c r="C585" s="35">
        <v>520</v>
      </c>
      <c r="D585" s="35" t="s">
        <v>25</v>
      </c>
      <c r="E585" s="36" t="str" cm="1">
        <f t="array" ref="E585">GetNumber(D585,1)</f>
        <v>13</v>
      </c>
      <c r="F585" s="36" t="str" cm="1">
        <f t="array" ref="F585">GetNumber(D585,2)</f>
        <v>8</v>
      </c>
      <c r="G585" s="35">
        <v>18.5</v>
      </c>
      <c r="H585" s="35">
        <v>8319</v>
      </c>
      <c r="I585" s="35">
        <f>43.74*($T$2)</f>
        <v>87.48</v>
      </c>
      <c r="J585" s="35">
        <f>809.2*($T$2)</f>
        <v>1618.4</v>
      </c>
      <c r="K585" s="35">
        <f t="shared" si="45"/>
        <v>3.4293129016312407</v>
      </c>
      <c r="L585" s="35">
        <f t="shared" si="46"/>
        <v>3.4293552812071328</v>
      </c>
      <c r="M585" s="35">
        <f>7.746875*($T$2)</f>
        <v>15.49375</v>
      </c>
      <c r="N585" s="35">
        <f>63*(5280/3600)</f>
        <v>92.399999999999991</v>
      </c>
      <c r="O585" s="35">
        <f t="shared" si="44"/>
        <v>0.957349851705388</v>
      </c>
      <c r="P585" s="35">
        <f t="shared" si="43"/>
        <v>53.132916769649036</v>
      </c>
      <c r="Q585" s="35">
        <f>('Batt Capacity and Sys Weight'!$I$4) + (B585*$T$2)</f>
        <v>46.924503000000001</v>
      </c>
      <c r="R585" s="35">
        <f>'Batt Capacity and Sys Weight'!$H$4</f>
        <v>92.5</v>
      </c>
    </row>
    <row r="586" spans="1:18" x14ac:dyDescent="0.3">
      <c r="A586" s="35" t="s">
        <v>97</v>
      </c>
      <c r="B586" s="35">
        <v>9.8800000000000008</v>
      </c>
      <c r="C586" s="35">
        <v>520</v>
      </c>
      <c r="D586" s="35" t="s">
        <v>55</v>
      </c>
      <c r="E586" s="36" t="str" cm="1">
        <f t="array" ref="E586">GetNumber(D586,1)</f>
        <v>10</v>
      </c>
      <c r="F586" s="36" t="str" cm="1">
        <f t="array" ref="F586">GetNumber(D586,2)</f>
        <v>10</v>
      </c>
      <c r="G586" s="35">
        <v>22.2</v>
      </c>
      <c r="H586" s="35">
        <v>10380</v>
      </c>
      <c r="I586" s="35">
        <f>35.95*($T$2)</f>
        <v>71.900000000000006</v>
      </c>
      <c r="J586" s="35">
        <f>798.2*($T$2)</f>
        <v>1596.4</v>
      </c>
      <c r="K586" s="35">
        <f t="shared" si="45"/>
        <v>3.754698070658983</v>
      </c>
      <c r="L586" s="35">
        <f t="shared" si="46"/>
        <v>3.7552155771905422</v>
      </c>
      <c r="M586" s="35">
        <f>3.924375*($T$2)</f>
        <v>7.8487499999999999</v>
      </c>
      <c r="N586" s="35">
        <f>98.3*(5280/3600)</f>
        <v>144.17333333333332</v>
      </c>
      <c r="O586" s="35">
        <f t="shared" si="44"/>
        <v>0.49165309446254069</v>
      </c>
      <c r="P586" s="35">
        <f t="shared" si="43"/>
        <v>29.469686482084693</v>
      </c>
      <c r="Q586" s="35">
        <f>('Batt Capacity and Sys Weight'!$I$5) + (B586*$T$2)</f>
        <v>51.333753000000002</v>
      </c>
      <c r="R586" s="35">
        <f>'Batt Capacity and Sys Weight'!$H$5</f>
        <v>99.9</v>
      </c>
    </row>
    <row r="587" spans="1:18" x14ac:dyDescent="0.3">
      <c r="A587" s="35" t="s">
        <v>97</v>
      </c>
      <c r="B587" s="35">
        <v>9.8800000000000008</v>
      </c>
      <c r="C587" s="35">
        <v>520</v>
      </c>
      <c r="D587" s="35" t="s">
        <v>71</v>
      </c>
      <c r="E587" s="36" t="str" cm="1">
        <f t="array" ref="E587">GetNumber(D587,1)</f>
        <v>11</v>
      </c>
      <c r="F587" s="36" t="str" cm="1">
        <f t="array" ref="F587">GetNumber(D587,2)</f>
        <v>7</v>
      </c>
      <c r="G587" s="35">
        <v>22.2</v>
      </c>
      <c r="H587" s="35">
        <v>10545</v>
      </c>
      <c r="I587" s="35">
        <f>31.35*($T$2)</f>
        <v>62.7</v>
      </c>
      <c r="J587" s="35">
        <f>696*($T$2)</f>
        <v>1392</v>
      </c>
      <c r="K587" s="35">
        <f t="shared" si="45"/>
        <v>4.306034482758621</v>
      </c>
      <c r="L587" s="35">
        <f t="shared" si="46"/>
        <v>4.3062200956937797</v>
      </c>
      <c r="M587" s="35">
        <f>5.910625*($T$2)</f>
        <v>11.821249999999999</v>
      </c>
      <c r="N587" s="35">
        <f>69.9*(5280/3600)</f>
        <v>102.52</v>
      </c>
      <c r="O587" s="35">
        <f t="shared" si="44"/>
        <v>0.84922772988505735</v>
      </c>
      <c r="P587" s="35">
        <f t="shared" si="43"/>
        <v>50.902710129310343</v>
      </c>
      <c r="Q587" s="35">
        <f>('Batt Capacity and Sys Weight'!$I$5) + (B587*$T$2)</f>
        <v>51.333753000000002</v>
      </c>
      <c r="R587" s="35">
        <f>'Batt Capacity and Sys Weight'!$H$5</f>
        <v>99.9</v>
      </c>
    </row>
    <row r="588" spans="1:18" x14ac:dyDescent="0.3">
      <c r="A588" s="35" t="s">
        <v>97</v>
      </c>
      <c r="B588" s="35">
        <v>9.8800000000000008</v>
      </c>
      <c r="C588" s="35">
        <v>520</v>
      </c>
      <c r="D588" s="35" t="s">
        <v>72</v>
      </c>
      <c r="E588" s="36" t="str" cm="1">
        <f t="array" ref="E588">GetNumber(D588,1)</f>
        <v>11</v>
      </c>
      <c r="F588" s="36" t="str" cm="1">
        <f t="array" ref="F588">GetNumber(D588,2)</f>
        <v>8</v>
      </c>
      <c r="G588" s="35">
        <v>22.2</v>
      </c>
      <c r="H588" s="35">
        <v>10413</v>
      </c>
      <c r="I588" s="35">
        <f>34.99*($T$2)</f>
        <v>69.98</v>
      </c>
      <c r="J588" s="35">
        <f>776.7*($T$2)</f>
        <v>1553.4</v>
      </c>
      <c r="K588" s="35">
        <f t="shared" si="45"/>
        <v>3.8586326767091537</v>
      </c>
      <c r="L588" s="35">
        <f t="shared" si="46"/>
        <v>3.8582452129179763</v>
      </c>
      <c r="M588" s="35">
        <f>5.639375*($T$2)</f>
        <v>11.27875</v>
      </c>
      <c r="N588" s="35">
        <f>78.9*(5280/3600)</f>
        <v>115.72</v>
      </c>
      <c r="O588" s="35">
        <f t="shared" si="44"/>
        <v>0.72606862366422042</v>
      </c>
      <c r="P588" s="35">
        <f t="shared" si="43"/>
        <v>43.52055330243337</v>
      </c>
      <c r="Q588" s="35">
        <f>('Batt Capacity and Sys Weight'!$I$5) + (B588*$T$2)</f>
        <v>51.333753000000002</v>
      </c>
      <c r="R588" s="35">
        <f>'Batt Capacity and Sys Weight'!$H$5</f>
        <v>99.9</v>
      </c>
    </row>
    <row r="589" spans="1:18" x14ac:dyDescent="0.3">
      <c r="A589" s="35" t="s">
        <v>97</v>
      </c>
      <c r="B589" s="35">
        <v>9.8800000000000008</v>
      </c>
      <c r="C589" s="35">
        <v>520</v>
      </c>
      <c r="D589" s="35" t="s">
        <v>56</v>
      </c>
      <c r="E589" s="36" t="str" cm="1">
        <f t="array" ref="E589">GetNumber(D589,1)</f>
        <v>11</v>
      </c>
      <c r="F589" s="36" cm="1">
        <f t="array" ref="F589">GetNumber(D589,2)+(GetNumber(D589,3)/10)</f>
        <v>8.5</v>
      </c>
      <c r="G589" s="35">
        <v>22.2</v>
      </c>
      <c r="H589" s="35">
        <v>10318</v>
      </c>
      <c r="I589" s="35">
        <f>37.79*($T$2)</f>
        <v>75.58</v>
      </c>
      <c r="J589" s="35">
        <f>838.9*($T$2)</f>
        <v>1677.8</v>
      </c>
      <c r="K589" s="35">
        <f t="shared" si="45"/>
        <v>3.5725354631064494</v>
      </c>
      <c r="L589" s="35">
        <f t="shared" si="46"/>
        <v>3.5723736438211167</v>
      </c>
      <c r="M589" s="35">
        <f>5.778125*($T$2)</f>
        <v>11.55625</v>
      </c>
      <c r="N589" s="35">
        <f>83.1*(5280/3600)</f>
        <v>121.87999999999998</v>
      </c>
      <c r="O589" s="35">
        <f t="shared" si="44"/>
        <v>0.68877398974848025</v>
      </c>
      <c r="P589" s="35">
        <f t="shared" si="43"/>
        <v>41.285112945523906</v>
      </c>
      <c r="Q589" s="35">
        <f>('Batt Capacity and Sys Weight'!$I$5) + (B589*$T$2)</f>
        <v>51.333753000000002</v>
      </c>
      <c r="R589" s="35">
        <f>'Batt Capacity and Sys Weight'!$H$5</f>
        <v>99.9</v>
      </c>
    </row>
    <row r="590" spans="1:18" x14ac:dyDescent="0.3">
      <c r="A590" s="35" t="s">
        <v>97</v>
      </c>
      <c r="B590" s="35">
        <v>9.8800000000000008</v>
      </c>
      <c r="C590" s="35">
        <v>520</v>
      </c>
      <c r="D590" s="35" t="s">
        <v>57</v>
      </c>
      <c r="E590" s="36" t="str" cm="1">
        <f t="array" ref="E590">GetNumber(D590,1)</f>
        <v>11</v>
      </c>
      <c r="F590" s="36" t="str" cm="1">
        <f t="array" ref="F590">GetNumber(D590,2)</f>
        <v>10</v>
      </c>
      <c r="G590" s="35">
        <v>22.2</v>
      </c>
      <c r="H590" s="35">
        <v>10172</v>
      </c>
      <c r="I590" s="35">
        <f>43.62*($T$2)</f>
        <v>87.24</v>
      </c>
      <c r="J590" s="35">
        <f>968.4*($T$2)</f>
        <v>1936.8</v>
      </c>
      <c r="K590" s="35">
        <f t="shared" si="45"/>
        <v>3.0947955390334578</v>
      </c>
      <c r="L590" s="35">
        <f t="shared" si="46"/>
        <v>3.0949105914718018</v>
      </c>
      <c r="M590" s="35">
        <f>5.38125*($T$2)</f>
        <v>10.762499999999999</v>
      </c>
      <c r="N590" s="35">
        <f>96.3*(5280/3600)</f>
        <v>141.23999999999998</v>
      </c>
      <c r="O590" s="35">
        <f t="shared" si="44"/>
        <v>0.55568463444857497</v>
      </c>
      <c r="P590" s="35">
        <f t="shared" si="43"/>
        <v>33.307736988847587</v>
      </c>
      <c r="Q590" s="35">
        <f>('Batt Capacity and Sys Weight'!$I$5) + (B590*$T$2)</f>
        <v>51.333753000000002</v>
      </c>
      <c r="R590" s="35">
        <f>'Batt Capacity and Sys Weight'!$H$5</f>
        <v>99.9</v>
      </c>
    </row>
    <row r="591" spans="1:18" x14ac:dyDescent="0.3">
      <c r="A591" s="35" t="s">
        <v>97</v>
      </c>
      <c r="B591" s="35">
        <v>9.8800000000000008</v>
      </c>
      <c r="C591" s="35">
        <v>520</v>
      </c>
      <c r="D591" s="35" t="s">
        <v>58</v>
      </c>
      <c r="E591" s="36" t="str" cm="1">
        <f t="array" ref="E591">GetNumber(D591,1)</f>
        <v>12</v>
      </c>
      <c r="F591" s="36" t="str" cm="1">
        <f t="array" ref="F591">GetNumber(D591,2)</f>
        <v>6</v>
      </c>
      <c r="G591" s="35">
        <v>22.2</v>
      </c>
      <c r="H591" s="35">
        <v>10384</v>
      </c>
      <c r="I591" s="35">
        <f>35.78*($T$2)</f>
        <v>71.56</v>
      </c>
      <c r="J591" s="35">
        <f>794.2*($T$2)</f>
        <v>1588.4</v>
      </c>
      <c r="K591" s="35">
        <f t="shared" si="45"/>
        <v>3.7736086628053385</v>
      </c>
      <c r="L591" s="35">
        <f t="shared" si="46"/>
        <v>3.7730575740637224</v>
      </c>
      <c r="M591" s="35">
        <f>7.15625*($T$2)</f>
        <v>14.3125</v>
      </c>
      <c r="N591" s="35">
        <f>59*(5280/3600)</f>
        <v>86.533333333333331</v>
      </c>
      <c r="O591" s="35">
        <f t="shared" si="44"/>
        <v>0.90106396373709385</v>
      </c>
      <c r="P591" s="35">
        <f t="shared" si="43"/>
        <v>54.009773986401406</v>
      </c>
      <c r="Q591" s="35">
        <f>('Batt Capacity and Sys Weight'!$I$5) + (B591*$T$2)</f>
        <v>51.333753000000002</v>
      </c>
      <c r="R591" s="35">
        <f>'Batt Capacity and Sys Weight'!$H$5</f>
        <v>99.9</v>
      </c>
    </row>
    <row r="592" spans="1:18" x14ac:dyDescent="0.3">
      <c r="A592" s="35" t="s">
        <v>97</v>
      </c>
      <c r="B592" s="35">
        <v>9.8800000000000008</v>
      </c>
      <c r="C592" s="35">
        <v>520</v>
      </c>
      <c r="D592" s="35" t="s">
        <v>32</v>
      </c>
      <c r="E592" s="36" t="str" cm="1">
        <f t="array" ref="E592">GetNumber(D592,1)</f>
        <v>12</v>
      </c>
      <c r="F592" s="36" t="str" cm="1">
        <f t="array" ref="F592">GetNumber(D592,2)</f>
        <v>8</v>
      </c>
      <c r="G592" s="35">
        <v>22.2</v>
      </c>
      <c r="H592" s="35">
        <v>10130</v>
      </c>
      <c r="I592" s="35">
        <f>44.83*($T$2)</f>
        <v>89.66</v>
      </c>
      <c r="J592" s="35">
        <f>995.2*($T$2)</f>
        <v>1990.4</v>
      </c>
      <c r="K592" s="35">
        <f t="shared" si="45"/>
        <v>3.0114549839228295</v>
      </c>
      <c r="L592" s="35">
        <f t="shared" si="46"/>
        <v>3.0113763105063573</v>
      </c>
      <c r="M592" s="35">
        <f>6.57625*($T$2)</f>
        <v>13.1525</v>
      </c>
      <c r="N592" s="35">
        <f>76.7*(5280/3600)</f>
        <v>112.49333333333333</v>
      </c>
      <c r="O592" s="35">
        <f t="shared" si="44"/>
        <v>0.66079682475884238</v>
      </c>
      <c r="P592" s="35">
        <f t="shared" si="43"/>
        <v>39.608161676045015</v>
      </c>
      <c r="Q592" s="35">
        <f>('Batt Capacity and Sys Weight'!$I$5) + (B592*$T$2)</f>
        <v>51.333753000000002</v>
      </c>
      <c r="R592" s="35">
        <f>'Batt Capacity and Sys Weight'!$H$5</f>
        <v>99.9</v>
      </c>
    </row>
    <row r="593" spans="1:18" x14ac:dyDescent="0.3">
      <c r="A593" s="35" t="s">
        <v>97</v>
      </c>
      <c r="B593" s="35">
        <v>9.8800000000000008</v>
      </c>
      <c r="C593" s="35">
        <v>520</v>
      </c>
      <c r="D593" s="35" t="s">
        <v>59</v>
      </c>
      <c r="E593" s="36" t="str" cm="1">
        <f t="array" ref="E593">GetNumber(D593,1)</f>
        <v>13</v>
      </c>
      <c r="F593" s="36" cm="1">
        <f t="array" ref="F593">GetNumber(D593,2)+(GetNumber(D593,3)/10)</f>
        <v>5.5</v>
      </c>
      <c r="G593" s="35">
        <v>22.2</v>
      </c>
      <c r="H593" s="35">
        <v>10300</v>
      </c>
      <c r="I593" s="35">
        <f>37.82*($T$2)</f>
        <v>75.64</v>
      </c>
      <c r="J593" s="35">
        <f>839.6*($T$2)</f>
        <v>1679.2</v>
      </c>
      <c r="K593" s="35">
        <f t="shared" si="45"/>
        <v>3.5695569318723201</v>
      </c>
      <c r="L593" s="35">
        <f t="shared" si="46"/>
        <v>3.5695399259650977</v>
      </c>
      <c r="M593" s="35">
        <f>8.170625*($T$2)</f>
        <v>16.341249999999999</v>
      </c>
      <c r="N593" s="35">
        <f>53.6*(5280/3600)</f>
        <v>78.61333333333333</v>
      </c>
      <c r="O593" s="35">
        <f t="shared" si="44"/>
        <v>0.97315686040971883</v>
      </c>
      <c r="P593" s="35">
        <f t="shared" ref="P593:P656" si="47">M593*K593</f>
        <v>58.331022212958544</v>
      </c>
      <c r="Q593" s="35">
        <f>('Batt Capacity and Sys Weight'!$I$5) + (B593*$T$2)</f>
        <v>51.333753000000002</v>
      </c>
      <c r="R593" s="35">
        <f>'Batt Capacity and Sys Weight'!$H$5</f>
        <v>99.9</v>
      </c>
    </row>
    <row r="594" spans="1:18" x14ac:dyDescent="0.3">
      <c r="A594" s="35" t="s">
        <v>97</v>
      </c>
      <c r="B594" s="35">
        <v>9.8800000000000008</v>
      </c>
      <c r="C594" s="35">
        <v>520</v>
      </c>
      <c r="D594" s="35" t="s">
        <v>38</v>
      </c>
      <c r="E594" s="36" t="str" cm="1">
        <f t="array" ref="E594">GetNumber(D594,1)</f>
        <v>14</v>
      </c>
      <c r="F594" s="36" t="str" cm="1">
        <f t="array" ref="F594">GetNumber(D594,2)</f>
        <v>6</v>
      </c>
      <c r="G594" s="35">
        <v>22.2</v>
      </c>
      <c r="H594" s="35">
        <v>10030</v>
      </c>
      <c r="I594" s="35">
        <f>46.44*($T$2)</f>
        <v>92.88</v>
      </c>
      <c r="J594" s="35">
        <f>1031*($T$2)</f>
        <v>2062</v>
      </c>
      <c r="K594" s="35">
        <f t="shared" si="45"/>
        <v>2.906886517943744</v>
      </c>
      <c r="L594" s="35">
        <f t="shared" si="46"/>
        <v>2.9069767441860468</v>
      </c>
      <c r="M594" s="35">
        <f>9.7575*($T$2)</f>
        <v>19.515000000000001</v>
      </c>
      <c r="N594" s="35">
        <f>57*(5280/3600)</f>
        <v>83.6</v>
      </c>
      <c r="O594" s="35">
        <f t="shared" si="44"/>
        <v>0.94641125121241521</v>
      </c>
      <c r="P594" s="35">
        <f t="shared" si="47"/>
        <v>56.727890397672162</v>
      </c>
      <c r="Q594" s="35">
        <f>('Batt Capacity and Sys Weight'!$I$5) + (B594*$T$2)</f>
        <v>51.333753000000002</v>
      </c>
      <c r="R594" s="35">
        <f>'Batt Capacity and Sys Weight'!$H$5</f>
        <v>99.9</v>
      </c>
    </row>
    <row r="595" spans="1:18" x14ac:dyDescent="0.3">
      <c r="A595" s="35" t="s">
        <v>97</v>
      </c>
      <c r="B595" s="35">
        <v>9.8800000000000008</v>
      </c>
      <c r="C595" s="35">
        <v>520</v>
      </c>
      <c r="D595" s="35" t="s">
        <v>61</v>
      </c>
      <c r="E595" s="36" t="str" cm="1">
        <f t="array" ref="E595">GetNumber(D595,1)</f>
        <v>11</v>
      </c>
      <c r="F595" s="36" t="str" cm="1">
        <f t="array" ref="F595">GetNumber(D595,2)</f>
        <v>8</v>
      </c>
      <c r="G595" s="35">
        <v>22.2</v>
      </c>
      <c r="H595" s="35">
        <v>10475</v>
      </c>
      <c r="I595" s="35">
        <f>33.28*($T$2)</f>
        <v>66.56</v>
      </c>
      <c r="J595" s="35">
        <f>738.8*($T$2)</f>
        <v>1477.6</v>
      </c>
      <c r="K595" s="35">
        <f t="shared" si="45"/>
        <v>4.0565782349756363</v>
      </c>
      <c r="L595" s="35">
        <f t="shared" si="46"/>
        <v>4.0564903846153841</v>
      </c>
      <c r="M595" s="35">
        <f>4.594375*($T$2)</f>
        <v>9.1887500000000006</v>
      </c>
      <c r="N595" s="35">
        <f>79.4*(5280/3600)</f>
        <v>116.45333333333333</v>
      </c>
      <c r="O595" s="35">
        <f t="shared" si="44"/>
        <v>0.62186992420140774</v>
      </c>
      <c r="P595" s="35">
        <f t="shared" si="47"/>
        <v>37.274883256632378</v>
      </c>
      <c r="Q595" s="35">
        <f>('Batt Capacity and Sys Weight'!$I$5) + (B595*$T$2)</f>
        <v>51.333753000000002</v>
      </c>
      <c r="R595" s="35">
        <f>'Batt Capacity and Sys Weight'!$H$5</f>
        <v>99.9</v>
      </c>
    </row>
    <row r="596" spans="1:18" x14ac:dyDescent="0.3">
      <c r="A596" s="35" t="s">
        <v>97</v>
      </c>
      <c r="B596" s="35">
        <v>9.8800000000000008</v>
      </c>
      <c r="C596" s="35">
        <v>520</v>
      </c>
      <c r="D596" s="35" t="s">
        <v>62</v>
      </c>
      <c r="E596" s="36" t="str" cm="1">
        <f t="array" ref="E596">GetNumber(D596,1)</f>
        <v>12</v>
      </c>
      <c r="F596" s="36" t="str" cm="1">
        <f t="array" ref="F596">GetNumber(D596,2)</f>
        <v>6</v>
      </c>
      <c r="G596" s="35">
        <v>22.2</v>
      </c>
      <c r="H596" s="35">
        <v>10561</v>
      </c>
      <c r="I596" s="35">
        <f>31.05*($T$2)</f>
        <v>62.1</v>
      </c>
      <c r="J596" s="35">
        <f>689.3*($T$2)</f>
        <v>1378.6</v>
      </c>
      <c r="K596" s="35">
        <f t="shared" si="45"/>
        <v>4.3478891629189036</v>
      </c>
      <c r="L596" s="35">
        <f t="shared" si="46"/>
        <v>4.3478260869565215</v>
      </c>
      <c r="M596" s="35">
        <f>6.098125*($T$2)</f>
        <v>12.196249999999999</v>
      </c>
      <c r="N596" s="35">
        <f>60*(5280/3600)</f>
        <v>88</v>
      </c>
      <c r="O596" s="35">
        <f t="shared" si="44"/>
        <v>0.88468373712461912</v>
      </c>
      <c r="P596" s="35">
        <f t="shared" si="47"/>
        <v>53.027943203249677</v>
      </c>
      <c r="Q596" s="35">
        <f>('Batt Capacity and Sys Weight'!$I$5) + (B596*$T$2)</f>
        <v>51.333753000000002</v>
      </c>
      <c r="R596" s="35">
        <f>'Batt Capacity and Sys Weight'!$H$5</f>
        <v>99.9</v>
      </c>
    </row>
    <row r="597" spans="1:18" x14ac:dyDescent="0.3">
      <c r="A597" s="35" t="s">
        <v>97</v>
      </c>
      <c r="B597" s="35">
        <v>9.8800000000000008</v>
      </c>
      <c r="C597" s="35">
        <v>520</v>
      </c>
      <c r="D597" s="35" t="s">
        <v>63</v>
      </c>
      <c r="E597" s="36" t="str" cm="1">
        <f t="array" ref="E597">GetNumber(D597,1)</f>
        <v>12</v>
      </c>
      <c r="F597" s="36" t="str" cm="1">
        <f t="array" ref="F597">GetNumber(D597,2)</f>
        <v>7</v>
      </c>
      <c r="G597" s="35">
        <v>22.2</v>
      </c>
      <c r="H597" s="35">
        <v>10311</v>
      </c>
      <c r="I597" s="35">
        <f>37.96*($T$2)</f>
        <v>75.92</v>
      </c>
      <c r="J597" s="35">
        <f>842.8*($T$2)</f>
        <v>1685.6</v>
      </c>
      <c r="K597" s="35">
        <f t="shared" si="45"/>
        <v>3.5560037968675848</v>
      </c>
      <c r="L597" s="35">
        <f t="shared" si="46"/>
        <v>3.5563751317175973</v>
      </c>
      <c r="M597" s="35">
        <f>6.42625*($T$2)</f>
        <v>12.852499999999999</v>
      </c>
      <c r="N597" s="35">
        <f>68.3*(5280/3600)</f>
        <v>100.17333333333332</v>
      </c>
      <c r="O597" s="35">
        <f t="shared" si="44"/>
        <v>0.76248813478879929</v>
      </c>
      <c r="P597" s="35">
        <f t="shared" si="47"/>
        <v>45.703538799240633</v>
      </c>
      <c r="Q597" s="35">
        <f>('Batt Capacity and Sys Weight'!$I$5) + (B597*$T$2)</f>
        <v>51.333753000000002</v>
      </c>
      <c r="R597" s="35">
        <f>'Batt Capacity and Sys Weight'!$H$5</f>
        <v>99.9</v>
      </c>
    </row>
    <row r="598" spans="1:18" x14ac:dyDescent="0.3">
      <c r="A598" s="35" t="s">
        <v>97</v>
      </c>
      <c r="B598" s="35">
        <v>9.8800000000000008</v>
      </c>
      <c r="C598" s="35">
        <v>520</v>
      </c>
      <c r="D598" s="35" t="s">
        <v>64</v>
      </c>
      <c r="E598" s="36" t="str" cm="1">
        <f t="array" ref="E598">GetNumber(D598,1)</f>
        <v>12</v>
      </c>
      <c r="F598" s="36" t="str" cm="1">
        <f t="array" ref="F598">GetNumber(D598,2)</f>
        <v>8</v>
      </c>
      <c r="G598" s="35">
        <v>22.2</v>
      </c>
      <c r="H598" s="35">
        <v>10083</v>
      </c>
      <c r="I598" s="35">
        <f>44.99*($T$2)</f>
        <v>89.98</v>
      </c>
      <c r="J598" s="35">
        <f>998.7*($T$2)</f>
        <v>1997.4</v>
      </c>
      <c r="K598" s="35">
        <f t="shared" si="45"/>
        <v>3.0009011715229801</v>
      </c>
      <c r="L598" s="35">
        <f t="shared" si="46"/>
        <v>3.0006668148477438</v>
      </c>
      <c r="M598" s="35">
        <f>5.86875*($T$2)</f>
        <v>11.737500000000001</v>
      </c>
      <c r="N598" s="35">
        <f>76.4*(5280/3600)</f>
        <v>112.05333333333333</v>
      </c>
      <c r="O598" s="35">
        <f t="shared" si="44"/>
        <v>0.58763893060979278</v>
      </c>
      <c r="P598" s="35">
        <f t="shared" si="47"/>
        <v>35.223077500750982</v>
      </c>
      <c r="Q598" s="35">
        <f>('Batt Capacity and Sys Weight'!$I$5) + (B598*$T$2)</f>
        <v>51.333753000000002</v>
      </c>
      <c r="R598" s="35">
        <f>'Batt Capacity and Sys Weight'!$H$5</f>
        <v>99.9</v>
      </c>
    </row>
    <row r="599" spans="1:18" x14ac:dyDescent="0.3">
      <c r="A599" s="35" t="s">
        <v>97</v>
      </c>
      <c r="B599" s="35">
        <v>9.8800000000000008</v>
      </c>
      <c r="C599" s="35">
        <v>520</v>
      </c>
      <c r="D599" s="35" t="s">
        <v>65</v>
      </c>
      <c r="E599" s="36" t="str" cm="1">
        <f t="array" ref="E599">GetNumber(D599,1)</f>
        <v>13</v>
      </c>
      <c r="F599" s="36" t="str" cm="1">
        <f t="array" ref="F599">GetNumber(D599,2)</f>
        <v>6</v>
      </c>
      <c r="G599" s="35">
        <v>22.2</v>
      </c>
      <c r="H599" s="35">
        <v>10325</v>
      </c>
      <c r="I599" s="35">
        <f>37.74*($T$2)</f>
        <v>75.48</v>
      </c>
      <c r="J599" s="35">
        <f>837.8*($T$2)</f>
        <v>1675.6</v>
      </c>
      <c r="K599" s="35">
        <f t="shared" si="45"/>
        <v>3.5772260682740513</v>
      </c>
      <c r="L599" s="35">
        <f t="shared" si="46"/>
        <v>3.5771065182829886</v>
      </c>
      <c r="M599" s="35">
        <f>7.738125*($T$2)</f>
        <v>15.47625</v>
      </c>
      <c r="N599" s="35">
        <f>58.7*(5280/3600)</f>
        <v>86.093333333333334</v>
      </c>
      <c r="O599" s="35">
        <f t="shared" si="44"/>
        <v>0.92362437335879699</v>
      </c>
      <c r="P599" s="35">
        <f t="shared" si="47"/>
        <v>55.362044939126285</v>
      </c>
      <c r="Q599" s="35">
        <f>('Batt Capacity and Sys Weight'!$I$5) + (B599*$T$2)</f>
        <v>51.333753000000002</v>
      </c>
      <c r="R599" s="35">
        <f>'Batt Capacity and Sys Weight'!$H$5</f>
        <v>99.9</v>
      </c>
    </row>
    <row r="600" spans="1:18" x14ac:dyDescent="0.3">
      <c r="A600" s="35" t="s">
        <v>97</v>
      </c>
      <c r="B600" s="35">
        <v>9.8800000000000008</v>
      </c>
      <c r="C600" s="35">
        <v>520</v>
      </c>
      <c r="D600" s="35" t="s">
        <v>81</v>
      </c>
      <c r="E600" s="36" t="str" cm="1">
        <f t="array" ref="E600">GetNumber(D600,1)</f>
        <v>11</v>
      </c>
      <c r="F600" s="36" t="str" cm="1">
        <f t="array" ref="F600">GetNumber(D600,2)</f>
        <v>7</v>
      </c>
      <c r="G600" s="35">
        <v>22.2</v>
      </c>
      <c r="H600" s="35">
        <v>10503</v>
      </c>
      <c r="I600" s="35">
        <f>32.42*($T$2)</f>
        <v>64.84</v>
      </c>
      <c r="J600" s="35">
        <f>719.7*($T$2)</f>
        <v>1439.4</v>
      </c>
      <c r="K600" s="35">
        <f t="shared" si="45"/>
        <v>4.1642350979574818</v>
      </c>
      <c r="L600" s="35">
        <f t="shared" si="46"/>
        <v>4.1640962368908081</v>
      </c>
      <c r="M600" s="35">
        <f>6.349375*($T$2)</f>
        <v>12.69875</v>
      </c>
      <c r="N600" s="35">
        <f>69.6*(5280/3600)</f>
        <v>102.07999999999998</v>
      </c>
      <c r="O600" s="35">
        <f t="shared" si="44"/>
        <v>0.88222523273586217</v>
      </c>
      <c r="P600" s="35">
        <f t="shared" si="47"/>
        <v>52.880580450187573</v>
      </c>
      <c r="Q600" s="35">
        <f>('Batt Capacity and Sys Weight'!$I$5) + (B600*$T$2)</f>
        <v>51.333753000000002</v>
      </c>
      <c r="R600" s="35">
        <f>'Batt Capacity and Sys Weight'!$H$5</f>
        <v>99.9</v>
      </c>
    </row>
    <row r="601" spans="1:18" x14ac:dyDescent="0.3">
      <c r="A601" s="35" t="s">
        <v>97</v>
      </c>
      <c r="B601" s="35">
        <v>9.8800000000000008</v>
      </c>
      <c r="C601" s="35">
        <v>520</v>
      </c>
      <c r="D601" s="35" t="s">
        <v>66</v>
      </c>
      <c r="E601" s="36" t="str" cm="1">
        <f t="array" ref="E601">GetNumber(D601,1)</f>
        <v>11</v>
      </c>
      <c r="F601" s="36" t="str" cm="1">
        <f t="array" ref="F601">GetNumber(D601,2)</f>
        <v>8</v>
      </c>
      <c r="G601" s="35">
        <v>22.2</v>
      </c>
      <c r="H601" s="35">
        <v>10406</v>
      </c>
      <c r="I601" s="35">
        <f>35.42*($T$2)</f>
        <v>70.84</v>
      </c>
      <c r="J601" s="35">
        <f>786.2*($T$2)</f>
        <v>1572.4</v>
      </c>
      <c r="K601" s="35">
        <f t="shared" si="45"/>
        <v>3.8120071228694989</v>
      </c>
      <c r="L601" s="35">
        <f t="shared" si="46"/>
        <v>3.8114059853190287</v>
      </c>
      <c r="M601" s="35">
        <f>6.675625*($T$2)</f>
        <v>13.35125</v>
      </c>
      <c r="N601" s="35">
        <f>78.8*(5280/3600)</f>
        <v>115.57333333333332</v>
      </c>
      <c r="O601" s="35">
        <f t="shared" si="44"/>
        <v>0.8491001017552785</v>
      </c>
      <c r="P601" s="35">
        <f t="shared" si="47"/>
        <v>50.895060099211399</v>
      </c>
      <c r="Q601" s="35">
        <f>('Batt Capacity and Sys Weight'!$I$5) + (B601*$T$2)</f>
        <v>51.333753000000002</v>
      </c>
      <c r="R601" s="35">
        <f>'Batt Capacity and Sys Weight'!$H$5</f>
        <v>99.9</v>
      </c>
    </row>
    <row r="602" spans="1:18" x14ac:dyDescent="0.3">
      <c r="A602" s="35" t="s">
        <v>97</v>
      </c>
      <c r="B602" s="35">
        <v>9.8800000000000008</v>
      </c>
      <c r="C602" s="35">
        <v>520</v>
      </c>
      <c r="D602" s="35" t="s">
        <v>53</v>
      </c>
      <c r="E602" s="36" t="str" cm="1">
        <f t="array" ref="E602">GetNumber(D602,1)</f>
        <v>12</v>
      </c>
      <c r="F602" s="36" t="str" cm="1">
        <f t="array" ref="F602">GetNumber(D602,2)</f>
        <v>6</v>
      </c>
      <c r="G602" s="35">
        <v>22.2</v>
      </c>
      <c r="H602" s="35">
        <v>10343</v>
      </c>
      <c r="I602" s="35">
        <f>37.12*($T$2)</f>
        <v>74.239999999999995</v>
      </c>
      <c r="J602" s="35">
        <f>824*($T$2)</f>
        <v>1648</v>
      </c>
      <c r="K602" s="35">
        <f t="shared" si="45"/>
        <v>3.6371359223300974</v>
      </c>
      <c r="L602" s="35">
        <f t="shared" si="46"/>
        <v>3.6368534482758621</v>
      </c>
      <c r="M602" s="35">
        <f>7.51125*($T$2)</f>
        <v>15.022500000000001</v>
      </c>
      <c r="N602" s="35">
        <f>58.8*(5280/3600)</f>
        <v>86.24</v>
      </c>
      <c r="O602" s="35">
        <f t="shared" si="44"/>
        <v>0.91155946601941751</v>
      </c>
      <c r="P602" s="35">
        <f t="shared" si="47"/>
        <v>54.638874393203892</v>
      </c>
      <c r="Q602" s="35">
        <f>('Batt Capacity and Sys Weight'!$I$5) + (B602*$T$2)</f>
        <v>51.333753000000002</v>
      </c>
      <c r="R602" s="35">
        <f>'Batt Capacity and Sys Weight'!$H$5</f>
        <v>99.9</v>
      </c>
    </row>
    <row r="603" spans="1:18" x14ac:dyDescent="0.3">
      <c r="A603" s="35" t="s">
        <v>97</v>
      </c>
      <c r="B603" s="35">
        <v>9.8800000000000008</v>
      </c>
      <c r="C603" s="35">
        <v>520</v>
      </c>
      <c r="D603" s="35" t="s">
        <v>67</v>
      </c>
      <c r="E603" s="36" t="str" cm="1">
        <f t="array" ref="E603">GetNumber(D603,1)</f>
        <v>10</v>
      </c>
      <c r="F603" s="36" t="str" cm="1">
        <f t="array" ref="F603">GetNumber(D603,2)</f>
        <v>6</v>
      </c>
      <c r="G603" s="35">
        <v>29.6</v>
      </c>
      <c r="H603" s="35">
        <v>14090</v>
      </c>
      <c r="I603" s="35">
        <f>34.65*($T$2)</f>
        <v>69.3</v>
      </c>
      <c r="J603" s="35">
        <f>1025.7*($T$2)</f>
        <v>2051.4</v>
      </c>
      <c r="K603" s="35">
        <f t="shared" si="45"/>
        <v>2.9248318221702254</v>
      </c>
      <c r="L603" s="35">
        <f t="shared" si="46"/>
        <v>2.925002925002925</v>
      </c>
      <c r="M603" s="35">
        <f>6.40875*($T$2)</f>
        <v>12.817500000000001</v>
      </c>
      <c r="N603" s="35">
        <f>80.1*(5280/3600)</f>
        <v>117.47999999999999</v>
      </c>
      <c r="O603" s="35">
        <f t="shared" si="44"/>
        <v>0.62481719801111435</v>
      </c>
      <c r="P603" s="35">
        <f t="shared" si="47"/>
        <v>37.489031880666865</v>
      </c>
      <c r="Q603" s="35">
        <v>0</v>
      </c>
      <c r="R603" s="35">
        <f t="shared" ref="R603:R613" si="48">$T$1</f>
        <v>100</v>
      </c>
    </row>
    <row r="604" spans="1:18" x14ac:dyDescent="0.3">
      <c r="A604" s="35" t="s">
        <v>97</v>
      </c>
      <c r="B604" s="35">
        <v>9.8800000000000008</v>
      </c>
      <c r="C604" s="35">
        <v>520</v>
      </c>
      <c r="D604" s="35" t="s">
        <v>68</v>
      </c>
      <c r="E604" s="36" t="str" cm="1">
        <f t="array" ref="E604">GetNumber(D604,1)</f>
        <v>10</v>
      </c>
      <c r="F604" s="36" t="str" cm="1">
        <f t="array" ref="F604">GetNumber(D604,2)</f>
        <v>7</v>
      </c>
      <c r="G604" s="35">
        <v>29.6</v>
      </c>
      <c r="H604" s="35">
        <v>13821</v>
      </c>
      <c r="I604" s="35">
        <f>41.41*($T$2)</f>
        <v>82.82</v>
      </c>
      <c r="J604" s="35">
        <f>1225.8*($T$2)</f>
        <v>2451.6</v>
      </c>
      <c r="K604" s="35">
        <f t="shared" si="45"/>
        <v>2.4473813020068529</v>
      </c>
      <c r="L604" s="35">
        <f t="shared" si="46"/>
        <v>2.4475090884170818</v>
      </c>
      <c r="M604" s="35">
        <f>6.9225*($T$2)</f>
        <v>13.845000000000001</v>
      </c>
      <c r="N604" s="35">
        <f>91.6*(5280/3600)</f>
        <v>134.34666666666664</v>
      </c>
      <c r="O604" s="35">
        <f t="shared" si="44"/>
        <v>0.56473323543808129</v>
      </c>
      <c r="P604" s="35">
        <f t="shared" si="47"/>
        <v>33.883994126284882</v>
      </c>
      <c r="Q604" s="35">
        <v>0</v>
      </c>
      <c r="R604" s="35">
        <f t="shared" si="48"/>
        <v>100</v>
      </c>
    </row>
    <row r="605" spans="1:18" x14ac:dyDescent="0.3">
      <c r="A605" s="35" t="s">
        <v>97</v>
      </c>
      <c r="B605" s="35">
        <v>9.8800000000000008</v>
      </c>
      <c r="C605" s="35">
        <v>520</v>
      </c>
      <c r="D605" s="35" t="s">
        <v>69</v>
      </c>
      <c r="E605" s="36" t="str" cm="1">
        <f t="array" ref="E605">GetNumber(D605,1)</f>
        <v>10</v>
      </c>
      <c r="F605" s="36" t="str" cm="1">
        <f t="array" ref="F605">GetNumber(D605,2)</f>
        <v>8</v>
      </c>
      <c r="G605" s="35">
        <v>29.6</v>
      </c>
      <c r="H605" s="35">
        <v>13645</v>
      </c>
      <c r="I605" s="35">
        <f>48.2*($T$2)</f>
        <v>96.4</v>
      </c>
      <c r="J605" s="35">
        <f>1426.7*($T$2)</f>
        <v>2853.4</v>
      </c>
      <c r="K605" s="35">
        <f t="shared" si="45"/>
        <v>2.1027546085371838</v>
      </c>
      <c r="L605" s="35">
        <f t="shared" si="46"/>
        <v>2.1027251317707742</v>
      </c>
      <c r="M605" s="35">
        <f>6.72*($T$2)</f>
        <v>13.44</v>
      </c>
      <c r="N605" s="35">
        <f>103.4*(5280/3600)</f>
        <v>151.65333333333334</v>
      </c>
      <c r="O605" s="35">
        <f t="shared" si="44"/>
        <v>0.47101703231232905</v>
      </c>
      <c r="P605" s="35">
        <f t="shared" si="47"/>
        <v>28.261021938739749</v>
      </c>
      <c r="Q605" s="35">
        <v>0</v>
      </c>
      <c r="R605" s="35">
        <f t="shared" si="48"/>
        <v>100</v>
      </c>
    </row>
    <row r="606" spans="1:18" x14ac:dyDescent="0.3">
      <c r="A606" s="35" t="s">
        <v>97</v>
      </c>
      <c r="B606" s="35">
        <v>9.8800000000000008</v>
      </c>
      <c r="C606" s="35">
        <v>520</v>
      </c>
      <c r="D606" s="35" t="s">
        <v>73</v>
      </c>
      <c r="E606" s="36" t="str" cm="1">
        <f t="array" ref="E606">GetNumber(D606,1)</f>
        <v>10</v>
      </c>
      <c r="F606" s="36" t="str" cm="1">
        <f t="array" ref="F606">GetNumber(D606,2)</f>
        <v>6</v>
      </c>
      <c r="G606" s="35">
        <v>29.6</v>
      </c>
      <c r="H606" s="35">
        <v>14090</v>
      </c>
      <c r="I606" s="35">
        <f>34.86*($T$2)</f>
        <v>69.72</v>
      </c>
      <c r="J606" s="35">
        <f>1031.9*($T$2)</f>
        <v>2063.8000000000002</v>
      </c>
      <c r="K606" s="35">
        <f t="shared" si="45"/>
        <v>2.9072584552766738</v>
      </c>
      <c r="L606" s="35">
        <f t="shared" si="46"/>
        <v>2.9073824254547143</v>
      </c>
      <c r="M606" s="35">
        <f>5.615*($T$2)</f>
        <v>11.23</v>
      </c>
      <c r="N606" s="35">
        <f>80.1*(5280/3600)</f>
        <v>117.47999999999999</v>
      </c>
      <c r="O606" s="35">
        <f t="shared" si="44"/>
        <v>0.5441418742126175</v>
      </c>
      <c r="P606" s="35">
        <f t="shared" si="47"/>
        <v>32.648512452757046</v>
      </c>
      <c r="Q606" s="35">
        <v>0</v>
      </c>
      <c r="R606" s="35">
        <f t="shared" si="48"/>
        <v>100</v>
      </c>
    </row>
    <row r="607" spans="1:18" x14ac:dyDescent="0.3">
      <c r="A607" s="35" t="s">
        <v>97</v>
      </c>
      <c r="B607" s="35">
        <v>9.8800000000000008</v>
      </c>
      <c r="C607" s="35">
        <v>520</v>
      </c>
      <c r="D607" s="35" t="s">
        <v>74</v>
      </c>
      <c r="E607" s="36" t="str" cm="1">
        <f t="array" ref="E607">GetNumber(D607,1)</f>
        <v>10</v>
      </c>
      <c r="F607" s="36" t="str" cm="1">
        <f t="array" ref="F607">GetNumber(D607,2)</f>
        <v>7</v>
      </c>
      <c r="G607" s="35">
        <v>29.6</v>
      </c>
      <c r="H607" s="35">
        <v>13975</v>
      </c>
      <c r="I607" s="35">
        <f>37.96*($T$2)</f>
        <v>75.92</v>
      </c>
      <c r="J607" s="35">
        <f>1123.5*($T$2)</f>
        <v>2247</v>
      </c>
      <c r="K607" s="35">
        <f t="shared" si="45"/>
        <v>2.6702269692923899</v>
      </c>
      <c r="L607" s="35">
        <f t="shared" si="46"/>
        <v>2.669951300088286</v>
      </c>
      <c r="M607" s="35">
        <f>5.451875*($T$2)</f>
        <v>10.90375</v>
      </c>
      <c r="N607" s="35">
        <f>92.6*(5280/3600)</f>
        <v>135.8133333333333</v>
      </c>
      <c r="O607" s="35">
        <f t="shared" si="44"/>
        <v>0.48525812194036499</v>
      </c>
      <c r="P607" s="35">
        <f t="shared" si="47"/>
        <v>29.115487316421898</v>
      </c>
      <c r="Q607" s="35">
        <v>0</v>
      </c>
      <c r="R607" s="35">
        <f t="shared" si="48"/>
        <v>100</v>
      </c>
    </row>
    <row r="608" spans="1:18" x14ac:dyDescent="0.3">
      <c r="A608" s="35" t="s">
        <v>97</v>
      </c>
      <c r="B608" s="35">
        <v>9.8800000000000008</v>
      </c>
      <c r="C608" s="35">
        <v>520</v>
      </c>
      <c r="D608" s="35" t="s">
        <v>75</v>
      </c>
      <c r="E608" s="36" t="str" cm="1">
        <f t="array" ref="E608">GetNumber(D608,1)</f>
        <v>10</v>
      </c>
      <c r="F608" s="36" t="str" cm="1">
        <f t="array" ref="F608">GetNumber(D608,2)</f>
        <v>8</v>
      </c>
      <c r="G608" s="35">
        <v>29.6</v>
      </c>
      <c r="H608" s="35">
        <v>13794</v>
      </c>
      <c r="I608" s="35">
        <f>42.89*($T$2)</f>
        <v>85.78</v>
      </c>
      <c r="J608" s="35">
        <f>1269.6*($T$2)</f>
        <v>2539.1999999999998</v>
      </c>
      <c r="K608" s="35">
        <f t="shared" si="45"/>
        <v>2.3629489603024578</v>
      </c>
      <c r="L608" s="35">
        <f t="shared" si="46"/>
        <v>2.3630531907519545</v>
      </c>
      <c r="M608" s="35">
        <f>6.104375*($T$2)</f>
        <v>12.20875</v>
      </c>
      <c r="N608" s="35">
        <f>104.5*(5280/3600)</f>
        <v>153.26666666666665</v>
      </c>
      <c r="O608" s="35">
        <f t="shared" si="44"/>
        <v>0.48081088531821048</v>
      </c>
      <c r="P608" s="35">
        <f t="shared" si="47"/>
        <v>28.848653119092631</v>
      </c>
      <c r="Q608" s="35">
        <v>0</v>
      </c>
      <c r="R608" s="35">
        <f t="shared" si="48"/>
        <v>100</v>
      </c>
    </row>
    <row r="609" spans="1:18" x14ac:dyDescent="0.3">
      <c r="A609" s="35" t="s">
        <v>97</v>
      </c>
      <c r="B609" s="35">
        <v>9.8800000000000008</v>
      </c>
      <c r="C609" s="35">
        <v>520</v>
      </c>
      <c r="D609" s="35" t="s">
        <v>76</v>
      </c>
      <c r="E609" s="36" t="str" cm="1">
        <f t="array" ref="E609">GetNumber(D609,1)</f>
        <v>11</v>
      </c>
      <c r="F609" s="36" t="str" cm="1">
        <f t="array" ref="F609">GetNumber(D609,2)</f>
        <v>5</v>
      </c>
      <c r="G609" s="35">
        <v>29.6</v>
      </c>
      <c r="H609" s="35">
        <v>14047</v>
      </c>
      <c r="I609" s="35">
        <f>36.01*($T$2)</f>
        <v>72.02</v>
      </c>
      <c r="J609" s="35">
        <f>1065.9*($T$2)</f>
        <v>2131.8000000000002</v>
      </c>
      <c r="K609" s="35">
        <f t="shared" si="45"/>
        <v>2.8145229383619474</v>
      </c>
      <c r="L609" s="35">
        <f t="shared" si="46"/>
        <v>2.8145335004540781</v>
      </c>
      <c r="M609" s="35">
        <f>7.284375*($T$2)</f>
        <v>14.56875</v>
      </c>
      <c r="N609" s="35">
        <f>66.5*(5280/3600)</f>
        <v>97.533333333333331</v>
      </c>
      <c r="O609" s="35">
        <f t="shared" si="44"/>
        <v>0.68340135097101029</v>
      </c>
      <c r="P609" s="35">
        <f t="shared" si="47"/>
        <v>41.004081058260624</v>
      </c>
      <c r="Q609" s="35">
        <v>0</v>
      </c>
      <c r="R609" s="35">
        <f t="shared" si="48"/>
        <v>100</v>
      </c>
    </row>
    <row r="610" spans="1:18" x14ac:dyDescent="0.3">
      <c r="A610" s="35" t="s">
        <v>97</v>
      </c>
      <c r="B610" s="35">
        <v>9.8800000000000008</v>
      </c>
      <c r="C610" s="35">
        <v>520</v>
      </c>
      <c r="D610" s="35" t="s">
        <v>77</v>
      </c>
      <c r="E610" s="36" t="str" cm="1">
        <f t="array" ref="E610">GetNumber(D610,1)</f>
        <v>11</v>
      </c>
      <c r="F610" s="36" t="str" cm="1">
        <f t="array" ref="F610">GetNumber(D610,2)</f>
        <v>6</v>
      </c>
      <c r="G610" s="35">
        <v>29.6</v>
      </c>
      <c r="H610" s="35">
        <v>13815</v>
      </c>
      <c r="I610" s="35">
        <f>42.19*($T$2)</f>
        <v>84.38</v>
      </c>
      <c r="J610" s="35">
        <f>1248.9*($T$2)</f>
        <v>2497.8000000000002</v>
      </c>
      <c r="K610" s="35">
        <f t="shared" si="45"/>
        <v>2.4021138601969731</v>
      </c>
      <c r="L610" s="35">
        <f t="shared" si="46"/>
        <v>2.4022600462515133</v>
      </c>
      <c r="M610" s="35">
        <f>8.165625*($T$2)</f>
        <v>16.331250000000001</v>
      </c>
      <c r="N610" s="35">
        <f>78.5*(5280/3600)</f>
        <v>115.13333333333333</v>
      </c>
      <c r="O610" s="35">
        <f t="shared" si="44"/>
        <v>0.65382536632236365</v>
      </c>
      <c r="P610" s="35">
        <f t="shared" si="47"/>
        <v>39.229521979341818</v>
      </c>
      <c r="Q610" s="35">
        <v>0</v>
      </c>
      <c r="R610" s="35">
        <f t="shared" si="48"/>
        <v>100</v>
      </c>
    </row>
    <row r="611" spans="1:18" x14ac:dyDescent="0.3">
      <c r="A611" s="35" t="s">
        <v>97</v>
      </c>
      <c r="B611" s="35">
        <v>9.8800000000000008</v>
      </c>
      <c r="C611" s="35">
        <v>520</v>
      </c>
      <c r="D611" s="35" t="s">
        <v>78</v>
      </c>
      <c r="E611" s="36" t="str" cm="1">
        <f t="array" ref="E611">GetNumber(D611,1)</f>
        <v>11</v>
      </c>
      <c r="F611" s="36" t="str" cm="1">
        <f t="array" ref="F611">GetNumber(D611,2)</f>
        <v>7</v>
      </c>
      <c r="G611" s="35">
        <v>29.6</v>
      </c>
      <c r="H611" s="35">
        <v>13817</v>
      </c>
      <c r="I611" s="35">
        <f>43.79*($T$2)</f>
        <v>87.58</v>
      </c>
      <c r="J611" s="35">
        <f>1296.3*($T$2)</f>
        <v>2592.6</v>
      </c>
      <c r="K611" s="35">
        <f t="shared" si="45"/>
        <v>2.3142791020597087</v>
      </c>
      <c r="L611" s="35">
        <f t="shared" si="46"/>
        <v>2.3144862149201035</v>
      </c>
      <c r="M611" s="35">
        <f>8.000625*($T$2)</f>
        <v>16.001249999999999</v>
      </c>
      <c r="N611" s="35">
        <f>91.6*(5280/3600)</f>
        <v>134.34666666666664</v>
      </c>
      <c r="O611" s="35">
        <f t="shared" si="44"/>
        <v>0.6171893080305485</v>
      </c>
      <c r="P611" s="35">
        <f t="shared" si="47"/>
        <v>37.03135848183291</v>
      </c>
      <c r="Q611" s="35">
        <v>0</v>
      </c>
      <c r="R611" s="35">
        <f t="shared" si="48"/>
        <v>100</v>
      </c>
    </row>
    <row r="612" spans="1:18" x14ac:dyDescent="0.3">
      <c r="A612" s="35" t="s">
        <v>97</v>
      </c>
      <c r="B612" s="35">
        <v>9.8800000000000008</v>
      </c>
      <c r="C612" s="35">
        <v>520</v>
      </c>
      <c r="D612" s="35" t="s">
        <v>101</v>
      </c>
      <c r="E612" s="36" t="str" cm="1">
        <f t="array" ref="E612">GetNumber(D612,1)</f>
        <v>9</v>
      </c>
      <c r="F612" s="36" t="str" cm="1">
        <f t="array" ref="F612">GetNumber(D612,2)</f>
        <v>7</v>
      </c>
      <c r="G612" s="35">
        <v>29.6</v>
      </c>
      <c r="H612" s="35">
        <v>14189</v>
      </c>
      <c r="I612" s="35">
        <f>32.12*($T$2)</f>
        <v>64.239999999999995</v>
      </c>
      <c r="J612" s="35">
        <f>950.8*($T$2)</f>
        <v>1901.6</v>
      </c>
      <c r="K612" s="35">
        <f t="shared" si="45"/>
        <v>3.1552376945729912</v>
      </c>
      <c r="L612" s="35">
        <f t="shared" si="46"/>
        <v>3.1553969910134292</v>
      </c>
      <c r="M612" s="35">
        <f>6.713125*($T$2)</f>
        <v>13.42625</v>
      </c>
      <c r="N612" s="35">
        <f>94.1*(5280/3600)</f>
        <v>138.01333333333332</v>
      </c>
      <c r="O612" s="35">
        <f t="shared" si="44"/>
        <v>0.70605016827934375</v>
      </c>
      <c r="P612" s="35">
        <f t="shared" si="47"/>
        <v>42.363010096760618</v>
      </c>
      <c r="Q612" s="35">
        <v>0</v>
      </c>
      <c r="R612" s="35">
        <f t="shared" si="48"/>
        <v>100</v>
      </c>
    </row>
    <row r="613" spans="1:18" x14ac:dyDescent="0.3">
      <c r="A613" s="35" t="s">
        <v>97</v>
      </c>
      <c r="B613" s="35">
        <v>9.8800000000000008</v>
      </c>
      <c r="C613" s="35">
        <v>520</v>
      </c>
      <c r="D613" s="35" t="s">
        <v>80</v>
      </c>
      <c r="E613" s="36" t="str" cm="1">
        <f t="array" ref="E613">GetNumber(D613,1)</f>
        <v>10</v>
      </c>
      <c r="F613" s="36" t="str" cm="1">
        <f t="array" ref="F613">GetNumber(D613,2)</f>
        <v>7</v>
      </c>
      <c r="G613" s="35">
        <v>29.6</v>
      </c>
      <c r="H613" s="35">
        <v>13768</v>
      </c>
      <c r="I613" s="35">
        <f>43.45*($T$2)</f>
        <v>86.9</v>
      </c>
      <c r="J613" s="35">
        <f>1286.2*($T$2)</f>
        <v>2572.4</v>
      </c>
      <c r="K613" s="35">
        <f t="shared" si="45"/>
        <v>2.3324521847302129</v>
      </c>
      <c r="L613" s="35">
        <f t="shared" si="46"/>
        <v>2.3325972693061297</v>
      </c>
      <c r="M613" s="35">
        <f>8.961875*($T$2)</f>
        <v>17.923749999999998</v>
      </c>
      <c r="N613" s="35">
        <f>91.3*(5280/3600)</f>
        <v>133.90666666666667</v>
      </c>
      <c r="O613" s="35">
        <f t="shared" si="44"/>
        <v>0.69677149743430256</v>
      </c>
      <c r="P613" s="35">
        <f t="shared" si="47"/>
        <v>41.806289846058149</v>
      </c>
      <c r="Q613" s="35">
        <v>0</v>
      </c>
      <c r="R613" s="35">
        <f t="shared" si="48"/>
        <v>100</v>
      </c>
    </row>
    <row r="614" spans="1:18" x14ac:dyDescent="0.3">
      <c r="A614" s="35" t="s">
        <v>102</v>
      </c>
      <c r="B614" s="35">
        <v>9.86</v>
      </c>
      <c r="C614" s="35">
        <v>600</v>
      </c>
      <c r="D614" s="35" t="s">
        <v>33</v>
      </c>
      <c r="E614" s="36" t="str" cm="1">
        <f t="array" ref="E614">GetNumber(D614,1)</f>
        <v>12</v>
      </c>
      <c r="F614" s="36" t="str" cm="1">
        <f t="array" ref="F614">GetNumber(D614,2)</f>
        <v>10</v>
      </c>
      <c r="G614" s="35">
        <v>14.8</v>
      </c>
      <c r="H614" s="35">
        <v>7981</v>
      </c>
      <c r="I614" s="35">
        <f>39.36*($T$2)</f>
        <v>78.72</v>
      </c>
      <c r="J614" s="35">
        <f>582.5*($T$2)</f>
        <v>1165</v>
      </c>
      <c r="K614" s="35">
        <f t="shared" si="45"/>
        <v>5.0307296137339064</v>
      </c>
      <c r="L614" s="35">
        <f t="shared" si="46"/>
        <v>5.0304878048780495</v>
      </c>
      <c r="M614" s="35">
        <f>4.588125*($T$2)</f>
        <v>9.1762499999999996</v>
      </c>
      <c r="N614" s="35">
        <f>75.6*(5280/3600)</f>
        <v>110.87999999999998</v>
      </c>
      <c r="O614" s="35">
        <f t="shared" si="44"/>
        <v>0.78766094420600863</v>
      </c>
      <c r="P614" s="35">
        <f t="shared" si="47"/>
        <v>46.163232618025759</v>
      </c>
      <c r="Q614" s="35">
        <f>('Batt Capacity and Sys Weight'!$I$3) + (B614*$T$2)</f>
        <v>46.108474999999999</v>
      </c>
      <c r="R614" s="35">
        <f>'Batt Capacity and Sys Weight'!$H$3</f>
        <v>97.68</v>
      </c>
    </row>
    <row r="615" spans="1:18" x14ac:dyDescent="0.3">
      <c r="A615" s="35" t="s">
        <v>102</v>
      </c>
      <c r="B615" s="35">
        <v>9.86</v>
      </c>
      <c r="C615" s="35">
        <v>600</v>
      </c>
      <c r="D615" s="35" t="s">
        <v>34</v>
      </c>
      <c r="E615" s="36" t="str" cm="1">
        <f t="array" ref="E615">GetNumber(D615,1)</f>
        <v>12</v>
      </c>
      <c r="F615" s="36" t="str" cm="1">
        <f t="array" ref="F615">GetNumber(D615,2)</f>
        <v>12</v>
      </c>
      <c r="G615" s="35">
        <v>14.8</v>
      </c>
      <c r="H615" s="35">
        <v>7866</v>
      </c>
      <c r="I615" s="35">
        <f>45.98*($T$2)</f>
        <v>91.96</v>
      </c>
      <c r="J615" s="35">
        <f>680.5*($T$2)</f>
        <v>1361</v>
      </c>
      <c r="K615" s="35">
        <f t="shared" si="45"/>
        <v>4.3062454077883912</v>
      </c>
      <c r="L615" s="35">
        <f t="shared" si="46"/>
        <v>4.3062200956937806</v>
      </c>
      <c r="M615" s="35">
        <f>4.219375*($T$2)</f>
        <v>8.4387500000000006</v>
      </c>
      <c r="N615" s="35">
        <f>89.4*(5280/3600)</f>
        <v>131.12</v>
      </c>
      <c r="O615" s="35">
        <f t="shared" si="44"/>
        <v>0.62004041146216027</v>
      </c>
      <c r="P615" s="35">
        <f t="shared" si="47"/>
        <v>36.339328434974291</v>
      </c>
      <c r="Q615" s="35">
        <f>('Batt Capacity and Sys Weight'!$I$3) + (B615*$T$2)</f>
        <v>46.108474999999999</v>
      </c>
      <c r="R615" s="35">
        <f>'Batt Capacity and Sys Weight'!$H$3</f>
        <v>97.68</v>
      </c>
    </row>
    <row r="616" spans="1:18" x14ac:dyDescent="0.3">
      <c r="A616" s="35" t="s">
        <v>102</v>
      </c>
      <c r="B616" s="35">
        <v>9.86</v>
      </c>
      <c r="C616" s="35">
        <v>600</v>
      </c>
      <c r="D616" s="35" t="s">
        <v>35</v>
      </c>
      <c r="E616" s="36" t="str" cm="1">
        <f t="array" ref="E616">GetNumber(D616,1)</f>
        <v>13</v>
      </c>
      <c r="F616" s="36" cm="1">
        <f t="array" ref="F616">GetNumber(D616,2)+(GetNumber(D616,3)/10)</f>
        <v>6.5</v>
      </c>
      <c r="G616" s="35">
        <v>14.8</v>
      </c>
      <c r="H616" s="35">
        <v>8075</v>
      </c>
      <c r="I616" s="35">
        <f>36.17*($T$2)</f>
        <v>72.34</v>
      </c>
      <c r="J616" s="35">
        <f>535.3*($T$2)</f>
        <v>1070.5999999999999</v>
      </c>
      <c r="K616" s="35">
        <f t="shared" si="45"/>
        <v>5.4743134690827588</v>
      </c>
      <c r="L616" s="35">
        <f t="shared" si="46"/>
        <v>5.4741498479402821</v>
      </c>
      <c r="M616" s="35">
        <f>5.785*($T$2)</f>
        <v>11.57</v>
      </c>
      <c r="N616" s="35">
        <f>49.7*(5280/3600)</f>
        <v>72.893333333333331</v>
      </c>
      <c r="O616" s="35">
        <f t="shared" si="44"/>
        <v>1.080702409863628</v>
      </c>
      <c r="P616" s="35">
        <f t="shared" si="47"/>
        <v>63.337806837287523</v>
      </c>
      <c r="Q616" s="35">
        <f>('Batt Capacity and Sys Weight'!$I$3) + (B616*$T$2)</f>
        <v>46.108474999999999</v>
      </c>
      <c r="R616" s="35">
        <f>'Batt Capacity and Sys Weight'!$H$3</f>
        <v>97.68</v>
      </c>
    </row>
    <row r="617" spans="1:18" x14ac:dyDescent="0.3">
      <c r="A617" s="35" t="s">
        <v>102</v>
      </c>
      <c r="B617" s="35">
        <v>9.86</v>
      </c>
      <c r="C617" s="35">
        <v>600</v>
      </c>
      <c r="D617" s="35" t="s">
        <v>36</v>
      </c>
      <c r="E617" s="36" t="str" cm="1">
        <f t="array" ref="E617">GetNumber(D617,1)</f>
        <v>13</v>
      </c>
      <c r="F617" s="36" t="str" cm="1">
        <f t="array" ref="F617">GetNumber(D617,2)</f>
        <v>8</v>
      </c>
      <c r="G617" s="35">
        <v>14.8</v>
      </c>
      <c r="H617" s="35">
        <v>7962</v>
      </c>
      <c r="I617" s="35">
        <f>39.94*($T$2)</f>
        <v>79.88</v>
      </c>
      <c r="J617" s="35">
        <f>591.1*($T$2)</f>
        <v>1182.2</v>
      </c>
      <c r="K617" s="35">
        <f t="shared" si="45"/>
        <v>4.9575367958044332</v>
      </c>
      <c r="L617" s="35">
        <f t="shared" si="46"/>
        <v>4.9574361542313472</v>
      </c>
      <c r="M617" s="35">
        <f>5.8425*($T$2)</f>
        <v>11.685</v>
      </c>
      <c r="N617" s="35">
        <f>60.3*(5280/3600)</f>
        <v>88.439999999999984</v>
      </c>
      <c r="O617" s="35">
        <f t="shared" si="44"/>
        <v>0.98841143630519368</v>
      </c>
      <c r="P617" s="35">
        <f t="shared" si="47"/>
        <v>57.928817458974805</v>
      </c>
      <c r="Q617" s="35">
        <f>('Batt Capacity and Sys Weight'!$I$3) + (B617*$T$2)</f>
        <v>46.108474999999999</v>
      </c>
      <c r="R617" s="35">
        <f>'Batt Capacity and Sys Weight'!$H$3</f>
        <v>97.68</v>
      </c>
    </row>
    <row r="618" spans="1:18" x14ac:dyDescent="0.3">
      <c r="A618" s="35" t="s">
        <v>102</v>
      </c>
      <c r="B618" s="35">
        <v>9.86</v>
      </c>
      <c r="C618" s="35">
        <v>600</v>
      </c>
      <c r="D618" s="35" t="s">
        <v>37</v>
      </c>
      <c r="E618" s="36" t="str" cm="1">
        <f t="array" ref="E618">GetNumber(D618,1)</f>
        <v>13</v>
      </c>
      <c r="F618" s="36" t="str" cm="1">
        <f t="array" ref="F618">GetNumber(D618,2)</f>
        <v>10</v>
      </c>
      <c r="G618" s="35">
        <v>14.8</v>
      </c>
      <c r="H618" s="35">
        <v>7630</v>
      </c>
      <c r="I618" s="35">
        <f>54.83*($T$2)</f>
        <v>109.66</v>
      </c>
      <c r="J618" s="35">
        <f>811.4*($T$2)</f>
        <v>1622.8</v>
      </c>
      <c r="K618" s="35">
        <f t="shared" si="45"/>
        <v>3.6115356174513189</v>
      </c>
      <c r="L618" s="35">
        <f t="shared" si="46"/>
        <v>3.6111617727521432</v>
      </c>
      <c r="M618" s="35">
        <f>5.41875*($T$2)</f>
        <v>10.8375</v>
      </c>
      <c r="N618" s="35">
        <f>72.3*(5280/3600)</f>
        <v>106.03999999999999</v>
      </c>
      <c r="O618" s="35">
        <f t="shared" si="44"/>
        <v>0.66782721222578256</v>
      </c>
      <c r="P618" s="35">
        <f t="shared" si="47"/>
        <v>39.140017254128672</v>
      </c>
      <c r="Q618" s="35">
        <f>('Batt Capacity and Sys Weight'!$I$3) + (B618*$T$2)</f>
        <v>46.108474999999999</v>
      </c>
      <c r="R618" s="35">
        <f>'Batt Capacity and Sys Weight'!$H$3</f>
        <v>97.68</v>
      </c>
    </row>
    <row r="619" spans="1:18" x14ac:dyDescent="0.3">
      <c r="A619" s="35" t="s">
        <v>102</v>
      </c>
      <c r="B619" s="35">
        <v>9.86</v>
      </c>
      <c r="C619" s="35">
        <v>600</v>
      </c>
      <c r="D619" s="35" t="s">
        <v>39</v>
      </c>
      <c r="E619" s="36" t="str" cm="1">
        <f t="array" ref="E619">GetNumber(D619,1)</f>
        <v>14</v>
      </c>
      <c r="F619" s="36" t="str" cm="1">
        <f t="array" ref="F619">GetNumber(D619,2)</f>
        <v>7</v>
      </c>
      <c r="G619" s="35">
        <v>14.8</v>
      </c>
      <c r="H619" s="35">
        <v>7828</v>
      </c>
      <c r="I619" s="35">
        <f>47.9*($T$2)</f>
        <v>95.8</v>
      </c>
      <c r="J619" s="35">
        <f>708.9*($T$2)</f>
        <v>1417.8</v>
      </c>
      <c r="K619" s="35">
        <f t="shared" si="45"/>
        <v>4.1337283114684729</v>
      </c>
      <c r="L619" s="35">
        <f t="shared" si="46"/>
        <v>4.1336116910229652</v>
      </c>
      <c r="M619" s="35">
        <f>7.04375*($T$2)</f>
        <v>14.0875</v>
      </c>
      <c r="N619" s="35">
        <f>51.9*(5280/3600)</f>
        <v>76.11999999999999</v>
      </c>
      <c r="O619" s="35">
        <f t="shared" si="44"/>
        <v>0.99361687120891518</v>
      </c>
      <c r="P619" s="35">
        <f t="shared" si="47"/>
        <v>58.233897587812116</v>
      </c>
      <c r="Q619" s="35">
        <f>('Batt Capacity and Sys Weight'!$I$3) + (B619*$T$2)</f>
        <v>46.108474999999999</v>
      </c>
      <c r="R619" s="35">
        <f>'Batt Capacity and Sys Weight'!$H$3</f>
        <v>97.68</v>
      </c>
    </row>
    <row r="620" spans="1:18" x14ac:dyDescent="0.3">
      <c r="A620" s="35" t="s">
        <v>102</v>
      </c>
      <c r="B620" s="35">
        <v>9.86</v>
      </c>
      <c r="C620" s="35">
        <v>600</v>
      </c>
      <c r="D620" s="35" t="s">
        <v>40</v>
      </c>
      <c r="E620" s="36" t="str" cm="1">
        <f t="array" ref="E620">GetNumber(D620,1)</f>
        <v>14</v>
      </c>
      <c r="F620" s="36" cm="1">
        <f t="array" ref="F620">GetNumber(D620,2)+(GetNumber(D620,3)/10)</f>
        <v>8.5</v>
      </c>
      <c r="G620" s="35">
        <v>14.8</v>
      </c>
      <c r="H620" s="35">
        <v>7775</v>
      </c>
      <c r="I620" s="35">
        <f>49.39*($T$2)</f>
        <v>98.78</v>
      </c>
      <c r="J620" s="35">
        <f>731*($T$2)</f>
        <v>1462</v>
      </c>
      <c r="K620" s="35">
        <f t="shared" si="45"/>
        <v>4.0087551299589608</v>
      </c>
      <c r="L620" s="35">
        <f t="shared" si="46"/>
        <v>4.0089086859688203</v>
      </c>
      <c r="M620" s="35">
        <f>7.19375*($T$2)</f>
        <v>14.387499999999999</v>
      </c>
      <c r="N620" s="35">
        <f>62.6*(5280/3600)</f>
        <v>91.813333333333333</v>
      </c>
      <c r="O620" s="35">
        <f t="shared" si="44"/>
        <v>0.98409712722298226</v>
      </c>
      <c r="P620" s="35">
        <f t="shared" si="47"/>
        <v>57.675964432284545</v>
      </c>
      <c r="Q620" s="35">
        <f>('Batt Capacity and Sys Weight'!$I$3) + (B620*$T$2)</f>
        <v>46.108474999999999</v>
      </c>
      <c r="R620" s="35">
        <f>'Batt Capacity and Sys Weight'!$H$3</f>
        <v>97.68</v>
      </c>
    </row>
    <row r="621" spans="1:18" x14ac:dyDescent="0.3">
      <c r="A621" s="35" t="s">
        <v>102</v>
      </c>
      <c r="B621" s="35">
        <v>9.86</v>
      </c>
      <c r="C621" s="35">
        <v>600</v>
      </c>
      <c r="D621" s="35" t="s">
        <v>41</v>
      </c>
      <c r="E621" s="36" t="str" cm="1">
        <f t="array" ref="E621">GetNumber(D621,1)</f>
        <v>14</v>
      </c>
      <c r="F621" s="36" t="str" cm="1">
        <f t="array" ref="F621">GetNumber(D621,2)</f>
        <v>10</v>
      </c>
      <c r="G621" s="35">
        <v>14.8</v>
      </c>
      <c r="H621" s="35">
        <v>7775</v>
      </c>
      <c r="I621" s="35">
        <f>49.4*($T$2)</f>
        <v>98.8</v>
      </c>
      <c r="J621" s="35">
        <f>731.1*($T$2)</f>
        <v>1462.2</v>
      </c>
      <c r="K621" s="35">
        <f t="shared" si="45"/>
        <v>4.0082068116536727</v>
      </c>
      <c r="L621" s="35">
        <f t="shared" si="46"/>
        <v>4.0080971659919031</v>
      </c>
      <c r="M621" s="35">
        <f>7.1275*($T$2)</f>
        <v>14.255000000000001</v>
      </c>
      <c r="N621" s="35">
        <f>73.6*(5280/3600)</f>
        <v>107.94666666666664</v>
      </c>
      <c r="O621" s="35">
        <f t="shared" si="44"/>
        <v>0.97490083435918473</v>
      </c>
      <c r="P621" s="35">
        <f t="shared" si="47"/>
        <v>57.136988100123105</v>
      </c>
      <c r="Q621" s="35">
        <f>('Batt Capacity and Sys Weight'!$I$3) + (B621*$T$2)</f>
        <v>46.108474999999999</v>
      </c>
      <c r="R621" s="35">
        <f>'Batt Capacity and Sys Weight'!$H$3</f>
        <v>97.68</v>
      </c>
    </row>
    <row r="622" spans="1:18" x14ac:dyDescent="0.3">
      <c r="A622" s="35" t="s">
        <v>102</v>
      </c>
      <c r="B622" s="35">
        <v>9.86</v>
      </c>
      <c r="C622" s="35">
        <v>600</v>
      </c>
      <c r="D622" s="35" t="s">
        <v>43</v>
      </c>
      <c r="E622" s="36" t="str" cm="1">
        <f t="array" ref="E622">GetNumber(D622,1)</f>
        <v>15</v>
      </c>
      <c r="F622" s="36" t="str" cm="1">
        <f t="array" ref="F622">GetNumber(D622,2)</f>
        <v>6</v>
      </c>
      <c r="G622" s="35">
        <v>14.8</v>
      </c>
      <c r="H622" s="35">
        <v>7784</v>
      </c>
      <c r="I622" s="35">
        <f>49.1*($T$2)</f>
        <v>98.2</v>
      </c>
      <c r="J622" s="35">
        <f>726.7*($T$2)</f>
        <v>1453.4</v>
      </c>
      <c r="K622" s="35">
        <f t="shared" si="45"/>
        <v>4.0324755745149305</v>
      </c>
      <c r="L622" s="35">
        <f t="shared" si="46"/>
        <v>4.0325865580448061</v>
      </c>
      <c r="M622" s="35">
        <f>7.95625*($T$2)</f>
        <v>15.9125</v>
      </c>
      <c r="N622" s="35">
        <f>44.2*(5280/3600)</f>
        <v>64.826666666666668</v>
      </c>
      <c r="O622" s="35">
        <f t="shared" si="44"/>
        <v>1.0948465666712535</v>
      </c>
      <c r="P622" s="35">
        <f t="shared" si="47"/>
        <v>64.166767579468825</v>
      </c>
      <c r="Q622" s="35">
        <f>('Batt Capacity and Sys Weight'!$I$3) + (B622*$T$2)</f>
        <v>46.108474999999999</v>
      </c>
      <c r="R622" s="35">
        <f>'Batt Capacity and Sys Weight'!$H$3</f>
        <v>97.68</v>
      </c>
    </row>
    <row r="623" spans="1:18" x14ac:dyDescent="0.3">
      <c r="A623" s="35" t="s">
        <v>102</v>
      </c>
      <c r="B623" s="35">
        <v>9.86</v>
      </c>
      <c r="C623" s="35">
        <v>600</v>
      </c>
      <c r="D623" s="35" t="s">
        <v>44</v>
      </c>
      <c r="E623" s="36" t="str" cm="1">
        <f t="array" ref="E623">GetNumber(D623,1)</f>
        <v>15</v>
      </c>
      <c r="F623" s="36" t="str" cm="1">
        <f t="array" ref="F623">GetNumber(D623,2)</f>
        <v>7</v>
      </c>
      <c r="G623" s="35">
        <v>14.8</v>
      </c>
      <c r="H623" s="35">
        <v>7799</v>
      </c>
      <c r="I623" s="35">
        <f>48.69*($T$2)</f>
        <v>97.38</v>
      </c>
      <c r="J623" s="35">
        <f>720.6*($T$2)</f>
        <v>1441.2</v>
      </c>
      <c r="K623" s="35">
        <f t="shared" si="45"/>
        <v>4.0666111573688593</v>
      </c>
      <c r="L623" s="35">
        <f t="shared" si="46"/>
        <v>4.066543438077634</v>
      </c>
      <c r="M623" s="35">
        <f>8.011875*($T$2)</f>
        <v>16.02375</v>
      </c>
      <c r="N623" s="35">
        <f>51.7*(5280/3600)</f>
        <v>75.826666666666668</v>
      </c>
      <c r="O623" s="35">
        <f t="shared" si="44"/>
        <v>1.1118338884263115</v>
      </c>
      <c r="P623" s="35">
        <f t="shared" si="47"/>
        <v>65.162360532889252</v>
      </c>
      <c r="Q623" s="35">
        <f>('Batt Capacity and Sys Weight'!$I$3) + (B623*$T$2)</f>
        <v>46.108474999999999</v>
      </c>
      <c r="R623" s="35">
        <f>'Batt Capacity and Sys Weight'!$H$3</f>
        <v>97.68</v>
      </c>
    </row>
    <row r="624" spans="1:18" x14ac:dyDescent="0.3">
      <c r="A624" s="35" t="s">
        <v>102</v>
      </c>
      <c r="B624" s="35">
        <v>9.86</v>
      </c>
      <c r="C624" s="35">
        <v>600</v>
      </c>
      <c r="D624" s="35" t="s">
        <v>0</v>
      </c>
      <c r="E624" s="36" t="str" cm="1">
        <f t="array" ref="E624">GetNumber(D624,1)</f>
        <v>15</v>
      </c>
      <c r="F624" s="36" t="str" cm="1">
        <f t="array" ref="F624">GetNumber(D624,2)</f>
        <v>8</v>
      </c>
      <c r="G624" s="35">
        <v>14.8</v>
      </c>
      <c r="H624" s="35">
        <v>7676</v>
      </c>
      <c r="I624" s="35">
        <f>52.57*($T$2)</f>
        <v>105.14</v>
      </c>
      <c r="J624" s="35">
        <f>778*($T$2)</f>
        <v>1556</v>
      </c>
      <c r="K624" s="35">
        <f t="shared" si="45"/>
        <v>3.7665809768637533</v>
      </c>
      <c r="L624" s="35">
        <f t="shared" si="46"/>
        <v>3.7664066958341262</v>
      </c>
      <c r="M624" s="35">
        <f>8.01375*($T$2)</f>
        <v>16.0275</v>
      </c>
      <c r="N624" s="35">
        <f>58.2*(5280/3600)</f>
        <v>85.36</v>
      </c>
      <c r="O624" s="35">
        <f t="shared" si="44"/>
        <v>1.0300449871465296</v>
      </c>
      <c r="P624" s="35">
        <f t="shared" si="47"/>
        <v>60.368876606683806</v>
      </c>
      <c r="Q624" s="35">
        <f>('Batt Capacity and Sys Weight'!$I$3) + (B624*$T$2)</f>
        <v>46.108474999999999</v>
      </c>
      <c r="R624" s="35">
        <f>'Batt Capacity and Sys Weight'!$H$3</f>
        <v>97.68</v>
      </c>
    </row>
    <row r="625" spans="1:18" x14ac:dyDescent="0.3">
      <c r="A625" s="35" t="s">
        <v>102</v>
      </c>
      <c r="B625" s="35">
        <v>9.86</v>
      </c>
      <c r="C625" s="35">
        <v>600</v>
      </c>
      <c r="D625" s="35" t="s">
        <v>45</v>
      </c>
      <c r="E625" s="36" t="str" cm="1">
        <f t="array" ref="E625">GetNumber(D625,1)</f>
        <v>13</v>
      </c>
      <c r="F625" s="36" t="str" cm="1">
        <f t="array" ref="F625">GetNumber(D625,2)</f>
        <v>8</v>
      </c>
      <c r="G625" s="35">
        <v>14.8</v>
      </c>
      <c r="H625" s="35">
        <v>7976</v>
      </c>
      <c r="I625" s="35">
        <f>39.43*($T$2)</f>
        <v>78.86</v>
      </c>
      <c r="J625" s="35">
        <f>583.6*($T$2)</f>
        <v>1167.2</v>
      </c>
      <c r="K625" s="35">
        <f t="shared" si="45"/>
        <v>5.0212474297464018</v>
      </c>
      <c r="L625" s="35">
        <f t="shared" si="46"/>
        <v>5.0215571899568863</v>
      </c>
      <c r="M625" s="35">
        <f>5.2225*($T$2)</f>
        <v>10.445</v>
      </c>
      <c r="N625" s="35">
        <f>60.4*(5280/3600)</f>
        <v>88.586666666666659</v>
      </c>
      <c r="O625" s="35">
        <f t="shared" si="44"/>
        <v>0.89487662782727884</v>
      </c>
      <c r="P625" s="35">
        <f t="shared" si="47"/>
        <v>52.446929403701169</v>
      </c>
      <c r="Q625" s="35">
        <f>('Batt Capacity and Sys Weight'!$I$3) + (B625*$T$2)</f>
        <v>46.108474999999999</v>
      </c>
      <c r="R625" s="35">
        <f>'Batt Capacity and Sys Weight'!$H$3</f>
        <v>97.68</v>
      </c>
    </row>
    <row r="626" spans="1:18" x14ac:dyDescent="0.3">
      <c r="A626" s="35" t="s">
        <v>102</v>
      </c>
      <c r="B626" s="35">
        <v>9.86</v>
      </c>
      <c r="C626" s="35">
        <v>600</v>
      </c>
      <c r="D626" s="35" t="s">
        <v>46</v>
      </c>
      <c r="E626" s="36" t="str" cm="1">
        <f t="array" ref="E626">GetNumber(D626,1)</f>
        <v>13</v>
      </c>
      <c r="F626" s="36" t="str" cm="1">
        <f t="array" ref="F626">GetNumber(D626,2)</f>
        <v>10</v>
      </c>
      <c r="G626" s="35">
        <v>14.8</v>
      </c>
      <c r="H626" s="35">
        <v>7690</v>
      </c>
      <c r="I626" s="35">
        <f>52.06*($T$2)</f>
        <v>104.12</v>
      </c>
      <c r="J626" s="35">
        <f>770.5*($T$2)</f>
        <v>1541</v>
      </c>
      <c r="K626" s="35">
        <f t="shared" si="45"/>
        <v>3.8032446463335496</v>
      </c>
      <c r="L626" s="35">
        <f t="shared" si="46"/>
        <v>3.8033038801383019</v>
      </c>
      <c r="M626" s="35">
        <f>5.171875*($T$2)</f>
        <v>10.34375</v>
      </c>
      <c r="N626" s="35">
        <f>72.8*(5280/3600)</f>
        <v>106.77333333333333</v>
      </c>
      <c r="O626" s="35">
        <f t="shared" si="44"/>
        <v>0.67123621025308244</v>
      </c>
      <c r="P626" s="35">
        <f t="shared" si="47"/>
        <v>39.339811810512657</v>
      </c>
      <c r="Q626" s="35">
        <f>('Batt Capacity and Sys Weight'!$I$3) + (B626*$T$2)</f>
        <v>46.108474999999999</v>
      </c>
      <c r="R626" s="35">
        <f>'Batt Capacity and Sys Weight'!$H$3</f>
        <v>97.68</v>
      </c>
    </row>
    <row r="627" spans="1:18" x14ac:dyDescent="0.3">
      <c r="A627" s="35" t="s">
        <v>102</v>
      </c>
      <c r="B627" s="35">
        <v>9.86</v>
      </c>
      <c r="C627" s="35">
        <v>600</v>
      </c>
      <c r="D627" s="35" t="s">
        <v>47</v>
      </c>
      <c r="E627" s="36" t="str" cm="1">
        <f t="array" ref="E627">GetNumber(D627,1)</f>
        <v>14</v>
      </c>
      <c r="F627" s="36" t="str" cm="1">
        <f t="array" ref="F627">GetNumber(D627,2)</f>
        <v>6</v>
      </c>
      <c r="G627" s="35">
        <v>14.8</v>
      </c>
      <c r="H627" s="35">
        <v>8031</v>
      </c>
      <c r="I627" s="35">
        <f>37.66*($T$2)</f>
        <v>75.319999999999993</v>
      </c>
      <c r="J627" s="35">
        <f>557.4*($T$2)</f>
        <v>1114.8</v>
      </c>
      <c r="K627" s="35">
        <f t="shared" si="45"/>
        <v>5.2572658772874066</v>
      </c>
      <c r="L627" s="35">
        <f t="shared" si="46"/>
        <v>5.2575677110993109</v>
      </c>
      <c r="M627" s="35">
        <f>5.94125*($T$2)</f>
        <v>11.8825</v>
      </c>
      <c r="N627" s="35">
        <f>45.6*(5280/3600)</f>
        <v>66.88</v>
      </c>
      <c r="O627" s="35">
        <f t="shared" si="44"/>
        <v>1.0658862576246861</v>
      </c>
      <c r="P627" s="35">
        <f t="shared" si="47"/>
        <v>62.469461786867612</v>
      </c>
      <c r="Q627" s="35">
        <f>('Batt Capacity and Sys Weight'!$I$3) + (B627*$T$2)</f>
        <v>46.108474999999999</v>
      </c>
      <c r="R627" s="35">
        <f>'Batt Capacity and Sys Weight'!$H$3</f>
        <v>97.68</v>
      </c>
    </row>
    <row r="628" spans="1:18" x14ac:dyDescent="0.3">
      <c r="A628" s="35" t="s">
        <v>102</v>
      </c>
      <c r="B628" s="35">
        <v>9.86</v>
      </c>
      <c r="C628" s="35">
        <v>600</v>
      </c>
      <c r="D628" s="35" t="s">
        <v>48</v>
      </c>
      <c r="E628" s="36" t="str" cm="1">
        <f t="array" ref="E628">GetNumber(D628,1)</f>
        <v>14</v>
      </c>
      <c r="F628" s="36" t="str" cm="1">
        <f t="array" ref="F628">GetNumber(D628,2)</f>
        <v>8</v>
      </c>
      <c r="G628" s="35">
        <v>14.8</v>
      </c>
      <c r="H628" s="35">
        <v>7880</v>
      </c>
      <c r="I628" s="35">
        <f>46.1*($T$2)</f>
        <v>92.2</v>
      </c>
      <c r="J628" s="35">
        <f>682.3*($T$2)</f>
        <v>1364.6</v>
      </c>
      <c r="K628" s="35">
        <f t="shared" si="45"/>
        <v>4.2948849479701021</v>
      </c>
      <c r="L628" s="35">
        <f t="shared" si="46"/>
        <v>4.2950108459869849</v>
      </c>
      <c r="M628" s="35">
        <f>6.9625*($T$2)</f>
        <v>13.925000000000001</v>
      </c>
      <c r="N628" s="35">
        <f>59.7*(5280/3600)</f>
        <v>87.56</v>
      </c>
      <c r="O628" s="35">
        <f t="shared" si="44"/>
        <v>1.0204455518100544</v>
      </c>
      <c r="P628" s="35">
        <f t="shared" si="47"/>
        <v>59.806272900483677</v>
      </c>
      <c r="Q628" s="35">
        <f>('Batt Capacity and Sys Weight'!$I$3) + (B628*$T$2)</f>
        <v>46.108474999999999</v>
      </c>
      <c r="R628" s="35">
        <f>'Batt Capacity and Sys Weight'!$H$3</f>
        <v>97.68</v>
      </c>
    </row>
    <row r="629" spans="1:18" x14ac:dyDescent="0.3">
      <c r="A629" s="35" t="s">
        <v>102</v>
      </c>
      <c r="B629" s="35">
        <v>9.86</v>
      </c>
      <c r="C629" s="35">
        <v>600</v>
      </c>
      <c r="D629" s="35" t="s">
        <v>50</v>
      </c>
      <c r="E629" s="36" t="str" cm="1">
        <f t="array" ref="E629">GetNumber(D629,1)</f>
        <v>15</v>
      </c>
      <c r="F629" s="36" t="str" cm="1">
        <f t="array" ref="F629">GetNumber(D629,2)</f>
        <v>6</v>
      </c>
      <c r="G629" s="35">
        <v>14.8</v>
      </c>
      <c r="H629" s="35">
        <v>7782</v>
      </c>
      <c r="I629" s="35">
        <f>49.09*($T$2)</f>
        <v>98.18</v>
      </c>
      <c r="J629" s="35">
        <f>726.5*($T$2)</f>
        <v>1453</v>
      </c>
      <c r="K629" s="35">
        <f t="shared" si="45"/>
        <v>4.0335856847900891</v>
      </c>
      <c r="L629" s="35">
        <f t="shared" si="46"/>
        <v>4.0334080260745573</v>
      </c>
      <c r="M629" s="35">
        <f>7.65*($T$2)</f>
        <v>15.3</v>
      </c>
      <c r="N629" s="35">
        <f>44.2*(5280/3600)</f>
        <v>64.826666666666668</v>
      </c>
      <c r="O629" s="35">
        <f t="shared" si="44"/>
        <v>1.0529938059187889</v>
      </c>
      <c r="P629" s="35">
        <f t="shared" si="47"/>
        <v>61.713860977288363</v>
      </c>
      <c r="Q629" s="35">
        <f>('Batt Capacity and Sys Weight'!$I$3) + (B629*$T$2)</f>
        <v>46.108474999999999</v>
      </c>
      <c r="R629" s="35">
        <f>'Batt Capacity and Sys Weight'!$H$3</f>
        <v>97.68</v>
      </c>
    </row>
    <row r="630" spans="1:18" x14ac:dyDescent="0.3">
      <c r="A630" s="35" t="s">
        <v>102</v>
      </c>
      <c r="B630" s="35">
        <v>9.86</v>
      </c>
      <c r="C630" s="35">
        <v>600</v>
      </c>
      <c r="D630" s="35" t="s">
        <v>51</v>
      </c>
      <c r="E630" s="36" t="str" cm="1">
        <f t="array" ref="E630">GetNumber(D630,1)</f>
        <v>15</v>
      </c>
      <c r="F630" s="36" t="str" cm="1">
        <f t="array" ref="F630">GetNumber(D630,2)</f>
        <v>7</v>
      </c>
      <c r="G630" s="35">
        <v>14.8</v>
      </c>
      <c r="H630" s="35">
        <v>7750</v>
      </c>
      <c r="I630" s="35">
        <f>50.27*($T$2)</f>
        <v>100.54</v>
      </c>
      <c r="J630" s="35">
        <f>744.1*($T$2)</f>
        <v>1488.2</v>
      </c>
      <c r="K630" s="35">
        <f t="shared" si="45"/>
        <v>3.9381803521032119</v>
      </c>
      <c r="L630" s="35">
        <f t="shared" si="46"/>
        <v>3.9387308533916854</v>
      </c>
      <c r="M630" s="35">
        <f>7.985*($T$2)</f>
        <v>15.97</v>
      </c>
      <c r="N630" s="35">
        <f>51.4*(5280/3600)</f>
        <v>75.386666666666656</v>
      </c>
      <c r="O630" s="35">
        <f t="shared" si="44"/>
        <v>1.0731084531648971</v>
      </c>
      <c r="P630" s="35">
        <f t="shared" si="47"/>
        <v>62.892740223088296</v>
      </c>
      <c r="Q630" s="35">
        <f>('Batt Capacity and Sys Weight'!$I$3) + (B630*$T$2)</f>
        <v>46.108474999999999</v>
      </c>
      <c r="R630" s="35">
        <f>'Batt Capacity and Sys Weight'!$H$3</f>
        <v>97.68</v>
      </c>
    </row>
    <row r="631" spans="1:18" x14ac:dyDescent="0.3">
      <c r="A631" s="35" t="s">
        <v>102</v>
      </c>
      <c r="B631" s="35">
        <v>9.86</v>
      </c>
      <c r="C631" s="35">
        <v>600</v>
      </c>
      <c r="D631" s="35" t="s">
        <v>16</v>
      </c>
      <c r="E631" s="36" t="str" cm="1">
        <f t="array" ref="E631">GetNumber(D631,1)</f>
        <v>15</v>
      </c>
      <c r="F631" s="36" t="str" cm="1">
        <f t="array" ref="F631">GetNumber(D631,2)</f>
        <v>8</v>
      </c>
      <c r="G631" s="35">
        <v>14.8</v>
      </c>
      <c r="H631" s="35">
        <v>7604</v>
      </c>
      <c r="I631" s="35">
        <f>54.75*($T$2)</f>
        <v>109.5</v>
      </c>
      <c r="J631" s="35">
        <f>810.2*($T$2)</f>
        <v>1620.4</v>
      </c>
      <c r="K631" s="35">
        <f t="shared" si="45"/>
        <v>3.6168847198222664</v>
      </c>
      <c r="L631" s="35">
        <f t="shared" si="46"/>
        <v>3.6164383561643838</v>
      </c>
      <c r="M631" s="35">
        <f>7.725*($T$2)</f>
        <v>15.45</v>
      </c>
      <c r="N631" s="35">
        <f>57.6*(5280/3600)</f>
        <v>84.47999999999999</v>
      </c>
      <c r="O631" s="35">
        <f t="shared" si="44"/>
        <v>0.95346827943717583</v>
      </c>
      <c r="P631" s="35">
        <f t="shared" si="47"/>
        <v>55.880868921254013</v>
      </c>
      <c r="Q631" s="35">
        <f>('Batt Capacity and Sys Weight'!$I$3) + (B631*$T$2)</f>
        <v>46.108474999999999</v>
      </c>
      <c r="R631" s="35">
        <f>'Batt Capacity and Sys Weight'!$H$3</f>
        <v>97.68</v>
      </c>
    </row>
    <row r="632" spans="1:18" x14ac:dyDescent="0.3">
      <c r="A632" s="35" t="s">
        <v>102</v>
      </c>
      <c r="B632" s="35">
        <v>9.86</v>
      </c>
      <c r="C632" s="35">
        <v>600</v>
      </c>
      <c r="D632" s="35" t="s">
        <v>52</v>
      </c>
      <c r="E632" s="36" t="str" cm="1">
        <f t="array" ref="E632">GetNumber(D632,1)</f>
        <v>16</v>
      </c>
      <c r="F632" s="36" t="str" cm="1">
        <f t="array" ref="F632">GetNumber(D632,2)</f>
        <v>6</v>
      </c>
      <c r="G632" s="35">
        <v>14.8</v>
      </c>
      <c r="H632" s="35">
        <v>7555</v>
      </c>
      <c r="I632" s="35">
        <f>55.94*($T$2)</f>
        <v>111.88</v>
      </c>
      <c r="J632" s="35">
        <f>827.9*($T$2)</f>
        <v>1655.8</v>
      </c>
      <c r="K632" s="35">
        <f t="shared" si="45"/>
        <v>3.5395579176229015</v>
      </c>
      <c r="L632" s="35">
        <f t="shared" si="46"/>
        <v>3.5395066142295324</v>
      </c>
      <c r="M632" s="35">
        <f>8.865*($T$2)</f>
        <v>17.73</v>
      </c>
      <c r="N632" s="35">
        <f>42.9*(5280/3600)</f>
        <v>62.919999999999995</v>
      </c>
      <c r="O632" s="35">
        <f t="shared" si="44"/>
        <v>1.0707814953496799</v>
      </c>
      <c r="P632" s="35">
        <f t="shared" si="47"/>
        <v>62.756361879454047</v>
      </c>
      <c r="Q632" s="35">
        <f>('Batt Capacity and Sys Weight'!$I$3) + (B632*$T$2)</f>
        <v>46.108474999999999</v>
      </c>
      <c r="R632" s="35">
        <f>'Batt Capacity and Sys Weight'!$H$3</f>
        <v>97.68</v>
      </c>
    </row>
    <row r="633" spans="1:18" x14ac:dyDescent="0.3">
      <c r="A633" s="35" t="s">
        <v>102</v>
      </c>
      <c r="B633" s="35">
        <v>9.86</v>
      </c>
      <c r="C633" s="35">
        <v>600</v>
      </c>
      <c r="D633" s="35" t="s">
        <v>54</v>
      </c>
      <c r="E633" s="36" t="str" cm="1">
        <f t="array" ref="E633">GetNumber(D633,1)</f>
        <v>12</v>
      </c>
      <c r="F633" s="36" t="str" cm="1">
        <f t="array" ref="F633">GetNumber(D633,2)</f>
        <v>8</v>
      </c>
      <c r="G633" s="35">
        <v>14.8</v>
      </c>
      <c r="H633" s="35">
        <v>7961</v>
      </c>
      <c r="I633" s="35">
        <f>40.68*($T$2)</f>
        <v>81.36</v>
      </c>
      <c r="J633" s="35">
        <f>602.1*($T$2)</f>
        <v>1204.2</v>
      </c>
      <c r="K633" s="35">
        <f t="shared" si="45"/>
        <v>4.8669656203288492</v>
      </c>
      <c r="L633" s="35">
        <f t="shared" si="46"/>
        <v>4.8672566371681416</v>
      </c>
      <c r="M633" s="35">
        <f>6.225625*($T$2)</f>
        <v>12.45125</v>
      </c>
      <c r="N633" s="35">
        <f>60.3*(5280/3600)</f>
        <v>88.439999999999984</v>
      </c>
      <c r="O633" s="35">
        <f t="shared" si="44"/>
        <v>1.0339852184022587</v>
      </c>
      <c r="P633" s="35">
        <f t="shared" si="47"/>
        <v>60.59980568011958</v>
      </c>
      <c r="Q633" s="35">
        <f>('Batt Capacity and Sys Weight'!$I$3) + (B633*$T$2)</f>
        <v>46.108474999999999</v>
      </c>
      <c r="R633" s="35">
        <f>'Batt Capacity and Sys Weight'!$H$3</f>
        <v>97.68</v>
      </c>
    </row>
    <row r="634" spans="1:18" x14ac:dyDescent="0.3">
      <c r="A634" s="35" t="s">
        <v>102</v>
      </c>
      <c r="B634" s="35">
        <v>9.86</v>
      </c>
      <c r="C634" s="35">
        <v>600</v>
      </c>
      <c r="D634" s="35" t="s">
        <v>25</v>
      </c>
      <c r="E634" s="36" t="str" cm="1">
        <f t="array" ref="E634">GetNumber(D634,1)</f>
        <v>13</v>
      </c>
      <c r="F634" s="36" t="str" cm="1">
        <f t="array" ref="F634">GetNumber(D634,2)</f>
        <v>8</v>
      </c>
      <c r="G634" s="35">
        <v>14.8</v>
      </c>
      <c r="H634" s="35">
        <v>7867</v>
      </c>
      <c r="I634" s="35">
        <f>46.46*($T$2)</f>
        <v>92.92</v>
      </c>
      <c r="J634" s="35">
        <f>687.5*($T$2)</f>
        <v>1375</v>
      </c>
      <c r="K634" s="35">
        <f t="shared" si="45"/>
        <v>4.2624000000000004</v>
      </c>
      <c r="L634" s="35">
        <f t="shared" si="46"/>
        <v>4.2617305208781744</v>
      </c>
      <c r="M634" s="35">
        <f>7.015*($T$2)</f>
        <v>14.03</v>
      </c>
      <c r="N634" s="35">
        <f>59.6*(5280/3600)</f>
        <v>87.413333333333327</v>
      </c>
      <c r="O634" s="35">
        <f t="shared" si="44"/>
        <v>1.0203636363636364</v>
      </c>
      <c r="P634" s="35">
        <f t="shared" si="47"/>
        <v>59.801472000000004</v>
      </c>
      <c r="Q634" s="35">
        <f>('Batt Capacity and Sys Weight'!$I$3) + (B634*$T$2)</f>
        <v>46.108474999999999</v>
      </c>
      <c r="R634" s="35">
        <f>'Batt Capacity and Sys Weight'!$H$3</f>
        <v>97.68</v>
      </c>
    </row>
    <row r="635" spans="1:18" x14ac:dyDescent="0.3">
      <c r="A635" s="35" t="s">
        <v>102</v>
      </c>
      <c r="B635" s="35">
        <v>9.86</v>
      </c>
      <c r="C635" s="35">
        <v>600</v>
      </c>
      <c r="D635" s="35" t="s">
        <v>26</v>
      </c>
      <c r="E635" s="36" t="str" cm="1">
        <f t="array" ref="E635">GetNumber(D635,1)</f>
        <v>14</v>
      </c>
      <c r="F635" s="36" t="str" cm="1">
        <f t="array" ref="F635">GetNumber(D635,2)</f>
        <v>7</v>
      </c>
      <c r="G635" s="35">
        <v>14.8</v>
      </c>
      <c r="H635" s="35">
        <v>7619</v>
      </c>
      <c r="I635" s="35">
        <f>54.17*($T$2)</f>
        <v>108.34</v>
      </c>
      <c r="J635" s="35">
        <f>801.7*($T$2)</f>
        <v>1603.4</v>
      </c>
      <c r="K635" s="35">
        <f t="shared" si="45"/>
        <v>3.6552326306598482</v>
      </c>
      <c r="L635" s="35">
        <f t="shared" si="46"/>
        <v>3.6551596824810781</v>
      </c>
      <c r="M635" s="35">
        <f>8.22125*($T$2)</f>
        <v>16.442499999999999</v>
      </c>
      <c r="N635" s="35">
        <f>50.5*(5280/3600)</f>
        <v>74.066666666666663</v>
      </c>
      <c r="O635" s="35">
        <f t="shared" si="44"/>
        <v>1.0254771111388299</v>
      </c>
      <c r="P635" s="35">
        <f t="shared" si="47"/>
        <v>60.101162529624553</v>
      </c>
      <c r="Q635" s="35">
        <f>('Batt Capacity and Sys Weight'!$I$3) + (B635*$T$2)</f>
        <v>46.108474999999999</v>
      </c>
      <c r="R635" s="35">
        <f>'Batt Capacity and Sys Weight'!$H$3</f>
        <v>97.68</v>
      </c>
    </row>
    <row r="636" spans="1:18" x14ac:dyDescent="0.3">
      <c r="A636" s="35" t="s">
        <v>102</v>
      </c>
      <c r="B636" s="35">
        <v>9.86</v>
      </c>
      <c r="C636" s="35">
        <v>600</v>
      </c>
      <c r="D636" s="35" t="s">
        <v>55</v>
      </c>
      <c r="E636" s="36" t="str" cm="1">
        <f t="array" ref="E636">GetNumber(D636,1)</f>
        <v>10</v>
      </c>
      <c r="F636" s="36" t="str" cm="1">
        <f t="array" ref="F636">GetNumber(D636,2)</f>
        <v>10</v>
      </c>
      <c r="G636" s="35">
        <v>18.5</v>
      </c>
      <c r="H636" s="35">
        <v>10114</v>
      </c>
      <c r="I636" s="35">
        <f>39.87*($T$2)</f>
        <v>79.739999999999995</v>
      </c>
      <c r="J636" s="35">
        <f>737.6*($T$2)</f>
        <v>1475.2</v>
      </c>
      <c r="K636" s="35">
        <f t="shared" si="45"/>
        <v>3.7622017353579174</v>
      </c>
      <c r="L636" s="35">
        <f t="shared" si="46"/>
        <v>3.7622272385252069</v>
      </c>
      <c r="M636" s="35">
        <f>3.77625*($T$2)</f>
        <v>7.5525000000000002</v>
      </c>
      <c r="N636" s="35">
        <f>95.8*(5280/3600)</f>
        <v>140.50666666666666</v>
      </c>
      <c r="O636" s="35">
        <f t="shared" si="44"/>
        <v>0.51196447939262468</v>
      </c>
      <c r="P636" s="35">
        <f t="shared" si="47"/>
        <v>28.414028606290671</v>
      </c>
      <c r="Q636" s="35">
        <f>('Batt Capacity and Sys Weight'!$I$4) + (B636*$T$2)</f>
        <v>46.884502999999995</v>
      </c>
      <c r="R636" s="35">
        <f>'Batt Capacity and Sys Weight'!$H$4</f>
        <v>92.5</v>
      </c>
    </row>
    <row r="637" spans="1:18" x14ac:dyDescent="0.3">
      <c r="A637" s="35" t="s">
        <v>102</v>
      </c>
      <c r="B637" s="35">
        <v>9.86</v>
      </c>
      <c r="C637" s="35">
        <v>600</v>
      </c>
      <c r="D637" s="35" t="s">
        <v>72</v>
      </c>
      <c r="E637" s="36" t="str" cm="1">
        <f t="array" ref="E637">GetNumber(D637,1)</f>
        <v>11</v>
      </c>
      <c r="F637" s="36" t="str" cm="1">
        <f t="array" ref="F637">GetNumber(D637,2)</f>
        <v>8</v>
      </c>
      <c r="G637" s="35">
        <v>18.5</v>
      </c>
      <c r="H637" s="35">
        <v>10154</v>
      </c>
      <c r="I637" s="35">
        <f>38.82*($T$2)</f>
        <v>77.64</v>
      </c>
      <c r="J637" s="35">
        <f>718.1*($T$2)</f>
        <v>1436.2</v>
      </c>
      <c r="K637" s="35">
        <f t="shared" si="45"/>
        <v>3.8643642946664811</v>
      </c>
      <c r="L637" s="35">
        <f t="shared" si="46"/>
        <v>3.863987635239567</v>
      </c>
      <c r="M637" s="35">
        <f>5.480625*($T$2)</f>
        <v>10.96125</v>
      </c>
      <c r="N637" s="35">
        <f>76.9*(5280/3600)</f>
        <v>112.78666666666666</v>
      </c>
      <c r="O637" s="35">
        <f t="shared" si="44"/>
        <v>0.76321194819662996</v>
      </c>
      <c r="P637" s="35">
        <f t="shared" si="47"/>
        <v>42.358263124912966</v>
      </c>
      <c r="Q637" s="35">
        <f>('Batt Capacity and Sys Weight'!$I$4) + (B637*$T$2)</f>
        <v>46.884502999999995</v>
      </c>
      <c r="R637" s="35">
        <f>'Batt Capacity and Sys Weight'!$H$4</f>
        <v>92.5</v>
      </c>
    </row>
    <row r="638" spans="1:18" x14ac:dyDescent="0.3">
      <c r="A638" s="35" t="s">
        <v>102</v>
      </c>
      <c r="B638" s="35">
        <v>9.86</v>
      </c>
      <c r="C638" s="35">
        <v>600</v>
      </c>
      <c r="D638" s="35" t="s">
        <v>56</v>
      </c>
      <c r="E638" s="36" t="str" cm="1">
        <f t="array" ref="E638">GetNumber(D638,1)</f>
        <v>11</v>
      </c>
      <c r="F638" s="36" cm="1">
        <f t="array" ref="F638">GetNumber(D638,2)+(GetNumber(D638,3)/10)</f>
        <v>8.5</v>
      </c>
      <c r="G638" s="35">
        <v>18.5</v>
      </c>
      <c r="H638" s="35">
        <v>10042</v>
      </c>
      <c r="I638" s="35">
        <f>42.18*($T$2)</f>
        <v>84.36</v>
      </c>
      <c r="J638" s="35">
        <f>780.4*($T$2)</f>
        <v>1560.8</v>
      </c>
      <c r="K638" s="35">
        <f t="shared" si="45"/>
        <v>3.5558687852383395</v>
      </c>
      <c r="L638" s="35">
        <f t="shared" si="46"/>
        <v>3.5561877667140824</v>
      </c>
      <c r="M638" s="35">
        <f>5.56*($T$2)</f>
        <v>11.12</v>
      </c>
      <c r="N638" s="35">
        <f>80.8*(5280/3600)</f>
        <v>118.50666666666666</v>
      </c>
      <c r="O638" s="35">
        <f t="shared" si="44"/>
        <v>0.71245515120451053</v>
      </c>
      <c r="P638" s="35">
        <f t="shared" si="47"/>
        <v>39.541260891850335</v>
      </c>
      <c r="Q638" s="35">
        <f>('Batt Capacity and Sys Weight'!$I$4) + (B638*$T$2)</f>
        <v>46.884502999999995</v>
      </c>
      <c r="R638" s="35">
        <f>'Batt Capacity and Sys Weight'!$H$4</f>
        <v>92.5</v>
      </c>
    </row>
    <row r="639" spans="1:18" x14ac:dyDescent="0.3">
      <c r="A639" s="35" t="s">
        <v>102</v>
      </c>
      <c r="B639" s="35">
        <v>9.86</v>
      </c>
      <c r="C639" s="35">
        <v>600</v>
      </c>
      <c r="D639" s="35" t="s">
        <v>57</v>
      </c>
      <c r="E639" s="36" t="str" cm="1">
        <f t="array" ref="E639">GetNumber(D639,1)</f>
        <v>11</v>
      </c>
      <c r="F639" s="36" t="str" cm="1">
        <f t="array" ref="F639">GetNumber(D639,2)</f>
        <v>10</v>
      </c>
      <c r="G639" s="35">
        <v>18.5</v>
      </c>
      <c r="H639" s="35">
        <v>9877</v>
      </c>
      <c r="I639" s="35">
        <f>48.99*($T$2)</f>
        <v>97.98</v>
      </c>
      <c r="J639" s="35">
        <f>906.2*($T$2)</f>
        <v>1812.4</v>
      </c>
      <c r="K639" s="35">
        <f t="shared" si="45"/>
        <v>3.0622379165747073</v>
      </c>
      <c r="L639" s="35">
        <f t="shared" si="46"/>
        <v>3.061849357011635</v>
      </c>
      <c r="M639" s="35">
        <f>5.165625*($T$2)</f>
        <v>10.331250000000001</v>
      </c>
      <c r="N639" s="35">
        <f>93.5*(5280/3600)</f>
        <v>137.13333333333333</v>
      </c>
      <c r="O639" s="35">
        <f t="shared" si="44"/>
        <v>0.57003145001103517</v>
      </c>
      <c r="P639" s="35">
        <f t="shared" si="47"/>
        <v>31.636745475612447</v>
      </c>
      <c r="Q639" s="35">
        <f>('Batt Capacity and Sys Weight'!$I$4) + (B639*$T$2)</f>
        <v>46.884502999999995</v>
      </c>
      <c r="R639" s="35">
        <f>'Batt Capacity and Sys Weight'!$H$4</f>
        <v>92.5</v>
      </c>
    </row>
    <row r="640" spans="1:18" x14ac:dyDescent="0.3">
      <c r="A640" s="35" t="s">
        <v>102</v>
      </c>
      <c r="B640" s="35">
        <v>9.86</v>
      </c>
      <c r="C640" s="35">
        <v>600</v>
      </c>
      <c r="D640" s="35" t="s">
        <v>58</v>
      </c>
      <c r="E640" s="36" t="str" cm="1">
        <f t="array" ref="E640">GetNumber(D640,1)</f>
        <v>12</v>
      </c>
      <c r="F640" s="36" t="str" cm="1">
        <f t="array" ref="F640">GetNumber(D640,2)</f>
        <v>6</v>
      </c>
      <c r="G640" s="35">
        <v>18.5</v>
      </c>
      <c r="H640" s="35">
        <v>10125</v>
      </c>
      <c r="I640" s="35">
        <f>39.71*($T$2)</f>
        <v>79.42</v>
      </c>
      <c r="J640" s="35">
        <f>734.6*($T$2)</f>
        <v>1469.2</v>
      </c>
      <c r="K640" s="35">
        <f t="shared" si="45"/>
        <v>3.7775660223250749</v>
      </c>
      <c r="L640" s="35">
        <f t="shared" si="46"/>
        <v>3.7773860488541926</v>
      </c>
      <c r="M640" s="35">
        <f>6.854375*($T$2)</f>
        <v>13.70875</v>
      </c>
      <c r="N640" s="35">
        <f>57.5*(5280/3600)</f>
        <v>84.333333333333329</v>
      </c>
      <c r="O640" s="35">
        <f t="shared" si="44"/>
        <v>0.93307582357745711</v>
      </c>
      <c r="P640" s="35">
        <f t="shared" si="47"/>
        <v>51.785708208548868</v>
      </c>
      <c r="Q640" s="35">
        <f>('Batt Capacity and Sys Weight'!$I$4) + (B640*$T$2)</f>
        <v>46.884502999999995</v>
      </c>
      <c r="R640" s="35">
        <f>'Batt Capacity and Sys Weight'!$H$4</f>
        <v>92.5</v>
      </c>
    </row>
    <row r="641" spans="1:18" x14ac:dyDescent="0.3">
      <c r="A641" s="35" t="s">
        <v>102</v>
      </c>
      <c r="B641" s="35">
        <v>9.86</v>
      </c>
      <c r="C641" s="35">
        <v>600</v>
      </c>
      <c r="D641" s="35" t="s">
        <v>32</v>
      </c>
      <c r="E641" s="36" t="str" cm="1">
        <f t="array" ref="E641">GetNumber(D641,1)</f>
        <v>12</v>
      </c>
      <c r="F641" s="36" t="str" cm="1">
        <f t="array" ref="F641">GetNumber(D641,2)</f>
        <v>8</v>
      </c>
      <c r="G641" s="35">
        <v>18.5</v>
      </c>
      <c r="H641" s="35">
        <v>9850</v>
      </c>
      <c r="I641" s="35">
        <f>49.91*($T$2)</f>
        <v>99.82</v>
      </c>
      <c r="J641" s="35">
        <f>923.2*($T$2)</f>
        <v>1846.4</v>
      </c>
      <c r="K641" s="35">
        <f t="shared" si="45"/>
        <v>3.0058492201039861</v>
      </c>
      <c r="L641" s="35">
        <f t="shared" si="46"/>
        <v>3.0054097375275499</v>
      </c>
      <c r="M641" s="35">
        <f>6.29875*($T$2)</f>
        <v>12.5975</v>
      </c>
      <c r="N641" s="35">
        <f>74.6*(5280/3600)</f>
        <v>109.41333333333331</v>
      </c>
      <c r="O641" s="35">
        <f t="shared" si="44"/>
        <v>0.68227361351819749</v>
      </c>
      <c r="P641" s="35">
        <f t="shared" si="47"/>
        <v>37.866185550259964</v>
      </c>
      <c r="Q641" s="35">
        <f>('Batt Capacity and Sys Weight'!$I$4) + (B641*$T$2)</f>
        <v>46.884502999999995</v>
      </c>
      <c r="R641" s="35">
        <f>'Batt Capacity and Sys Weight'!$H$4</f>
        <v>92.5</v>
      </c>
    </row>
    <row r="642" spans="1:18" x14ac:dyDescent="0.3">
      <c r="A642" s="35" t="s">
        <v>102</v>
      </c>
      <c r="B642" s="35">
        <v>9.86</v>
      </c>
      <c r="C642" s="35">
        <v>600</v>
      </c>
      <c r="D642" s="35" t="s">
        <v>59</v>
      </c>
      <c r="E642" s="36" t="str" cm="1">
        <f t="array" ref="E642">GetNumber(D642,1)</f>
        <v>13</v>
      </c>
      <c r="F642" s="36" cm="1">
        <f t="array" ref="F642">GetNumber(D642,2)+(GetNumber(D642,3)/10)</f>
        <v>5.5</v>
      </c>
      <c r="G642" s="35">
        <v>18.5</v>
      </c>
      <c r="H642" s="35">
        <v>10060</v>
      </c>
      <c r="I642" s="35">
        <f>41.62*($T$2)</f>
        <v>83.24</v>
      </c>
      <c r="J642" s="35">
        <f>769.9*($T$2)</f>
        <v>1539.8</v>
      </c>
      <c r="K642" s="35">
        <f t="shared" si="45"/>
        <v>3.6043642031432652</v>
      </c>
      <c r="L642" s="35">
        <f t="shared" si="46"/>
        <v>3.6040365209034122</v>
      </c>
      <c r="M642" s="35">
        <f>7.69875*($T$2)</f>
        <v>15.397500000000001</v>
      </c>
      <c r="N642" s="35">
        <f>52.4*(5280/3600)</f>
        <v>76.853333333333325</v>
      </c>
      <c r="O642" s="35">
        <f t="shared" ref="O642:O705" si="49" xml:space="preserve"> (M642/J642)*100</f>
        <v>0.99996752825042223</v>
      </c>
      <c r="P642" s="35">
        <f t="shared" si="47"/>
        <v>55.498197817898429</v>
      </c>
      <c r="Q642" s="35">
        <f>('Batt Capacity and Sys Weight'!$I$4) + (B642*$T$2)</f>
        <v>46.884502999999995</v>
      </c>
      <c r="R642" s="35">
        <f>'Batt Capacity and Sys Weight'!$H$4</f>
        <v>92.5</v>
      </c>
    </row>
    <row r="643" spans="1:18" x14ac:dyDescent="0.3">
      <c r="A643" s="35" t="s">
        <v>102</v>
      </c>
      <c r="B643" s="35">
        <v>9.86</v>
      </c>
      <c r="C643" s="35">
        <v>600</v>
      </c>
      <c r="D643" s="35" t="s">
        <v>38</v>
      </c>
      <c r="E643" s="36" t="str" cm="1">
        <f t="array" ref="E643">GetNumber(D643,1)</f>
        <v>14</v>
      </c>
      <c r="F643" s="36" t="str" cm="1">
        <f t="array" ref="F643">GetNumber(D643,2)</f>
        <v>6</v>
      </c>
      <c r="G643" s="35">
        <v>18.5</v>
      </c>
      <c r="H643" s="35">
        <v>9804</v>
      </c>
      <c r="I643" s="35">
        <f>51.31*($T$2)</f>
        <v>102.62</v>
      </c>
      <c r="J643" s="35">
        <f>949.3*($T$2)</f>
        <v>1898.6</v>
      </c>
      <c r="K643" s="35">
        <f t="shared" ref="K643:K706" si="50" xml:space="preserve"> (R643/J643)*60</f>
        <v>2.9232065732645109</v>
      </c>
      <c r="L643" s="35">
        <f t="shared" ref="L643:L706" si="51">( (R643/G643)/I643)*60</f>
        <v>2.9234067433248878</v>
      </c>
      <c r="M643" s="35">
        <f>9.250625*($T$2)</f>
        <v>18.501249999999999</v>
      </c>
      <c r="N643" s="35">
        <f>55.7*(5280/3600)</f>
        <v>81.693333333333328</v>
      </c>
      <c r="O643" s="35">
        <f t="shared" si="49"/>
        <v>0.9744680290740545</v>
      </c>
      <c r="P643" s="35">
        <f t="shared" si="47"/>
        <v>54.082975613610031</v>
      </c>
      <c r="Q643" s="35">
        <f>('Batt Capacity and Sys Weight'!$I$4) + (B643*$T$2)</f>
        <v>46.884502999999995</v>
      </c>
      <c r="R643" s="35">
        <f>'Batt Capacity and Sys Weight'!$H$4</f>
        <v>92.5</v>
      </c>
    </row>
    <row r="644" spans="1:18" x14ac:dyDescent="0.3">
      <c r="A644" s="35" t="s">
        <v>102</v>
      </c>
      <c r="B644" s="35">
        <v>9.86</v>
      </c>
      <c r="C644" s="35">
        <v>600</v>
      </c>
      <c r="D644" s="35" t="s">
        <v>60</v>
      </c>
      <c r="E644" s="36" t="str" cm="1">
        <f t="array" ref="E644">GetNumber(D644,1)</f>
        <v>15</v>
      </c>
      <c r="F644" s="36" t="str" cm="1">
        <f t="array" ref="F644">GetNumber(D644,2)</f>
        <v>4</v>
      </c>
      <c r="G644" s="35">
        <v>18.5</v>
      </c>
      <c r="H644" s="35">
        <v>9639</v>
      </c>
      <c r="I644" s="35">
        <f>56.43*($T$2)</f>
        <v>112.86</v>
      </c>
      <c r="J644" s="35">
        <f>1044*($T$2)</f>
        <v>2088</v>
      </c>
      <c r="K644" s="35">
        <f t="shared" si="50"/>
        <v>2.6580459770114944</v>
      </c>
      <c r="L644" s="35">
        <f t="shared" si="51"/>
        <v>2.6581605528973951</v>
      </c>
      <c r="M644" s="35">
        <f>10.2975*($T$2)</f>
        <v>20.594999999999999</v>
      </c>
      <c r="N644" s="35">
        <f>36.5*(5280/3600)</f>
        <v>53.533333333333331</v>
      </c>
      <c r="O644" s="35">
        <f t="shared" si="49"/>
        <v>0.98635057471264365</v>
      </c>
      <c r="P644" s="35">
        <f t="shared" si="47"/>
        <v>54.742456896551722</v>
      </c>
      <c r="Q644" s="35">
        <f>('Batt Capacity and Sys Weight'!$I$4) + (B644*$T$2)</f>
        <v>46.884502999999995</v>
      </c>
      <c r="R644" s="35">
        <f>'Batt Capacity and Sys Weight'!$H$4</f>
        <v>92.5</v>
      </c>
    </row>
    <row r="645" spans="1:18" x14ac:dyDescent="0.3">
      <c r="A645" s="35" t="s">
        <v>102</v>
      </c>
      <c r="B645" s="35">
        <v>9.86</v>
      </c>
      <c r="C645" s="35">
        <v>600</v>
      </c>
      <c r="D645" s="35" t="s">
        <v>61</v>
      </c>
      <c r="E645" s="36" t="str" cm="1">
        <f t="array" ref="E645">GetNumber(D645,1)</f>
        <v>11</v>
      </c>
      <c r="F645" s="36" t="str" cm="1">
        <f t="array" ref="F645">GetNumber(D645,2)</f>
        <v>8</v>
      </c>
      <c r="G645" s="35">
        <v>18.5</v>
      </c>
      <c r="H645" s="35">
        <v>10225</v>
      </c>
      <c r="I645" s="35">
        <f>36.75*($T$2)</f>
        <v>73.5</v>
      </c>
      <c r="J645" s="35">
        <f>679.9*($T$2)</f>
        <v>1359.8</v>
      </c>
      <c r="K645" s="35">
        <f t="shared" si="50"/>
        <v>4.0814825709663189</v>
      </c>
      <c r="L645" s="35">
        <f t="shared" si="51"/>
        <v>4.0816326530612246</v>
      </c>
      <c r="M645" s="35">
        <f>4.391875*($T$2)</f>
        <v>8.7837499999999995</v>
      </c>
      <c r="N645" s="35">
        <f>77.5*(5280/3600)</f>
        <v>113.66666666666666</v>
      </c>
      <c r="O645" s="35">
        <f t="shared" si="49"/>
        <v>0.64595896455361079</v>
      </c>
      <c r="P645" s="35">
        <f t="shared" si="47"/>
        <v>35.850722532725399</v>
      </c>
      <c r="Q645" s="35">
        <f>('Batt Capacity and Sys Weight'!$I$4) + (B645*$T$2)</f>
        <v>46.884502999999995</v>
      </c>
      <c r="R645" s="35">
        <f>'Batt Capacity and Sys Weight'!$H$4</f>
        <v>92.5</v>
      </c>
    </row>
    <row r="646" spans="1:18" x14ac:dyDescent="0.3">
      <c r="A646" s="35" t="s">
        <v>102</v>
      </c>
      <c r="B646" s="35">
        <v>9.86</v>
      </c>
      <c r="C646" s="35">
        <v>600</v>
      </c>
      <c r="D646" s="35" t="s">
        <v>63</v>
      </c>
      <c r="E646" s="36" t="str" cm="1">
        <f t="array" ref="E646">GetNumber(D646,1)</f>
        <v>12</v>
      </c>
      <c r="F646" s="36" t="str" cm="1">
        <f t="array" ref="F646">GetNumber(D646,2)</f>
        <v>7</v>
      </c>
      <c r="G646" s="35">
        <v>18.5</v>
      </c>
      <c r="H646" s="35">
        <v>10105</v>
      </c>
      <c r="I646" s="35">
        <f>42.13*($T$2)</f>
        <v>84.26</v>
      </c>
      <c r="J646" s="35">
        <f>779.4*($T$2)</f>
        <v>1558.8</v>
      </c>
      <c r="K646" s="35">
        <f t="shared" si="50"/>
        <v>3.560431100846805</v>
      </c>
      <c r="L646" s="35">
        <f t="shared" si="51"/>
        <v>3.5604082601471632</v>
      </c>
      <c r="M646" s="35">
        <f>6.190625*($T$2)</f>
        <v>12.38125</v>
      </c>
      <c r="N646" s="35">
        <f>67*(5280/3600)</f>
        <v>98.266666666666666</v>
      </c>
      <c r="O646" s="35">
        <f t="shared" si="49"/>
        <v>0.79428085706954066</v>
      </c>
      <c r="P646" s="35">
        <f t="shared" si="47"/>
        <v>44.082587567359504</v>
      </c>
      <c r="Q646" s="35">
        <f>('Batt Capacity and Sys Weight'!$I$4) + (B646*$T$2)</f>
        <v>46.884502999999995</v>
      </c>
      <c r="R646" s="35">
        <f>'Batt Capacity and Sys Weight'!$H$4</f>
        <v>92.5</v>
      </c>
    </row>
    <row r="647" spans="1:18" x14ac:dyDescent="0.3">
      <c r="A647" s="35" t="s">
        <v>102</v>
      </c>
      <c r="B647" s="35">
        <v>9.86</v>
      </c>
      <c r="C647" s="35">
        <v>600</v>
      </c>
      <c r="D647" s="35" t="s">
        <v>64</v>
      </c>
      <c r="E647" s="36" t="str" cm="1">
        <f t="array" ref="E647">GetNumber(D647,1)</f>
        <v>12</v>
      </c>
      <c r="F647" s="36" t="str" cm="1">
        <f t="array" ref="F647">GetNumber(D647,2)</f>
        <v>8</v>
      </c>
      <c r="G647" s="35">
        <v>18.5</v>
      </c>
      <c r="H647" s="35">
        <v>9855</v>
      </c>
      <c r="I647" s="35">
        <f>49.66*($T$2)</f>
        <v>99.32</v>
      </c>
      <c r="J647" s="35">
        <f>918.7*($T$2)</f>
        <v>1837.4</v>
      </c>
      <c r="K647" s="35">
        <f t="shared" si="50"/>
        <v>3.0205725481658865</v>
      </c>
      <c r="L647" s="35">
        <f t="shared" si="51"/>
        <v>3.0205396697543296</v>
      </c>
      <c r="M647" s="35">
        <f>5.555625*($T$2)</f>
        <v>11.11125</v>
      </c>
      <c r="N647" s="35">
        <f>74.7*(5280/3600)</f>
        <v>109.56</v>
      </c>
      <c r="O647" s="35">
        <f t="shared" si="49"/>
        <v>0.60472678785240008</v>
      </c>
      <c r="P647" s="35">
        <f t="shared" si="47"/>
        <v>33.562336725808208</v>
      </c>
      <c r="Q647" s="35">
        <f>('Batt Capacity and Sys Weight'!$I$4) + (B647*$T$2)</f>
        <v>46.884502999999995</v>
      </c>
      <c r="R647" s="35">
        <f>'Batt Capacity and Sys Weight'!$H$4</f>
        <v>92.5</v>
      </c>
    </row>
    <row r="648" spans="1:18" x14ac:dyDescent="0.3">
      <c r="A648" s="35" t="s">
        <v>102</v>
      </c>
      <c r="B648" s="35">
        <v>9.86</v>
      </c>
      <c r="C648" s="35">
        <v>600</v>
      </c>
      <c r="D648" s="35" t="s">
        <v>65</v>
      </c>
      <c r="E648" s="36" t="str" cm="1">
        <f t="array" ref="E648">GetNumber(D648,1)</f>
        <v>13</v>
      </c>
      <c r="F648" s="36" t="str" cm="1">
        <f t="array" ref="F648">GetNumber(D648,2)</f>
        <v>6</v>
      </c>
      <c r="G648" s="35">
        <v>18.5</v>
      </c>
      <c r="H648" s="35">
        <v>10106</v>
      </c>
      <c r="I648" s="35">
        <f>42.04*($T$2)</f>
        <v>84.08</v>
      </c>
      <c r="J648" s="35">
        <f>777.8*($T$2)</f>
        <v>1555.6</v>
      </c>
      <c r="K648" s="35">
        <f t="shared" si="50"/>
        <v>3.5677552069940859</v>
      </c>
      <c r="L648" s="35">
        <f t="shared" si="51"/>
        <v>3.5680304471931494</v>
      </c>
      <c r="M648" s="35">
        <f>7.37*($T$2)</f>
        <v>14.74</v>
      </c>
      <c r="N648" s="35">
        <f>57.4*(5280/3600)</f>
        <v>84.186666666666653</v>
      </c>
      <c r="O648" s="35">
        <f t="shared" si="49"/>
        <v>0.94754435587554653</v>
      </c>
      <c r="P648" s="35">
        <f t="shared" si="47"/>
        <v>52.588711751092823</v>
      </c>
      <c r="Q648" s="35">
        <f>('Batt Capacity and Sys Weight'!$I$4) + (B648*$T$2)</f>
        <v>46.884502999999995</v>
      </c>
      <c r="R648" s="35">
        <f>'Batt Capacity and Sys Weight'!$H$4</f>
        <v>92.5</v>
      </c>
    </row>
    <row r="649" spans="1:18" x14ac:dyDescent="0.3">
      <c r="A649" s="35" t="s">
        <v>102</v>
      </c>
      <c r="B649" s="35">
        <v>9.86</v>
      </c>
      <c r="C649" s="35">
        <v>600</v>
      </c>
      <c r="D649" s="35" t="s">
        <v>47</v>
      </c>
      <c r="E649" s="36" t="str" cm="1">
        <f t="array" ref="E649">GetNumber(D649,1)</f>
        <v>14</v>
      </c>
      <c r="F649" s="36" t="str" cm="1">
        <f t="array" ref="F649">GetNumber(D649,2)</f>
        <v>6</v>
      </c>
      <c r="G649" s="35">
        <v>18.5</v>
      </c>
      <c r="H649" s="35">
        <v>9625</v>
      </c>
      <c r="I649" s="35">
        <f>56.58*($T$2)</f>
        <v>113.16</v>
      </c>
      <c r="J649" s="35">
        <f>1046.7*($T$2)</f>
        <v>2093.4</v>
      </c>
      <c r="K649" s="35">
        <f t="shared" si="50"/>
        <v>2.6511894525652049</v>
      </c>
      <c r="L649" s="35">
        <f t="shared" si="51"/>
        <v>2.6511134676564154</v>
      </c>
      <c r="M649" s="35">
        <f>8.845*($T$2)</f>
        <v>17.690000000000001</v>
      </c>
      <c r="N649" s="35">
        <f>54.7*(5280/3600)</f>
        <v>80.226666666666659</v>
      </c>
      <c r="O649" s="35">
        <f t="shared" si="49"/>
        <v>0.84503678226808077</v>
      </c>
      <c r="P649" s="35">
        <f t="shared" si="47"/>
        <v>46.899541415878481</v>
      </c>
      <c r="Q649" s="35">
        <f>('Batt Capacity and Sys Weight'!$I$4) + (B649*$T$2)</f>
        <v>46.884502999999995</v>
      </c>
      <c r="R649" s="35">
        <f>'Batt Capacity and Sys Weight'!$H$4</f>
        <v>92.5</v>
      </c>
    </row>
    <row r="650" spans="1:18" x14ac:dyDescent="0.3">
      <c r="A650" s="35" t="s">
        <v>102</v>
      </c>
      <c r="B650" s="35">
        <v>9.86</v>
      </c>
      <c r="C650" s="35">
        <v>600</v>
      </c>
      <c r="D650" s="35" t="s">
        <v>81</v>
      </c>
      <c r="E650" s="36" t="str" cm="1">
        <f t="array" ref="E650">GetNumber(D650,1)</f>
        <v>11</v>
      </c>
      <c r="F650" s="36" t="str" cm="1">
        <f t="array" ref="F650">GetNumber(D650,2)</f>
        <v>7</v>
      </c>
      <c r="G650" s="35">
        <v>18.5</v>
      </c>
      <c r="H650" s="35">
        <v>10245</v>
      </c>
      <c r="I650" s="35">
        <f>36.16*($T$2)</f>
        <v>72.319999999999993</v>
      </c>
      <c r="J650" s="35">
        <f>669*($T$2)</f>
        <v>1338</v>
      </c>
      <c r="K650" s="35">
        <f t="shared" si="50"/>
        <v>4.1479820627802688</v>
      </c>
      <c r="L650" s="35">
        <f t="shared" si="51"/>
        <v>4.1482300884955761</v>
      </c>
      <c r="M650" s="35">
        <f>6.113125*($T$2)</f>
        <v>12.22625</v>
      </c>
      <c r="N650" s="35">
        <f>67.9*(5280/3600)</f>
        <v>99.586666666666673</v>
      </c>
      <c r="O650" s="35">
        <f t="shared" si="49"/>
        <v>0.91377055306427513</v>
      </c>
      <c r="P650" s="35">
        <f t="shared" si="47"/>
        <v>50.714265695067262</v>
      </c>
      <c r="Q650" s="35">
        <f>('Batt Capacity and Sys Weight'!$I$4) + (B650*$T$2)</f>
        <v>46.884502999999995</v>
      </c>
      <c r="R650" s="35">
        <f>'Batt Capacity and Sys Weight'!$H$4</f>
        <v>92.5</v>
      </c>
    </row>
    <row r="651" spans="1:18" x14ac:dyDescent="0.3">
      <c r="A651" s="35" t="s">
        <v>102</v>
      </c>
      <c r="B651" s="35">
        <v>9.86</v>
      </c>
      <c r="C651" s="35">
        <v>600</v>
      </c>
      <c r="D651" s="35" t="s">
        <v>66</v>
      </c>
      <c r="E651" s="36" t="str" cm="1">
        <f t="array" ref="E651">GetNumber(D651,1)</f>
        <v>11</v>
      </c>
      <c r="F651" s="36" t="str" cm="1">
        <f t="array" ref="F651">GetNumber(D651,2)</f>
        <v>8</v>
      </c>
      <c r="G651" s="35">
        <v>18.5</v>
      </c>
      <c r="H651" s="35">
        <v>10117</v>
      </c>
      <c r="I651" s="35">
        <f>39.8*($T$2)</f>
        <v>79.599999999999994</v>
      </c>
      <c r="J651" s="35">
        <f>736.4*($T$2)</f>
        <v>1472.8</v>
      </c>
      <c r="K651" s="35">
        <f t="shared" si="50"/>
        <v>3.7683324280282458</v>
      </c>
      <c r="L651" s="35">
        <f t="shared" si="51"/>
        <v>3.7688442211055282</v>
      </c>
      <c r="M651" s="35">
        <f>6.44875*($T$2)</f>
        <v>12.897500000000001</v>
      </c>
      <c r="N651" s="35">
        <f>76.6*(5280/3600)</f>
        <v>112.34666666666665</v>
      </c>
      <c r="O651" s="35">
        <f t="shared" si="49"/>
        <v>0.87571292775665421</v>
      </c>
      <c r="P651" s="35">
        <f t="shared" si="47"/>
        <v>48.602067490494299</v>
      </c>
      <c r="Q651" s="35">
        <f>('Batt Capacity and Sys Weight'!$I$4) + (B651*$T$2)</f>
        <v>46.884502999999995</v>
      </c>
      <c r="R651" s="35">
        <f>'Batt Capacity and Sys Weight'!$H$4</f>
        <v>92.5</v>
      </c>
    </row>
    <row r="652" spans="1:18" x14ac:dyDescent="0.3">
      <c r="A652" s="35" t="s">
        <v>102</v>
      </c>
      <c r="B652" s="35">
        <v>9.86</v>
      </c>
      <c r="C652" s="35">
        <v>600</v>
      </c>
      <c r="D652" s="35" t="s">
        <v>53</v>
      </c>
      <c r="E652" s="36" t="str" cm="1">
        <f t="array" ref="E652">GetNumber(D652,1)</f>
        <v>12</v>
      </c>
      <c r="F652" s="36" t="str" cm="1">
        <f t="array" ref="F652">GetNumber(D652,2)</f>
        <v>6</v>
      </c>
      <c r="G652" s="35">
        <v>18.5</v>
      </c>
      <c r="H652" s="35">
        <v>10074</v>
      </c>
      <c r="I652" s="35">
        <f>41.42*($T$2)</f>
        <v>82.84</v>
      </c>
      <c r="J652" s="35">
        <f>766.3*($T$2)</f>
        <v>1532.6</v>
      </c>
      <c r="K652" s="35">
        <f t="shared" si="50"/>
        <v>3.621297142111445</v>
      </c>
      <c r="L652" s="35">
        <f t="shared" si="51"/>
        <v>3.6214389183969096</v>
      </c>
      <c r="M652" s="35">
        <f>7.189375*($T$2)</f>
        <v>14.37875</v>
      </c>
      <c r="N652" s="35">
        <f>57.2*(5280/3600)</f>
        <v>83.893333333333331</v>
      </c>
      <c r="O652" s="35">
        <f t="shared" si="49"/>
        <v>0.93819326634477362</v>
      </c>
      <c r="P652" s="35">
        <f t="shared" si="47"/>
        <v>52.069726282134944</v>
      </c>
      <c r="Q652" s="35">
        <f>('Batt Capacity and Sys Weight'!$I$4) + (B652*$T$2)</f>
        <v>46.884502999999995</v>
      </c>
      <c r="R652" s="35">
        <f>'Batt Capacity and Sys Weight'!$H$4</f>
        <v>92.5</v>
      </c>
    </row>
    <row r="653" spans="1:18" x14ac:dyDescent="0.3">
      <c r="A653" s="35" t="s">
        <v>102</v>
      </c>
      <c r="B653" s="35">
        <v>9.86</v>
      </c>
      <c r="C653" s="35">
        <v>600</v>
      </c>
      <c r="D653" s="35" t="s">
        <v>104</v>
      </c>
      <c r="E653" s="36" t="str" cm="1">
        <f t="array" ref="E653">GetNumber(D653,1)</f>
        <v>9</v>
      </c>
      <c r="F653" s="36" cm="1">
        <f t="array" ref="F653">GetNumber(D653,2)+(GetNumber(D653,3)/10)</f>
        <v>7.5</v>
      </c>
      <c r="G653" s="35">
        <v>22.2</v>
      </c>
      <c r="H653" s="35">
        <v>12356</v>
      </c>
      <c r="I653" s="35">
        <f>36.38*($T$2)</f>
        <v>72.760000000000005</v>
      </c>
      <c r="J653" s="35">
        <f>807.6*($T$2)</f>
        <v>1615.2</v>
      </c>
      <c r="K653" s="35">
        <f t="shared" si="50"/>
        <v>3.710995542347697</v>
      </c>
      <c r="L653" s="35">
        <f t="shared" si="51"/>
        <v>3.7108301264431001</v>
      </c>
      <c r="M653" s="35">
        <f>4.279375*($T$2)</f>
        <v>8.5587499999999999</v>
      </c>
      <c r="N653" s="35">
        <f>87.8*(5280/3600)</f>
        <v>128.77333333333331</v>
      </c>
      <c r="O653" s="35">
        <f t="shared" si="49"/>
        <v>0.52988793957404645</v>
      </c>
      <c r="P653" s="35">
        <f t="shared" si="47"/>
        <v>31.76148309806835</v>
      </c>
      <c r="Q653" s="35">
        <f>('Batt Capacity and Sys Weight'!$I$5) + (B653*$T$2)</f>
        <v>51.293752999999995</v>
      </c>
      <c r="R653" s="35">
        <f>'Batt Capacity and Sys Weight'!$H$5</f>
        <v>99.9</v>
      </c>
    </row>
    <row r="654" spans="1:18" x14ac:dyDescent="0.3">
      <c r="A654" s="35" t="s">
        <v>102</v>
      </c>
      <c r="B654" s="35">
        <v>9.86</v>
      </c>
      <c r="C654" s="35">
        <v>600</v>
      </c>
      <c r="D654" s="35" t="s">
        <v>103</v>
      </c>
      <c r="E654" s="36" t="str" cm="1">
        <f t="array" ref="E654">GetNumber(D654,1)</f>
        <v>9</v>
      </c>
      <c r="F654" s="36" t="str" cm="1">
        <f t="array" ref="F654">GetNumber(D654,2)</f>
        <v>9</v>
      </c>
      <c r="G654" s="35">
        <v>22.2</v>
      </c>
      <c r="H654" s="35">
        <v>12265</v>
      </c>
      <c r="I654" s="35">
        <f>40.79*($T$2)</f>
        <v>81.58</v>
      </c>
      <c r="J654" s="35">
        <f>905.6*($T$2)</f>
        <v>1811.2</v>
      </c>
      <c r="K654" s="35">
        <f t="shared" si="50"/>
        <v>3.3094081272084805</v>
      </c>
      <c r="L654" s="35">
        <f t="shared" si="51"/>
        <v>3.3096347143907821</v>
      </c>
      <c r="M654" s="35">
        <f>4.363125*($T$2)</f>
        <v>8.7262500000000003</v>
      </c>
      <c r="N654" s="35">
        <f>104.5*(5280/3600)</f>
        <v>153.26666666666665</v>
      </c>
      <c r="O654" s="35">
        <f t="shared" si="49"/>
        <v>0.48179383833922257</v>
      </c>
      <c r="P654" s="35">
        <f t="shared" si="47"/>
        <v>28.878722670053005</v>
      </c>
      <c r="Q654" s="35">
        <f>('Batt Capacity and Sys Weight'!$I$5) + (B654*$T$2)</f>
        <v>51.293752999999995</v>
      </c>
      <c r="R654" s="35">
        <f>'Batt Capacity and Sys Weight'!$H$5</f>
        <v>99.9</v>
      </c>
    </row>
    <row r="655" spans="1:18" x14ac:dyDescent="0.3">
      <c r="A655" s="35" t="s">
        <v>102</v>
      </c>
      <c r="B655" s="35">
        <v>9.86</v>
      </c>
      <c r="C655" s="35">
        <v>600</v>
      </c>
      <c r="D655" s="35" t="s">
        <v>68</v>
      </c>
      <c r="E655" s="36" t="str" cm="1">
        <f t="array" ref="E655">GetNumber(D655,1)</f>
        <v>10</v>
      </c>
      <c r="F655" s="36" t="str" cm="1">
        <f t="array" ref="F655">GetNumber(D655,2)</f>
        <v>7</v>
      </c>
      <c r="G655" s="35">
        <v>22.2</v>
      </c>
      <c r="H655" s="35">
        <v>12332</v>
      </c>
      <c r="I655" s="35">
        <f>37.06*($T$2)</f>
        <v>74.12</v>
      </c>
      <c r="J655" s="35">
        <f>822.6*($T$2)</f>
        <v>1645.2</v>
      </c>
      <c r="K655" s="35">
        <f t="shared" si="50"/>
        <v>3.6433260393873086</v>
      </c>
      <c r="L655" s="35">
        <f t="shared" si="51"/>
        <v>3.6427415002698327</v>
      </c>
      <c r="M655" s="35">
        <f>5.544375*($T$2)</f>
        <v>11.088749999999999</v>
      </c>
      <c r="N655" s="35">
        <f>81.7*(5280/3600)</f>
        <v>119.82666666666667</v>
      </c>
      <c r="O655" s="35">
        <f t="shared" si="49"/>
        <v>0.67400619985412102</v>
      </c>
      <c r="P655" s="35">
        <f t="shared" si="47"/>
        <v>40.399931619256016</v>
      </c>
      <c r="Q655" s="35">
        <f>('Batt Capacity and Sys Weight'!$I$5) + (B655*$T$2)</f>
        <v>51.293752999999995</v>
      </c>
      <c r="R655" s="35">
        <f>'Batt Capacity and Sys Weight'!$H$5</f>
        <v>99.9</v>
      </c>
    </row>
    <row r="656" spans="1:18" x14ac:dyDescent="0.3">
      <c r="A656" s="35" t="s">
        <v>102</v>
      </c>
      <c r="B656" s="35">
        <v>9.86</v>
      </c>
      <c r="C656" s="35">
        <v>600</v>
      </c>
      <c r="D656" s="35" t="s">
        <v>69</v>
      </c>
      <c r="E656" s="36" t="str" cm="1">
        <f t="array" ref="E656">GetNumber(D656,1)</f>
        <v>10</v>
      </c>
      <c r="F656" s="36" t="str" cm="1">
        <f t="array" ref="F656">GetNumber(D656,2)</f>
        <v>8</v>
      </c>
      <c r="G656" s="35">
        <v>22.2</v>
      </c>
      <c r="H656" s="35">
        <v>12187</v>
      </c>
      <c r="I656" s="35">
        <f>43.02*($T$2)</f>
        <v>86.04</v>
      </c>
      <c r="J656" s="35">
        <f>955*($T$2)</f>
        <v>1910</v>
      </c>
      <c r="K656" s="35">
        <f t="shared" si="50"/>
        <v>3.1382198952879583</v>
      </c>
      <c r="L656" s="35">
        <f t="shared" si="51"/>
        <v>3.1380753138075312</v>
      </c>
      <c r="M656" s="35">
        <f>5.6*($T$2)</f>
        <v>11.2</v>
      </c>
      <c r="N656" s="35">
        <f>92.3*(5280/3600)</f>
        <v>135.37333333333331</v>
      </c>
      <c r="O656" s="35">
        <f t="shared" si="49"/>
        <v>0.58638743455497377</v>
      </c>
      <c r="P656" s="35">
        <f t="shared" si="47"/>
        <v>35.148062827225132</v>
      </c>
      <c r="Q656" s="35">
        <f>('Batt Capacity and Sys Weight'!$I$5) + (B656*$T$2)</f>
        <v>51.293752999999995</v>
      </c>
      <c r="R656" s="35">
        <f>'Batt Capacity and Sys Weight'!$H$5</f>
        <v>99.9</v>
      </c>
    </row>
    <row r="657" spans="1:18" x14ac:dyDescent="0.3">
      <c r="A657" s="35" t="s">
        <v>102</v>
      </c>
      <c r="B657" s="35">
        <v>9.86</v>
      </c>
      <c r="C657" s="35">
        <v>600</v>
      </c>
      <c r="D657" s="35" t="s">
        <v>55</v>
      </c>
      <c r="E657" s="36" t="str" cm="1">
        <f t="array" ref="E657">GetNumber(D657,1)</f>
        <v>10</v>
      </c>
      <c r="F657" s="36" t="str" cm="1">
        <f t="array" ref="F657">GetNumber(D657,2)</f>
        <v>10</v>
      </c>
      <c r="G657" s="35">
        <v>22.2</v>
      </c>
      <c r="H657" s="35">
        <v>11788</v>
      </c>
      <c r="I657" s="35">
        <f>56.96*($T$2)</f>
        <v>113.92</v>
      </c>
      <c r="J657" s="35">
        <f>1264.6*($T$2)</f>
        <v>2529.1999999999998</v>
      </c>
      <c r="K657" s="35">
        <f t="shared" si="50"/>
        <v>2.369919342084454</v>
      </c>
      <c r="L657" s="35">
        <f t="shared" si="51"/>
        <v>2.3700842696629216</v>
      </c>
      <c r="M657" s="35">
        <f>5.1875*($T$2)</f>
        <v>10.375</v>
      </c>
      <c r="N657" s="35">
        <f>111.6*(5280/3600)</f>
        <v>163.67999999999998</v>
      </c>
      <c r="O657" s="35">
        <f t="shared" si="49"/>
        <v>0.41020876166376724</v>
      </c>
      <c r="P657" s="35">
        <f t="shared" ref="P657:P720" si="52">M657*K657</f>
        <v>24.587913174126211</v>
      </c>
      <c r="Q657" s="35">
        <f>('Batt Capacity and Sys Weight'!$I$5) + (B657*$T$2)</f>
        <v>51.293752999999995</v>
      </c>
      <c r="R657" s="35">
        <f>'Batt Capacity and Sys Weight'!$H$5</f>
        <v>99.9</v>
      </c>
    </row>
    <row r="658" spans="1:18" x14ac:dyDescent="0.3">
      <c r="A658" s="35" t="s">
        <v>102</v>
      </c>
      <c r="B658" s="35">
        <v>9.86</v>
      </c>
      <c r="C658" s="35">
        <v>600</v>
      </c>
      <c r="D658" s="35" t="s">
        <v>70</v>
      </c>
      <c r="E658" s="36" t="str" cm="1">
        <f t="array" ref="E658">GetNumber(D658,1)</f>
        <v>11</v>
      </c>
      <c r="F658" s="36" cm="1">
        <f t="array" ref="F658">GetNumber(D658,2)+(GetNumber(D658,3)/10)</f>
        <v>5.5</v>
      </c>
      <c r="G658" s="35">
        <v>22.2</v>
      </c>
      <c r="H658" s="35">
        <v>12150</v>
      </c>
      <c r="I658" s="35">
        <f>42.35*($T$2)</f>
        <v>84.7</v>
      </c>
      <c r="J658" s="35">
        <f>940.1*($T$2)</f>
        <v>1880.2</v>
      </c>
      <c r="K658" s="35">
        <f t="shared" si="50"/>
        <v>3.1879587277949155</v>
      </c>
      <c r="L658" s="35">
        <f t="shared" si="51"/>
        <v>3.1877213695395512</v>
      </c>
      <c r="M658" s="35">
        <f>7.149375*($T$2)</f>
        <v>14.29875</v>
      </c>
      <c r="N658" s="35">
        <f>63.3*(5280/3600)</f>
        <v>92.839999999999989</v>
      </c>
      <c r="O658" s="35">
        <f t="shared" si="49"/>
        <v>0.76049090522284868</v>
      </c>
      <c r="P658" s="35">
        <f t="shared" si="52"/>
        <v>45.58382485905755</v>
      </c>
      <c r="Q658" s="35">
        <f>('Batt Capacity and Sys Weight'!$I$5) + (B658*$T$2)</f>
        <v>51.293752999999995</v>
      </c>
      <c r="R658" s="35">
        <f>'Batt Capacity and Sys Weight'!$H$5</f>
        <v>99.9</v>
      </c>
    </row>
    <row r="659" spans="1:18" x14ac:dyDescent="0.3">
      <c r="A659" s="35" t="s">
        <v>102</v>
      </c>
      <c r="B659" s="35">
        <v>9.86</v>
      </c>
      <c r="C659" s="35">
        <v>600</v>
      </c>
      <c r="D659" s="35" t="s">
        <v>71</v>
      </c>
      <c r="E659" s="36" t="str" cm="1">
        <f t="array" ref="E659">GetNumber(D659,1)</f>
        <v>11</v>
      </c>
      <c r="F659" s="36" t="str" cm="1">
        <f t="array" ref="F659">GetNumber(D659,2)</f>
        <v>7</v>
      </c>
      <c r="G659" s="35">
        <v>22.2</v>
      </c>
      <c r="H659" s="35">
        <v>11923</v>
      </c>
      <c r="I659" s="35">
        <f>52.06*($T$2)</f>
        <v>104.12</v>
      </c>
      <c r="J659" s="35">
        <f>1155.8*($T$2)</f>
        <v>2311.6</v>
      </c>
      <c r="K659" s="35">
        <f t="shared" si="50"/>
        <v>2.5930091711368748</v>
      </c>
      <c r="L659" s="35">
        <f t="shared" si="51"/>
        <v>2.5931617364579331</v>
      </c>
      <c r="M659" s="35">
        <f>7.643125*($T$2)</f>
        <v>15.286250000000001</v>
      </c>
      <c r="N659" s="35">
        <f>79*(5280/3600)</f>
        <v>115.86666666666666</v>
      </c>
      <c r="O659" s="35">
        <f t="shared" si="49"/>
        <v>0.66128439176328091</v>
      </c>
      <c r="P659" s="35">
        <f t="shared" si="52"/>
        <v>39.637386442291053</v>
      </c>
      <c r="Q659" s="35">
        <f>('Batt Capacity and Sys Weight'!$I$5) + (B659*$T$2)</f>
        <v>51.293752999999995</v>
      </c>
      <c r="R659" s="35">
        <f>'Batt Capacity and Sys Weight'!$H$5</f>
        <v>99.9</v>
      </c>
    </row>
    <row r="660" spans="1:18" x14ac:dyDescent="0.3">
      <c r="A660" s="35" t="s">
        <v>102</v>
      </c>
      <c r="B660" s="35">
        <v>9.86</v>
      </c>
      <c r="C660" s="35">
        <v>600</v>
      </c>
      <c r="D660" s="35" t="s">
        <v>98</v>
      </c>
      <c r="E660" s="36" t="str" cm="1">
        <f t="array" ref="E660">GetNumber(D660,1)</f>
        <v>13</v>
      </c>
      <c r="F660" s="36" t="str" cm="1">
        <f t="array" ref="F660">GetNumber(D660,2)</f>
        <v>4</v>
      </c>
      <c r="G660" s="35">
        <v>22.2</v>
      </c>
      <c r="H660" s="35">
        <v>12030</v>
      </c>
      <c r="I660" s="35">
        <f>47.74*($T$2)</f>
        <v>95.48</v>
      </c>
      <c r="J660" s="35">
        <f>1059.8*($T$2)</f>
        <v>2119.6</v>
      </c>
      <c r="K660" s="35">
        <f t="shared" si="50"/>
        <v>2.8278920551047371</v>
      </c>
      <c r="L660" s="35">
        <f t="shared" si="51"/>
        <v>2.8278173439463758</v>
      </c>
      <c r="M660" s="35">
        <f>9.455625*($T$2)</f>
        <v>18.911249999999999</v>
      </c>
      <c r="N660" s="35">
        <f>45.6*(5280/3600)</f>
        <v>66.88</v>
      </c>
      <c r="O660" s="35">
        <f t="shared" si="49"/>
        <v>0.89220843555387808</v>
      </c>
      <c r="P660" s="35">
        <f t="shared" si="52"/>
        <v>53.478973627099457</v>
      </c>
      <c r="Q660" s="35">
        <f>('Batt Capacity and Sys Weight'!$I$5) + (B660*$T$2)</f>
        <v>51.293752999999995</v>
      </c>
      <c r="R660" s="35">
        <f>'Batt Capacity and Sys Weight'!$H$5</f>
        <v>99.9</v>
      </c>
    </row>
    <row r="661" spans="1:18" x14ac:dyDescent="0.3">
      <c r="A661" s="35" t="s">
        <v>102</v>
      </c>
      <c r="B661" s="35">
        <v>9.86</v>
      </c>
      <c r="C661" s="35">
        <v>600</v>
      </c>
      <c r="D661" s="35" t="s">
        <v>75</v>
      </c>
      <c r="E661" s="36" t="str" cm="1">
        <f t="array" ref="E661">GetNumber(D661,1)</f>
        <v>10</v>
      </c>
      <c r="F661" s="36" t="str" cm="1">
        <f t="array" ref="F661">GetNumber(D661,2)</f>
        <v>8</v>
      </c>
      <c r="G661" s="35">
        <v>22.2</v>
      </c>
      <c r="H661" s="35">
        <v>12231</v>
      </c>
      <c r="I661" s="35">
        <f>39.92*($T$2)</f>
        <v>79.84</v>
      </c>
      <c r="J661" s="35">
        <f>886.2*($T$2)</f>
        <v>1772.4</v>
      </c>
      <c r="K661" s="35">
        <f t="shared" si="50"/>
        <v>3.3818551117129316</v>
      </c>
      <c r="L661" s="35">
        <f t="shared" si="51"/>
        <v>3.3817635270541082</v>
      </c>
      <c r="M661" s="35">
        <f>4.920625*($T$2)</f>
        <v>9.8412500000000005</v>
      </c>
      <c r="N661" s="35">
        <f>92.7*(5280/3600)</f>
        <v>135.96</v>
      </c>
      <c r="O661" s="35">
        <f t="shared" si="49"/>
        <v>0.55524994357932744</v>
      </c>
      <c r="P661" s="35">
        <f t="shared" si="52"/>
        <v>33.281681618144887</v>
      </c>
      <c r="Q661" s="35">
        <f>('Batt Capacity and Sys Weight'!$I$5) + (B661*$T$2)</f>
        <v>51.293752999999995</v>
      </c>
      <c r="R661" s="35">
        <f>'Batt Capacity and Sys Weight'!$H$5</f>
        <v>99.9</v>
      </c>
    </row>
    <row r="662" spans="1:18" x14ac:dyDescent="0.3">
      <c r="A662" s="35" t="s">
        <v>102</v>
      </c>
      <c r="B662" s="35">
        <v>9.86</v>
      </c>
      <c r="C662" s="35">
        <v>600</v>
      </c>
      <c r="D662" s="35" t="s">
        <v>77</v>
      </c>
      <c r="E662" s="36" t="str" cm="1">
        <f t="array" ref="E662">GetNumber(D662,1)</f>
        <v>11</v>
      </c>
      <c r="F662" s="36" t="str" cm="1">
        <f t="array" ref="F662">GetNumber(D662,2)</f>
        <v>6</v>
      </c>
      <c r="G662" s="35">
        <v>22.2</v>
      </c>
      <c r="H662" s="35">
        <v>12320</v>
      </c>
      <c r="I662" s="35">
        <f>37.81*($T$2)</f>
        <v>75.62</v>
      </c>
      <c r="J662" s="35">
        <f>839.4*($T$2)</f>
        <v>1678.8</v>
      </c>
      <c r="K662" s="35">
        <f t="shared" si="50"/>
        <v>3.5704074338813441</v>
      </c>
      <c r="L662" s="35">
        <f t="shared" si="51"/>
        <v>3.5704839989420787</v>
      </c>
      <c r="M662" s="35">
        <f>6.68875*($T$2)</f>
        <v>13.3775</v>
      </c>
      <c r="N662" s="35">
        <f>70*(5280/3600)</f>
        <v>102.66666666666666</v>
      </c>
      <c r="O662" s="35">
        <f t="shared" si="49"/>
        <v>0.79684893971884685</v>
      </c>
      <c r="P662" s="35">
        <f t="shared" si="52"/>
        <v>47.763125446747679</v>
      </c>
      <c r="Q662" s="35">
        <f>('Batt Capacity and Sys Weight'!$I$5) + (B662*$T$2)</f>
        <v>51.293752999999995</v>
      </c>
      <c r="R662" s="35">
        <f>'Batt Capacity and Sys Weight'!$H$5</f>
        <v>99.9</v>
      </c>
    </row>
    <row r="663" spans="1:18" x14ac:dyDescent="0.3">
      <c r="A663" s="35" t="s">
        <v>102</v>
      </c>
      <c r="B663" s="35">
        <v>9.86</v>
      </c>
      <c r="C663" s="35">
        <v>600</v>
      </c>
      <c r="D663" s="35" t="s">
        <v>78</v>
      </c>
      <c r="E663" s="36" t="str" cm="1">
        <f t="array" ref="E663">GetNumber(D663,1)</f>
        <v>11</v>
      </c>
      <c r="F663" s="36" t="str" cm="1">
        <f t="array" ref="F663">GetNumber(D663,2)</f>
        <v>7</v>
      </c>
      <c r="G663" s="35">
        <v>22.2</v>
      </c>
      <c r="H663" s="35">
        <v>12250</v>
      </c>
      <c r="I663" s="35">
        <f>39.42*($T$2)</f>
        <v>78.84</v>
      </c>
      <c r="J663" s="35">
        <f>875.1*($T$2)</f>
        <v>1750.2</v>
      </c>
      <c r="K663" s="35">
        <f t="shared" si="50"/>
        <v>3.4247514569763458</v>
      </c>
      <c r="L663" s="35">
        <f t="shared" si="51"/>
        <v>3.4246575342465753</v>
      </c>
      <c r="M663" s="35">
        <f>6.386875*($T$2)</f>
        <v>12.77375</v>
      </c>
      <c r="N663" s="35">
        <f>81.2*(5280/3600)</f>
        <v>119.09333333333333</v>
      </c>
      <c r="O663" s="35">
        <f t="shared" si="49"/>
        <v>0.72984516055307957</v>
      </c>
      <c r="P663" s="35">
        <f t="shared" si="52"/>
        <v>43.746918923551597</v>
      </c>
      <c r="Q663" s="35">
        <f>('Batt Capacity and Sys Weight'!$I$5) + (B663*$T$2)</f>
        <v>51.293752999999995</v>
      </c>
      <c r="R663" s="35">
        <f>'Batt Capacity and Sys Weight'!$H$5</f>
        <v>99.9</v>
      </c>
    </row>
    <row r="664" spans="1:18" x14ac:dyDescent="0.3">
      <c r="A664" s="35" t="s">
        <v>102</v>
      </c>
      <c r="B664" s="35">
        <v>9.86</v>
      </c>
      <c r="C664" s="35">
        <v>600</v>
      </c>
      <c r="D664" s="35" t="s">
        <v>61</v>
      </c>
      <c r="E664" s="36" t="str" cm="1">
        <f t="array" ref="E664">GetNumber(D664,1)</f>
        <v>11</v>
      </c>
      <c r="F664" s="36" t="str" cm="1">
        <f t="array" ref="F664">GetNumber(D664,2)</f>
        <v>8</v>
      </c>
      <c r="G664" s="35">
        <v>22.2</v>
      </c>
      <c r="H664" s="35">
        <v>11943</v>
      </c>
      <c r="I664" s="35">
        <f>50.62*($T$2)</f>
        <v>101.24</v>
      </c>
      <c r="J664" s="35">
        <f>1123.9*($T$2)</f>
        <v>2247.8000000000002</v>
      </c>
      <c r="K664" s="35">
        <f t="shared" si="50"/>
        <v>2.6666073494083102</v>
      </c>
      <c r="L664" s="35">
        <f t="shared" si="51"/>
        <v>2.6669300671671277</v>
      </c>
      <c r="M664" s="35">
        <f>5.928125*($T$2)</f>
        <v>11.856249999999999</v>
      </c>
      <c r="N664" s="35">
        <f>90.5*(5280/3600)</f>
        <v>132.73333333333332</v>
      </c>
      <c r="O664" s="35">
        <f t="shared" si="49"/>
        <v>0.52746018329032818</v>
      </c>
      <c r="P664" s="35">
        <f t="shared" si="52"/>
        <v>31.615963386422276</v>
      </c>
      <c r="Q664" s="35">
        <f>('Batt Capacity and Sys Weight'!$I$5) + (B664*$T$2)</f>
        <v>51.293752999999995</v>
      </c>
      <c r="R664" s="35">
        <f>'Batt Capacity and Sys Weight'!$H$5</f>
        <v>99.9</v>
      </c>
    </row>
    <row r="665" spans="1:18" x14ac:dyDescent="0.3">
      <c r="A665" s="35" t="s">
        <v>102</v>
      </c>
      <c r="B665" s="35">
        <v>9.86</v>
      </c>
      <c r="C665" s="35">
        <v>600</v>
      </c>
      <c r="D665" s="35" t="s">
        <v>62</v>
      </c>
      <c r="E665" s="36" t="str" cm="1">
        <f t="array" ref="E665">GetNumber(D665,1)</f>
        <v>12</v>
      </c>
      <c r="F665" s="36" t="str" cm="1">
        <f t="array" ref="F665">GetNumber(D665,2)</f>
        <v>6</v>
      </c>
      <c r="G665" s="35">
        <v>22.2</v>
      </c>
      <c r="H665" s="35">
        <v>11980</v>
      </c>
      <c r="I665" s="35">
        <f>49.17*($T$2)</f>
        <v>98.34</v>
      </c>
      <c r="J665" s="35">
        <f>1091.5*($T$2)</f>
        <v>2183</v>
      </c>
      <c r="K665" s="35">
        <f t="shared" si="50"/>
        <v>2.7457627118644066</v>
      </c>
      <c r="L665" s="35">
        <f t="shared" si="51"/>
        <v>2.7455765710799267</v>
      </c>
      <c r="M665" s="35">
        <f>7.60625*($T$2)</f>
        <v>15.2125</v>
      </c>
      <c r="N665" s="35">
        <f>68.1*(5280/3600)</f>
        <v>99.879999999999981</v>
      </c>
      <c r="O665" s="35">
        <f t="shared" si="49"/>
        <v>0.69686211635364181</v>
      </c>
      <c r="P665" s="35">
        <f t="shared" si="52"/>
        <v>41.769915254237283</v>
      </c>
      <c r="Q665" s="35">
        <f>('Batt Capacity and Sys Weight'!$I$5) + (B665*$T$2)</f>
        <v>51.293752999999995</v>
      </c>
      <c r="R665" s="35">
        <f>'Batt Capacity and Sys Weight'!$H$5</f>
        <v>99.9</v>
      </c>
    </row>
    <row r="666" spans="1:18" x14ac:dyDescent="0.3">
      <c r="A666" s="35" t="s">
        <v>102</v>
      </c>
      <c r="B666" s="35">
        <v>9.86</v>
      </c>
      <c r="C666" s="35">
        <v>600</v>
      </c>
      <c r="D666" s="35" t="s">
        <v>80</v>
      </c>
      <c r="E666" s="36" t="str" cm="1">
        <f t="array" ref="E666">GetNumber(D666,1)</f>
        <v>10</v>
      </c>
      <c r="F666" s="36" t="str" cm="1">
        <f t="array" ref="F666">GetNumber(D666,2)</f>
        <v>7</v>
      </c>
      <c r="G666" s="35">
        <v>22.2</v>
      </c>
      <c r="H666" s="35">
        <v>12267</v>
      </c>
      <c r="I666" s="35">
        <f>40.66*($T$2)</f>
        <v>81.319999999999993</v>
      </c>
      <c r="J666" s="35">
        <f>902.6*($T$2)</f>
        <v>1805.2</v>
      </c>
      <c r="K666" s="35">
        <f t="shared" si="50"/>
        <v>3.3204077110569465</v>
      </c>
      <c r="L666" s="35">
        <f t="shared" si="51"/>
        <v>3.3202164289227745</v>
      </c>
      <c r="M666" s="35">
        <f>7.1075*($T$2)</f>
        <v>14.215</v>
      </c>
      <c r="N666" s="35">
        <f>81.3*(5280/3600)</f>
        <v>119.23999999999998</v>
      </c>
      <c r="O666" s="35">
        <f t="shared" si="49"/>
        <v>0.78744737425216027</v>
      </c>
      <c r="P666" s="35">
        <f t="shared" si="52"/>
        <v>47.199595612674493</v>
      </c>
      <c r="Q666" s="35">
        <f>('Batt Capacity and Sys Weight'!$I$5) + (B666*$T$2)</f>
        <v>51.293752999999995</v>
      </c>
      <c r="R666" s="35">
        <f>'Batt Capacity and Sys Weight'!$H$5</f>
        <v>99.9</v>
      </c>
    </row>
    <row r="667" spans="1:18" x14ac:dyDescent="0.3">
      <c r="A667" s="35" t="s">
        <v>102</v>
      </c>
      <c r="B667" s="35">
        <v>9.86</v>
      </c>
      <c r="C667" s="35">
        <v>600</v>
      </c>
      <c r="D667" s="35" t="s">
        <v>81</v>
      </c>
      <c r="E667" s="36" t="str" cm="1">
        <f t="array" ref="E667">GetNumber(D667,1)</f>
        <v>11</v>
      </c>
      <c r="F667" s="36" t="str" cm="1">
        <f t="array" ref="F667">GetNumber(D667,2)</f>
        <v>7</v>
      </c>
      <c r="G667" s="35">
        <v>22.2</v>
      </c>
      <c r="H667" s="35">
        <v>11967</v>
      </c>
      <c r="I667" s="35">
        <f>49.83*($T$2)</f>
        <v>99.66</v>
      </c>
      <c r="J667" s="35">
        <f>1106.2*($T$2)</f>
        <v>2212.4</v>
      </c>
      <c r="K667" s="35">
        <f t="shared" si="50"/>
        <v>2.7092749954800217</v>
      </c>
      <c r="L667" s="35">
        <f t="shared" si="51"/>
        <v>2.7092113184828417</v>
      </c>
      <c r="M667" s="35">
        <f>8.36*($T$2)</f>
        <v>16.72</v>
      </c>
      <c r="N667" s="35">
        <f>79.3*(5280/3600)</f>
        <v>116.30666666666666</v>
      </c>
      <c r="O667" s="35">
        <f t="shared" si="49"/>
        <v>0.75574037244621217</v>
      </c>
      <c r="P667" s="35">
        <f t="shared" si="52"/>
        <v>45.299077924425958</v>
      </c>
      <c r="Q667" s="35">
        <f>('Batt Capacity and Sys Weight'!$I$5) + (B667*$T$2)</f>
        <v>51.293752999999995</v>
      </c>
      <c r="R667" s="35">
        <f>'Batt Capacity and Sys Weight'!$H$5</f>
        <v>99.9</v>
      </c>
    </row>
    <row r="668" spans="1:18" x14ac:dyDescent="0.3">
      <c r="A668" s="35" t="s">
        <v>102</v>
      </c>
      <c r="B668" s="35">
        <v>9.86</v>
      </c>
      <c r="C668" s="35">
        <v>600</v>
      </c>
      <c r="D668" s="35" t="s">
        <v>66</v>
      </c>
      <c r="E668" s="36" t="str" cm="1">
        <f t="array" ref="E668">GetNumber(D668,1)</f>
        <v>11</v>
      </c>
      <c r="F668" s="36" t="str" cm="1">
        <f t="array" ref="F668">GetNumber(D668,2)</f>
        <v>8</v>
      </c>
      <c r="G668" s="35">
        <v>22.2</v>
      </c>
      <c r="H668" s="35">
        <v>11822</v>
      </c>
      <c r="I668" s="35">
        <f>55.49*($T$2)</f>
        <v>110.98</v>
      </c>
      <c r="J668" s="35">
        <f>1231.9*($T$2)</f>
        <v>2463.8000000000002</v>
      </c>
      <c r="K668" s="35">
        <f t="shared" si="50"/>
        <v>2.4328273398814839</v>
      </c>
      <c r="L668" s="35">
        <f t="shared" si="51"/>
        <v>2.4328707875292848</v>
      </c>
      <c r="M668" s="35">
        <f>8.831875*($T$2)</f>
        <v>17.66375</v>
      </c>
      <c r="N668" s="35">
        <f>89.6*(5280/3600)</f>
        <v>131.41333333333333</v>
      </c>
      <c r="O668" s="35">
        <f t="shared" si="49"/>
        <v>0.71693116324376971</v>
      </c>
      <c r="P668" s="35">
        <f t="shared" si="52"/>
        <v>42.972853924831561</v>
      </c>
      <c r="Q668" s="35">
        <f>('Batt Capacity and Sys Weight'!$I$5) + (B668*$T$2)</f>
        <v>51.293752999999995</v>
      </c>
      <c r="R668" s="35">
        <f>'Batt Capacity and Sys Weight'!$H$5</f>
        <v>99.9</v>
      </c>
    </row>
    <row r="669" spans="1:18" x14ac:dyDescent="0.3">
      <c r="A669" s="35" t="s">
        <v>102</v>
      </c>
      <c r="B669" s="35">
        <v>9.86</v>
      </c>
      <c r="C669" s="35">
        <v>600</v>
      </c>
      <c r="D669" s="35" t="s">
        <v>99</v>
      </c>
      <c r="E669" s="36" t="str" cm="1">
        <f t="array" ref="E669">GetNumber(D669,1)</f>
        <v>10</v>
      </c>
      <c r="F669" s="36" t="str" cm="1">
        <f t="array" ref="F669">GetNumber(D669,2)</f>
        <v>5</v>
      </c>
      <c r="G669" s="35">
        <v>29.6</v>
      </c>
      <c r="H669" s="35">
        <v>16169</v>
      </c>
      <c r="I669" s="35">
        <f>50.47*($T$2)</f>
        <v>100.94</v>
      </c>
      <c r="J669" s="35">
        <f>1493.9*($T$2)</f>
        <v>2987.8</v>
      </c>
      <c r="K669" s="35">
        <f t="shared" si="50"/>
        <v>2.0081665439453777</v>
      </c>
      <c r="L669" s="35">
        <f t="shared" si="51"/>
        <v>2.0081504131434782</v>
      </c>
      <c r="M669" s="35">
        <f>8.046875*($T$2)</f>
        <v>16.09375</v>
      </c>
      <c r="N669" s="35">
        <f>76.6*(5280/3600)</f>
        <v>112.34666666666665</v>
      </c>
      <c r="O669" s="35">
        <f t="shared" si="49"/>
        <v>0.53864883861034873</v>
      </c>
      <c r="P669" s="35">
        <f t="shared" si="52"/>
        <v>32.318930316620921</v>
      </c>
      <c r="Q669" s="35">
        <v>0</v>
      </c>
      <c r="R669" s="35">
        <f t="shared" ref="R669:R674" si="53">$T$1</f>
        <v>100</v>
      </c>
    </row>
    <row r="670" spans="1:18" x14ac:dyDescent="0.3">
      <c r="A670" s="35" t="s">
        <v>102</v>
      </c>
      <c r="B670" s="35">
        <v>9.86</v>
      </c>
      <c r="C670" s="35">
        <v>600</v>
      </c>
      <c r="D670" s="35" t="s">
        <v>67</v>
      </c>
      <c r="E670" s="36" t="str" cm="1">
        <f t="array" ref="E670">GetNumber(D670,1)</f>
        <v>10</v>
      </c>
      <c r="F670" s="36" t="str" cm="1">
        <f t="array" ref="F670">GetNumber(D670,2)</f>
        <v>6</v>
      </c>
      <c r="G670" s="35">
        <v>29.6</v>
      </c>
      <c r="H670" s="35">
        <v>15011</v>
      </c>
      <c r="I670" s="35">
        <f>55.38*($T$2)</f>
        <v>110.76</v>
      </c>
      <c r="J670" s="35">
        <f>1639.2*($T$2)</f>
        <v>3278.4</v>
      </c>
      <c r="K670" s="35">
        <f t="shared" si="50"/>
        <v>1.8301610541727673</v>
      </c>
      <c r="L670" s="35">
        <f t="shared" si="51"/>
        <v>1.8301074639102806</v>
      </c>
      <c r="M670" s="35">
        <f>8.459375*($T$2)</f>
        <v>16.918749999999999</v>
      </c>
      <c r="N670" s="35">
        <f>85.3*(5280/3600)</f>
        <v>125.10666666666665</v>
      </c>
      <c r="O670" s="35">
        <f t="shared" si="49"/>
        <v>0.51606728892142506</v>
      </c>
      <c r="P670" s="35">
        <f t="shared" si="52"/>
        <v>30.964037335285507</v>
      </c>
      <c r="Q670" s="35">
        <v>0</v>
      </c>
      <c r="R670" s="35">
        <f t="shared" si="53"/>
        <v>100</v>
      </c>
    </row>
    <row r="671" spans="1:18" x14ac:dyDescent="0.3">
      <c r="A671" s="35" t="s">
        <v>102</v>
      </c>
      <c r="B671" s="35">
        <v>9.86</v>
      </c>
      <c r="C671" s="35">
        <v>600</v>
      </c>
      <c r="D671" s="35" t="s">
        <v>100</v>
      </c>
      <c r="E671" s="36" t="str" cm="1">
        <f t="array" ref="E671">GetNumber(D671,1)</f>
        <v>10</v>
      </c>
      <c r="F671" s="36" t="str" cm="1">
        <f t="array" ref="F671">GetNumber(D671,2)</f>
        <v>5</v>
      </c>
      <c r="G671" s="35">
        <v>29.6</v>
      </c>
      <c r="H671" s="35">
        <v>16424</v>
      </c>
      <c r="I671" s="35">
        <f>41.26*($T$2)</f>
        <v>82.52</v>
      </c>
      <c r="J671" s="35">
        <f>1221.2*($T$2)</f>
        <v>2442.4</v>
      </c>
      <c r="K671" s="35">
        <f t="shared" si="50"/>
        <v>2.4566000655093347</v>
      </c>
      <c r="L671" s="35">
        <f t="shared" si="51"/>
        <v>2.4564069644050255</v>
      </c>
      <c r="M671" s="35">
        <f>6.74375*($T$2)</f>
        <v>13.487500000000001</v>
      </c>
      <c r="N671" s="35">
        <f>77.8*(5280/3600)</f>
        <v>114.10666666666665</v>
      </c>
      <c r="O671" s="35">
        <f t="shared" si="49"/>
        <v>0.55222322305928595</v>
      </c>
      <c r="P671" s="35">
        <f t="shared" si="52"/>
        <v>33.133393383557156</v>
      </c>
      <c r="Q671" s="35">
        <v>0</v>
      </c>
      <c r="R671" s="35">
        <f t="shared" si="53"/>
        <v>100</v>
      </c>
    </row>
    <row r="672" spans="1:18" x14ac:dyDescent="0.3">
      <c r="A672" s="35" t="s">
        <v>102</v>
      </c>
      <c r="B672" s="35">
        <v>9.86</v>
      </c>
      <c r="C672" s="35">
        <v>600</v>
      </c>
      <c r="D672" s="35" t="s">
        <v>73</v>
      </c>
      <c r="E672" s="36" t="str" cm="1">
        <f t="array" ref="E672">GetNumber(D672,1)</f>
        <v>10</v>
      </c>
      <c r="F672" s="36" t="str" cm="1">
        <f t="array" ref="F672">GetNumber(D672,2)</f>
        <v>6</v>
      </c>
      <c r="G672" s="35">
        <v>29.6</v>
      </c>
      <c r="H672" s="35">
        <v>16066</v>
      </c>
      <c r="I672" s="35">
        <f>53.01*($T$2)</f>
        <v>106.02</v>
      </c>
      <c r="J672" s="35">
        <f>1569.1*($T$2)</f>
        <v>3138.2</v>
      </c>
      <c r="K672" s="35">
        <f t="shared" si="50"/>
        <v>1.9119240328850935</v>
      </c>
      <c r="L672" s="35">
        <f t="shared" si="51"/>
        <v>1.9119289068355281</v>
      </c>
      <c r="M672" s="35">
        <f>7.2375*($T$2)</f>
        <v>14.475</v>
      </c>
      <c r="N672" s="35">
        <f>91.3*(5280/3600)</f>
        <v>133.90666666666667</v>
      </c>
      <c r="O672" s="35">
        <f t="shared" si="49"/>
        <v>0.46125167293352881</v>
      </c>
      <c r="P672" s="35">
        <f t="shared" si="52"/>
        <v>27.675100376011727</v>
      </c>
      <c r="Q672" s="35">
        <v>0</v>
      </c>
      <c r="R672" s="35">
        <f t="shared" si="53"/>
        <v>100</v>
      </c>
    </row>
    <row r="673" spans="1:18" x14ac:dyDescent="0.3">
      <c r="A673" s="35" t="s">
        <v>102</v>
      </c>
      <c r="B673" s="35">
        <v>9.86</v>
      </c>
      <c r="C673" s="35">
        <v>600</v>
      </c>
      <c r="D673" s="35" t="s">
        <v>101</v>
      </c>
      <c r="E673" s="36" t="str" cm="1">
        <f t="array" ref="E673">GetNumber(D673,1)</f>
        <v>9</v>
      </c>
      <c r="F673" s="36" t="str" cm="1">
        <f t="array" ref="F673">GetNumber(D673,2)</f>
        <v>7</v>
      </c>
      <c r="G673" s="35">
        <v>29.6</v>
      </c>
      <c r="H673" s="35">
        <v>16179</v>
      </c>
      <c r="I673" s="35">
        <f>48.61*($T$2)</f>
        <v>97.22</v>
      </c>
      <c r="J673" s="35">
        <f>1438.8*($T$2)</f>
        <v>2877.6</v>
      </c>
      <c r="K673" s="35">
        <f t="shared" si="50"/>
        <v>2.085070892410342</v>
      </c>
      <c r="L673" s="35">
        <f t="shared" si="51"/>
        <v>2.0849897418504701</v>
      </c>
      <c r="M673" s="35">
        <f>8.83375*($T$2)</f>
        <v>17.6675</v>
      </c>
      <c r="N673" s="35">
        <f>107.2*(5280/3600)</f>
        <v>157.22666666666666</v>
      </c>
      <c r="O673" s="35">
        <f t="shared" si="49"/>
        <v>0.61396649986099527</v>
      </c>
      <c r="P673" s="35">
        <f t="shared" si="52"/>
        <v>36.837989991659718</v>
      </c>
      <c r="Q673" s="35">
        <v>0</v>
      </c>
      <c r="R673" s="35">
        <f t="shared" si="53"/>
        <v>100</v>
      </c>
    </row>
    <row r="674" spans="1:18" x14ac:dyDescent="0.3">
      <c r="A674" s="35" t="s">
        <v>102</v>
      </c>
      <c r="B674" s="35">
        <v>9.86</v>
      </c>
      <c r="C674" s="35">
        <v>600</v>
      </c>
      <c r="D674" s="35" t="s">
        <v>79</v>
      </c>
      <c r="E674" s="36" t="str" cm="1">
        <f t="array" ref="E674">GetNumber(D674,1)</f>
        <v>10</v>
      </c>
      <c r="F674" s="36" t="str" cm="1">
        <f t="array" ref="F674">GetNumber(D674,2)</f>
        <v>5</v>
      </c>
      <c r="G674" s="35">
        <v>29.6</v>
      </c>
      <c r="H674" s="35">
        <v>16316</v>
      </c>
      <c r="I674" s="35">
        <f>44.77*($T$2)</f>
        <v>89.54</v>
      </c>
      <c r="J674" s="35">
        <f>1325.3*($T$2)</f>
        <v>2650.6</v>
      </c>
      <c r="K674" s="35">
        <f t="shared" si="50"/>
        <v>2.2636384214894743</v>
      </c>
      <c r="L674" s="35">
        <f t="shared" si="51"/>
        <v>2.263822902643541</v>
      </c>
      <c r="M674" s="35">
        <f>9.1825*($T$2)</f>
        <v>18.364999999999998</v>
      </c>
      <c r="N674" s="35">
        <f>77.3*(5280/3600)</f>
        <v>113.37333333333332</v>
      </c>
      <c r="O674" s="35">
        <f t="shared" si="49"/>
        <v>0.69286199351090316</v>
      </c>
      <c r="P674" s="35">
        <f t="shared" si="52"/>
        <v>41.571719610654192</v>
      </c>
      <c r="Q674" s="35">
        <v>0</v>
      </c>
      <c r="R674" s="35">
        <f t="shared" si="53"/>
        <v>100</v>
      </c>
    </row>
    <row r="675" spans="1:18" x14ac:dyDescent="0.3">
      <c r="A675" s="35" t="s">
        <v>105</v>
      </c>
      <c r="B675" s="35">
        <v>9.86</v>
      </c>
      <c r="C675" s="35">
        <v>700</v>
      </c>
      <c r="D675" s="35" t="s">
        <v>57</v>
      </c>
      <c r="E675" s="36" t="str" cm="1">
        <f t="array" ref="E675">GetNumber(D675,1)</f>
        <v>11</v>
      </c>
      <c r="F675" s="36" t="str" cm="1">
        <f t="array" ref="F675">GetNumber(D675,2)</f>
        <v>10</v>
      </c>
      <c r="G675" s="35">
        <v>14.8</v>
      </c>
      <c r="H675" s="35">
        <v>9055</v>
      </c>
      <c r="I675" s="35">
        <f>44.85*($T$2)</f>
        <v>89.7</v>
      </c>
      <c r="J675" s="35">
        <f>663.8*($T$2)</f>
        <v>1327.6</v>
      </c>
      <c r="K675" s="35">
        <f t="shared" si="50"/>
        <v>4.4145827056342277</v>
      </c>
      <c r="L675" s="35">
        <f t="shared" si="51"/>
        <v>4.4147157190635458</v>
      </c>
      <c r="M675" s="35">
        <f>4.275*($T$2)</f>
        <v>8.5500000000000007</v>
      </c>
      <c r="N675" s="35">
        <f>85.7*(5280/3600)</f>
        <v>125.69333333333333</v>
      </c>
      <c r="O675" s="35">
        <f t="shared" si="49"/>
        <v>0.6440192829165412</v>
      </c>
      <c r="P675" s="35">
        <f t="shared" si="52"/>
        <v>37.744682133172653</v>
      </c>
      <c r="Q675" s="35">
        <f>('Batt Capacity and Sys Weight'!$I$3) + (B675*$T$2)</f>
        <v>46.108474999999999</v>
      </c>
      <c r="R675" s="35">
        <f>'Batt Capacity and Sys Weight'!$H$3</f>
        <v>97.68</v>
      </c>
    </row>
    <row r="676" spans="1:18" x14ac:dyDescent="0.3">
      <c r="A676" s="35" t="s">
        <v>105</v>
      </c>
      <c r="B676" s="35">
        <v>9.86</v>
      </c>
      <c r="C676" s="35">
        <v>700</v>
      </c>
      <c r="D676" s="35" t="s">
        <v>32</v>
      </c>
      <c r="E676" s="36" t="str" cm="1">
        <f t="array" ref="E676">GetNumber(D676,1)</f>
        <v>12</v>
      </c>
      <c r="F676" s="36" t="str" cm="1">
        <f t="array" ref="F676">GetNumber(D676,2)</f>
        <v>8</v>
      </c>
      <c r="G676" s="35">
        <v>14.8</v>
      </c>
      <c r="H676" s="35">
        <v>9085</v>
      </c>
      <c r="I676" s="35">
        <f>46.16*($T$2)</f>
        <v>92.32</v>
      </c>
      <c r="J676" s="35">
        <f>683.2*($T$2)</f>
        <v>1366.4</v>
      </c>
      <c r="K676" s="35">
        <f t="shared" si="50"/>
        <v>4.2892271662763459</v>
      </c>
      <c r="L676" s="35">
        <f t="shared" si="51"/>
        <v>4.2894280762564998</v>
      </c>
      <c r="M676" s="35">
        <f>5.238125*($T$2)</f>
        <v>10.47625</v>
      </c>
      <c r="N676" s="35">
        <f>68.8*(5280/3600)</f>
        <v>100.90666666666665</v>
      </c>
      <c r="O676" s="35">
        <f t="shared" si="49"/>
        <v>0.76670447892271654</v>
      </c>
      <c r="P676" s="35">
        <f t="shared" si="52"/>
        <v>44.935016100702569</v>
      </c>
      <c r="Q676" s="35">
        <f>('Batt Capacity and Sys Weight'!$I$3) + (B676*$T$2)</f>
        <v>46.108474999999999</v>
      </c>
      <c r="R676" s="35">
        <f>'Batt Capacity and Sys Weight'!$H$3</f>
        <v>97.68</v>
      </c>
    </row>
    <row r="677" spans="1:18" x14ac:dyDescent="0.3">
      <c r="A677" s="35" t="s">
        <v>105</v>
      </c>
      <c r="B677" s="35">
        <v>9.86</v>
      </c>
      <c r="C677" s="35">
        <v>700</v>
      </c>
      <c r="D677" s="35" t="s">
        <v>33</v>
      </c>
      <c r="E677" s="36" t="str" cm="1">
        <f t="array" ref="E677">GetNumber(D677,1)</f>
        <v>12</v>
      </c>
      <c r="F677" s="36" t="str" cm="1">
        <f t="array" ref="F677">GetNumber(D677,2)</f>
        <v>10</v>
      </c>
      <c r="G677" s="35">
        <v>14.8</v>
      </c>
      <c r="H677" s="35">
        <v>8775</v>
      </c>
      <c r="I677" s="35">
        <f>56.39*($T$2)</f>
        <v>112.78</v>
      </c>
      <c r="J677" s="35">
        <f>834.5*($T$2)</f>
        <v>1669</v>
      </c>
      <c r="K677" s="35">
        <f t="shared" si="50"/>
        <v>3.5115638106650691</v>
      </c>
      <c r="L677" s="35">
        <f t="shared" si="51"/>
        <v>3.511260861854939</v>
      </c>
      <c r="M677" s="35">
        <f>5.544375*($T$2)</f>
        <v>11.088749999999999</v>
      </c>
      <c r="N677" s="35">
        <f>83.1*(5280/3600)</f>
        <v>121.87999999999998</v>
      </c>
      <c r="O677" s="35">
        <f t="shared" si="49"/>
        <v>0.66439484721390052</v>
      </c>
      <c r="P677" s="35">
        <f t="shared" si="52"/>
        <v>38.938853205512281</v>
      </c>
      <c r="Q677" s="35">
        <f>('Batt Capacity and Sys Weight'!$I$3) + (B677*$T$2)</f>
        <v>46.108474999999999</v>
      </c>
      <c r="R677" s="35">
        <f>'Batt Capacity and Sys Weight'!$H$3</f>
        <v>97.68</v>
      </c>
    </row>
    <row r="678" spans="1:18" x14ac:dyDescent="0.3">
      <c r="A678" s="35" t="s">
        <v>105</v>
      </c>
      <c r="B678" s="35">
        <v>9.86</v>
      </c>
      <c r="C678" s="35">
        <v>700</v>
      </c>
      <c r="D678" s="35" t="s">
        <v>34</v>
      </c>
      <c r="E678" s="36" t="str" cm="1">
        <f t="array" ref="E678">GetNumber(D678,1)</f>
        <v>12</v>
      </c>
      <c r="F678" s="36" t="str" cm="1">
        <f t="array" ref="F678">GetNumber(D678,2)</f>
        <v>12</v>
      </c>
      <c r="G678" s="35">
        <v>14.8</v>
      </c>
      <c r="H678" s="35">
        <v>8607</v>
      </c>
      <c r="I678" s="35">
        <f>61.69*($T$2)</f>
        <v>123.38</v>
      </c>
      <c r="J678" s="35">
        <f>913*($T$2)</f>
        <v>1826</v>
      </c>
      <c r="K678" s="35">
        <f t="shared" si="50"/>
        <v>3.2096385542168675</v>
      </c>
      <c r="L678" s="35">
        <f t="shared" si="51"/>
        <v>3.2095963689414817</v>
      </c>
      <c r="M678" s="35">
        <f>5.105625*($T$2)</f>
        <v>10.21125</v>
      </c>
      <c r="N678" s="35">
        <f>97.8*(5280/3600)</f>
        <v>143.44</v>
      </c>
      <c r="O678" s="35">
        <f t="shared" si="49"/>
        <v>0.55921412924424974</v>
      </c>
      <c r="P678" s="35">
        <f t="shared" si="52"/>
        <v>32.77442168674699</v>
      </c>
      <c r="Q678" s="35">
        <f>('Batt Capacity and Sys Weight'!$I$3) + (B678*$T$2)</f>
        <v>46.108474999999999</v>
      </c>
      <c r="R678" s="35">
        <f>'Batt Capacity and Sys Weight'!$H$3</f>
        <v>97.68</v>
      </c>
    </row>
    <row r="679" spans="1:18" x14ac:dyDescent="0.3">
      <c r="A679" s="35" t="s">
        <v>105</v>
      </c>
      <c r="B679" s="35">
        <v>9.86</v>
      </c>
      <c r="C679" s="35">
        <v>700</v>
      </c>
      <c r="D679" s="35" t="s">
        <v>35</v>
      </c>
      <c r="E679" s="36" t="str" cm="1">
        <f t="array" ref="E679">GetNumber(D679,1)</f>
        <v>13</v>
      </c>
      <c r="F679" s="36" cm="1">
        <f t="array" ref="F679">GetNumber(D679,2)+(GetNumber(D679,3)/10)</f>
        <v>6.5</v>
      </c>
      <c r="G679" s="35">
        <v>14.8</v>
      </c>
      <c r="H679" s="35">
        <v>8897</v>
      </c>
      <c r="I679" s="35">
        <f>52.33*($T$2)</f>
        <v>104.66</v>
      </c>
      <c r="J679" s="35">
        <f>774.5*($T$2)</f>
        <v>1549</v>
      </c>
      <c r="K679" s="35">
        <f t="shared" si="50"/>
        <v>3.7836023240800518</v>
      </c>
      <c r="L679" s="35">
        <f t="shared" si="51"/>
        <v>3.7836804892031344</v>
      </c>
      <c r="M679" s="35">
        <f>6.9775*($T$2)</f>
        <v>13.955</v>
      </c>
      <c r="N679" s="35">
        <f>54.8*(5280/3600)</f>
        <v>80.373333333333321</v>
      </c>
      <c r="O679" s="35">
        <f t="shared" si="49"/>
        <v>0.90090380890897359</v>
      </c>
      <c r="P679" s="35">
        <f t="shared" si="52"/>
        <v>52.800170432537122</v>
      </c>
      <c r="Q679" s="35">
        <f>('Batt Capacity and Sys Weight'!$I$3) + (B679*$T$2)</f>
        <v>46.108474999999999</v>
      </c>
      <c r="R679" s="35">
        <f>'Batt Capacity and Sys Weight'!$H$3</f>
        <v>97.68</v>
      </c>
    </row>
    <row r="680" spans="1:18" x14ac:dyDescent="0.3">
      <c r="A680" s="35" t="s">
        <v>105</v>
      </c>
      <c r="B680" s="35">
        <v>9.86</v>
      </c>
      <c r="C680" s="35">
        <v>700</v>
      </c>
      <c r="D680" s="35" t="s">
        <v>36</v>
      </c>
      <c r="E680" s="36" t="str" cm="1">
        <f t="array" ref="E680">GetNumber(D680,1)</f>
        <v>13</v>
      </c>
      <c r="F680" s="36" t="str" cm="1">
        <f t="array" ref="F680">GetNumber(D680,2)</f>
        <v>8</v>
      </c>
      <c r="G680" s="35">
        <v>14.8</v>
      </c>
      <c r="H680" s="35">
        <v>8768</v>
      </c>
      <c r="I680" s="35">
        <f>56.42*($T$2)</f>
        <v>112.84</v>
      </c>
      <c r="J680" s="35">
        <f>835.1*($T$2)</f>
        <v>1670.2</v>
      </c>
      <c r="K680" s="35">
        <f t="shared" si="50"/>
        <v>3.5090408334331218</v>
      </c>
      <c r="L680" s="35">
        <f t="shared" si="51"/>
        <v>3.5093938319744771</v>
      </c>
      <c r="M680" s="35">
        <f>7.035*($T$2)</f>
        <v>14.07</v>
      </c>
      <c r="N680" s="35">
        <f>66.4*(5280/3600)</f>
        <v>97.38666666666667</v>
      </c>
      <c r="O680" s="35">
        <f t="shared" si="49"/>
        <v>0.84241408214585067</v>
      </c>
      <c r="P680" s="35">
        <f t="shared" si="52"/>
        <v>49.372204526404026</v>
      </c>
      <c r="Q680" s="35">
        <f>('Batt Capacity and Sys Weight'!$I$3) + (B680*$T$2)</f>
        <v>46.108474999999999</v>
      </c>
      <c r="R680" s="35">
        <f>'Batt Capacity and Sys Weight'!$H$3</f>
        <v>97.68</v>
      </c>
    </row>
    <row r="681" spans="1:18" x14ac:dyDescent="0.3">
      <c r="A681" s="35" t="s">
        <v>105</v>
      </c>
      <c r="B681" s="35">
        <v>9.86</v>
      </c>
      <c r="C681" s="35">
        <v>700</v>
      </c>
      <c r="D681" s="35" t="s">
        <v>38</v>
      </c>
      <c r="E681" s="36" t="str" cm="1">
        <f t="array" ref="E681">GetNumber(D681,1)</f>
        <v>14</v>
      </c>
      <c r="F681" s="36" t="str" cm="1">
        <f t="array" ref="F681">GetNumber(D681,2)</f>
        <v>6</v>
      </c>
      <c r="G681" s="35">
        <v>14.8</v>
      </c>
      <c r="H681" s="35">
        <v>9045</v>
      </c>
      <c r="I681" s="35">
        <f>47.65*($T$2)</f>
        <v>95.3</v>
      </c>
      <c r="J681" s="35">
        <f>705.2*($T$2)</f>
        <v>1410.4</v>
      </c>
      <c r="K681" s="35">
        <f t="shared" si="50"/>
        <v>4.1554169030062393</v>
      </c>
      <c r="L681" s="35">
        <f t="shared" si="51"/>
        <v>4.1552990556138516</v>
      </c>
      <c r="M681" s="35">
        <f>7.588125*($T$2)</f>
        <v>15.17625</v>
      </c>
      <c r="N681" s="35">
        <f>51.4*(5280/3600)</f>
        <v>75.386666666666656</v>
      </c>
      <c r="O681" s="35">
        <f t="shared" si="49"/>
        <v>1.076024532047646</v>
      </c>
      <c r="P681" s="35">
        <f t="shared" si="52"/>
        <v>63.063645774248435</v>
      </c>
      <c r="Q681" s="35">
        <f>('Batt Capacity and Sys Weight'!$I$3) + (B681*$T$2)</f>
        <v>46.108474999999999</v>
      </c>
      <c r="R681" s="35">
        <f>'Batt Capacity and Sys Weight'!$H$3</f>
        <v>97.68</v>
      </c>
    </row>
    <row r="682" spans="1:18" x14ac:dyDescent="0.3">
      <c r="A682" s="35" t="s">
        <v>105</v>
      </c>
      <c r="B682" s="35">
        <v>9.86</v>
      </c>
      <c r="C682" s="35">
        <v>700</v>
      </c>
      <c r="D682" s="35" t="s">
        <v>60</v>
      </c>
      <c r="E682" s="36" t="str" cm="1">
        <f t="array" ref="E682">GetNumber(D682,1)</f>
        <v>15</v>
      </c>
      <c r="F682" s="36" t="str" cm="1">
        <f t="array" ref="F682">GetNumber(D682,2)</f>
        <v>4</v>
      </c>
      <c r="G682" s="35">
        <v>14.8</v>
      </c>
      <c r="H682" s="35">
        <v>8919</v>
      </c>
      <c r="I682" s="35">
        <f>51.68*($T$2)</f>
        <v>103.36</v>
      </c>
      <c r="J682" s="35">
        <f>764.8*($T$2)</f>
        <v>1529.6</v>
      </c>
      <c r="K682" s="35">
        <f t="shared" si="50"/>
        <v>3.8315899581589963</v>
      </c>
      <c r="L682" s="35">
        <f t="shared" si="51"/>
        <v>3.8312693498452015</v>
      </c>
      <c r="M682" s="35">
        <f>8.46375*($T$2)</f>
        <v>16.927499999999998</v>
      </c>
      <c r="N682" s="35">
        <f>33.8*(5280/3600)</f>
        <v>49.573333333333323</v>
      </c>
      <c r="O682" s="35">
        <f t="shared" si="49"/>
        <v>1.1066618723849371</v>
      </c>
      <c r="P682" s="35">
        <f t="shared" si="52"/>
        <v>64.85923901673641</v>
      </c>
      <c r="Q682" s="35">
        <f>('Batt Capacity and Sys Weight'!$I$3) + (B682*$T$2)</f>
        <v>46.108474999999999</v>
      </c>
      <c r="R682" s="35">
        <f>'Batt Capacity and Sys Weight'!$H$3</f>
        <v>97.68</v>
      </c>
    </row>
    <row r="683" spans="1:18" x14ac:dyDescent="0.3">
      <c r="A683" s="35" t="s">
        <v>105</v>
      </c>
      <c r="B683" s="35">
        <v>9.86</v>
      </c>
      <c r="C683" s="35">
        <v>700</v>
      </c>
      <c r="D683" s="35" t="s">
        <v>64</v>
      </c>
      <c r="E683" s="36" t="str" cm="1">
        <f t="array" ref="E683">GetNumber(D683,1)</f>
        <v>12</v>
      </c>
      <c r="F683" s="36" t="str" cm="1">
        <f t="array" ref="F683">GetNumber(D683,2)</f>
        <v>8</v>
      </c>
      <c r="G683" s="35">
        <v>14.8</v>
      </c>
      <c r="H683" s="35">
        <v>9045</v>
      </c>
      <c r="I683" s="35">
        <f>47.75*($T$2)</f>
        <v>95.5</v>
      </c>
      <c r="J683" s="35">
        <f>706.7*($T$2)</f>
        <v>1413.4</v>
      </c>
      <c r="K683" s="35">
        <f t="shared" si="50"/>
        <v>4.1465968586387429</v>
      </c>
      <c r="L683" s="35">
        <f t="shared" si="51"/>
        <v>4.1465968586387438</v>
      </c>
      <c r="M683" s="35">
        <f>4.669375*($T$2)</f>
        <v>9.3387499999999992</v>
      </c>
      <c r="N683" s="35">
        <f>68.5*(5280/3600)</f>
        <v>100.46666666666665</v>
      </c>
      <c r="O683" s="35">
        <f t="shared" si="49"/>
        <v>0.66072944672421097</v>
      </c>
      <c r="P683" s="35">
        <f t="shared" si="52"/>
        <v>38.724031413612558</v>
      </c>
      <c r="Q683" s="35">
        <f>('Batt Capacity and Sys Weight'!$I$3) + (B683*$T$2)</f>
        <v>46.108474999999999</v>
      </c>
      <c r="R683" s="35">
        <f>'Batt Capacity and Sys Weight'!$H$3</f>
        <v>97.68</v>
      </c>
    </row>
    <row r="684" spans="1:18" x14ac:dyDescent="0.3">
      <c r="A684" s="35" t="s">
        <v>105</v>
      </c>
      <c r="B684" s="35">
        <v>9.86</v>
      </c>
      <c r="C684" s="35">
        <v>700</v>
      </c>
      <c r="D684" s="35" t="s">
        <v>45</v>
      </c>
      <c r="E684" s="36" t="str" cm="1">
        <f t="array" ref="E684">GetNumber(D684,1)</f>
        <v>13</v>
      </c>
      <c r="F684" s="36" t="str" cm="1">
        <f t="array" ref="F684">GetNumber(D684,2)</f>
        <v>8</v>
      </c>
      <c r="G684" s="35">
        <v>14.8</v>
      </c>
      <c r="H684" s="35">
        <v>8806</v>
      </c>
      <c r="I684" s="35">
        <f>55.26*($T$2)</f>
        <v>110.52</v>
      </c>
      <c r="J684" s="35">
        <f>817.8*($T$2)</f>
        <v>1635.6</v>
      </c>
      <c r="K684" s="35">
        <f t="shared" si="50"/>
        <v>3.5832721936903891</v>
      </c>
      <c r="L684" s="35">
        <f t="shared" si="51"/>
        <v>3.5830618892508146</v>
      </c>
      <c r="M684" s="35">
        <f>6.2675*($T$2)</f>
        <v>12.535</v>
      </c>
      <c r="N684" s="35">
        <f>66.7*(5280/3600)</f>
        <v>97.826666666666668</v>
      </c>
      <c r="O684" s="35">
        <f t="shared" si="49"/>
        <v>0.76638542430912215</v>
      </c>
      <c r="P684" s="35">
        <f t="shared" si="52"/>
        <v>44.916316947909024</v>
      </c>
      <c r="Q684" s="35">
        <f>('Batt Capacity and Sys Weight'!$I$3) + (B684*$T$2)</f>
        <v>46.108474999999999</v>
      </c>
      <c r="R684" s="35">
        <f>'Batt Capacity and Sys Weight'!$H$3</f>
        <v>97.68</v>
      </c>
    </row>
    <row r="685" spans="1:18" x14ac:dyDescent="0.3">
      <c r="A685" s="35" t="s">
        <v>105</v>
      </c>
      <c r="B685" s="35">
        <v>9.86</v>
      </c>
      <c r="C685" s="35">
        <v>700</v>
      </c>
      <c r="D685" s="35" t="s">
        <v>47</v>
      </c>
      <c r="E685" s="36" t="str" cm="1">
        <f t="array" ref="E685">GetNumber(D685,1)</f>
        <v>14</v>
      </c>
      <c r="F685" s="36" t="str" cm="1">
        <f t="array" ref="F685">GetNumber(D685,2)</f>
        <v>6</v>
      </c>
      <c r="G685" s="35">
        <v>14.8</v>
      </c>
      <c r="H685" s="35">
        <v>8886</v>
      </c>
      <c r="I685" s="35">
        <f>52.74*($T$2)</f>
        <v>105.48</v>
      </c>
      <c r="J685" s="35">
        <f>780.6*($T$2)</f>
        <v>1561.2</v>
      </c>
      <c r="K685" s="35">
        <f t="shared" si="50"/>
        <v>3.7540353574173717</v>
      </c>
      <c r="L685" s="35">
        <f t="shared" si="51"/>
        <v>3.7542662116040955</v>
      </c>
      <c r="M685" s="35">
        <f>7.308125*($T$2)</f>
        <v>14.616250000000001</v>
      </c>
      <c r="N685" s="35">
        <f>50.5*(5280/3600)</f>
        <v>74.066666666666663</v>
      </c>
      <c r="O685" s="35">
        <f t="shared" si="49"/>
        <v>0.93621893415321544</v>
      </c>
      <c r="P685" s="35">
        <f t="shared" si="52"/>
        <v>54.869919292851662</v>
      </c>
      <c r="Q685" s="35">
        <f>('Batt Capacity and Sys Weight'!$I$3) + (B685*$T$2)</f>
        <v>46.108474999999999</v>
      </c>
      <c r="R685" s="35">
        <f>'Batt Capacity and Sys Weight'!$H$3</f>
        <v>97.68</v>
      </c>
    </row>
    <row r="686" spans="1:18" x14ac:dyDescent="0.3">
      <c r="A686" s="35" t="s">
        <v>105</v>
      </c>
      <c r="B686" s="35">
        <v>9.86</v>
      </c>
      <c r="C686" s="35">
        <v>700</v>
      </c>
      <c r="D686" s="35" t="s">
        <v>48</v>
      </c>
      <c r="E686" s="36" t="str" cm="1">
        <f t="array" ref="E686">GetNumber(D686,1)</f>
        <v>14</v>
      </c>
      <c r="F686" s="36" t="str" cm="1">
        <f t="array" ref="F686">GetNumber(D686,2)</f>
        <v>8</v>
      </c>
      <c r="G686" s="35">
        <v>14.8</v>
      </c>
      <c r="H686" s="35">
        <v>8642</v>
      </c>
      <c r="I686" s="35">
        <f>62.68*($T$2)</f>
        <v>125.36</v>
      </c>
      <c r="J686" s="35">
        <f>927.7*($T$2)</f>
        <v>1855.4</v>
      </c>
      <c r="K686" s="35">
        <f t="shared" si="50"/>
        <v>3.1587797779454565</v>
      </c>
      <c r="L686" s="35">
        <f t="shared" si="51"/>
        <v>3.1589023611997451</v>
      </c>
      <c r="M686" s="35">
        <f>8.31375*($T$2)</f>
        <v>16.627500000000001</v>
      </c>
      <c r="N686" s="35">
        <f>65.5*(5280/3600)</f>
        <v>96.066666666666663</v>
      </c>
      <c r="O686" s="35">
        <f t="shared" si="49"/>
        <v>0.89616794222270135</v>
      </c>
      <c r="P686" s="35">
        <f t="shared" si="52"/>
        <v>52.52261075778808</v>
      </c>
      <c r="Q686" s="35">
        <f>('Batt Capacity and Sys Weight'!$I$3) + (B686*$T$2)</f>
        <v>46.108474999999999</v>
      </c>
      <c r="R686" s="35">
        <f>'Batt Capacity and Sys Weight'!$H$3</f>
        <v>97.68</v>
      </c>
    </row>
    <row r="687" spans="1:18" x14ac:dyDescent="0.3">
      <c r="A687" s="35" t="s">
        <v>105</v>
      </c>
      <c r="B687" s="35">
        <v>9.86</v>
      </c>
      <c r="C687" s="35">
        <v>700</v>
      </c>
      <c r="D687" s="35" t="s">
        <v>54</v>
      </c>
      <c r="E687" s="36" t="str" cm="1">
        <f t="array" ref="E687">GetNumber(D687,1)</f>
        <v>12</v>
      </c>
      <c r="F687" s="36" t="str" cm="1">
        <f t="array" ref="F687">GetNumber(D687,2)</f>
        <v>8</v>
      </c>
      <c r="G687" s="35">
        <v>14.8</v>
      </c>
      <c r="H687" s="35">
        <v>8817</v>
      </c>
      <c r="I687" s="35">
        <f>55.18*($T$2)</f>
        <v>110.36</v>
      </c>
      <c r="J687" s="35">
        <f>816.6*($T$2)</f>
        <v>1633.2</v>
      </c>
      <c r="K687" s="35">
        <f t="shared" si="50"/>
        <v>3.5885378398236591</v>
      </c>
      <c r="L687" s="35">
        <f t="shared" si="51"/>
        <v>3.5882566147154771</v>
      </c>
      <c r="M687" s="35">
        <f>7.451875*($T$2)</f>
        <v>14.90375</v>
      </c>
      <c r="N687" s="35">
        <f>66.8*(5280/3600)</f>
        <v>97.973333333333329</v>
      </c>
      <c r="O687" s="35">
        <f t="shared" si="49"/>
        <v>0.9125489835904973</v>
      </c>
      <c r="P687" s="35">
        <f t="shared" si="52"/>
        <v>53.482670830271864</v>
      </c>
      <c r="Q687" s="35">
        <f>('Batt Capacity and Sys Weight'!$I$3) + (B687*$T$2)</f>
        <v>46.108474999999999</v>
      </c>
      <c r="R687" s="35">
        <f>'Batt Capacity and Sys Weight'!$H$3</f>
        <v>97.68</v>
      </c>
    </row>
    <row r="688" spans="1:18" x14ac:dyDescent="0.3">
      <c r="A688" s="35" t="s">
        <v>105</v>
      </c>
      <c r="B688" s="35">
        <v>9.86</v>
      </c>
      <c r="C688" s="35">
        <v>700</v>
      </c>
      <c r="D688" s="35" t="s">
        <v>25</v>
      </c>
      <c r="E688" s="36" t="str" cm="1">
        <f t="array" ref="E688">GetNumber(D688,1)</f>
        <v>13</v>
      </c>
      <c r="F688" s="36" t="str" cm="1">
        <f t="array" ref="F688">GetNumber(D688,2)</f>
        <v>8</v>
      </c>
      <c r="G688" s="35">
        <v>14.8</v>
      </c>
      <c r="H688" s="35">
        <v>8603</v>
      </c>
      <c r="I688" s="35">
        <f>61.98*($T$2)</f>
        <v>123.96</v>
      </c>
      <c r="J688" s="35">
        <f>917.2*($T$2)</f>
        <v>1834.4</v>
      </c>
      <c r="K688" s="35">
        <f t="shared" si="50"/>
        <v>3.1949411251635413</v>
      </c>
      <c r="L688" s="35">
        <f t="shared" si="51"/>
        <v>3.1945788964182</v>
      </c>
      <c r="M688" s="35">
        <f>8.305*($T$2)</f>
        <v>16.61</v>
      </c>
      <c r="N688" s="35">
        <f>65.2*(5280/3600)</f>
        <v>95.626666666666665</v>
      </c>
      <c r="O688" s="35">
        <f t="shared" si="49"/>
        <v>0.90547317924116866</v>
      </c>
      <c r="P688" s="35">
        <f t="shared" si="52"/>
        <v>53.067972088966421</v>
      </c>
      <c r="Q688" s="35">
        <f>('Batt Capacity and Sys Weight'!$I$3) + (B688*$T$2)</f>
        <v>46.108474999999999</v>
      </c>
      <c r="R688" s="35">
        <f>'Batt Capacity and Sys Weight'!$H$3</f>
        <v>97.68</v>
      </c>
    </row>
    <row r="689" spans="1:18" x14ac:dyDescent="0.3">
      <c r="A689" s="35" t="s">
        <v>105</v>
      </c>
      <c r="B689" s="35">
        <v>9.86</v>
      </c>
      <c r="C689" s="35">
        <v>700</v>
      </c>
      <c r="D689" s="35" t="s">
        <v>69</v>
      </c>
      <c r="E689" s="36" t="str" cm="1">
        <f t="array" ref="E689">GetNumber(D689,1)</f>
        <v>10</v>
      </c>
      <c r="F689" s="36" t="str" cm="1">
        <f t="array" ref="F689">GetNumber(D689,2)</f>
        <v>8</v>
      </c>
      <c r="G689" s="35">
        <v>18.5</v>
      </c>
      <c r="H689" s="35">
        <v>11567</v>
      </c>
      <c r="I689" s="35">
        <f>43.07*($T$2)</f>
        <v>86.14</v>
      </c>
      <c r="J689" s="35">
        <f>796.7*($T$2)</f>
        <v>1593.4</v>
      </c>
      <c r="K689" s="35">
        <f t="shared" si="50"/>
        <v>3.4831178611773566</v>
      </c>
      <c r="L689" s="35">
        <f t="shared" si="51"/>
        <v>3.4827025771999072</v>
      </c>
      <c r="M689" s="35">
        <f>5.006875*($T$2)</f>
        <v>10.01375</v>
      </c>
      <c r="N689" s="35">
        <f>87.6*(5280/3600)</f>
        <v>128.47999999999999</v>
      </c>
      <c r="O689" s="35">
        <f t="shared" si="49"/>
        <v>0.62845173842098656</v>
      </c>
      <c r="P689" s="35">
        <f t="shared" si="52"/>
        <v>34.879071482364751</v>
      </c>
      <c r="Q689" s="35">
        <f>('Batt Capacity and Sys Weight'!$I$4) + (B689*$T$2)</f>
        <v>46.884502999999995</v>
      </c>
      <c r="R689" s="35">
        <f>'Batt Capacity and Sys Weight'!$H$4</f>
        <v>92.5</v>
      </c>
    </row>
    <row r="690" spans="1:18" x14ac:dyDescent="0.3">
      <c r="A690" s="35" t="s">
        <v>105</v>
      </c>
      <c r="B690" s="35">
        <v>9.86</v>
      </c>
      <c r="C690" s="35">
        <v>700</v>
      </c>
      <c r="D690" s="35" t="s">
        <v>55</v>
      </c>
      <c r="E690" s="36" t="str" cm="1">
        <f t="array" ref="E690">GetNumber(D690,1)</f>
        <v>10</v>
      </c>
      <c r="F690" s="36" t="str" cm="1">
        <f t="array" ref="F690">GetNumber(D690,2)</f>
        <v>10</v>
      </c>
      <c r="G690" s="35">
        <v>18.5</v>
      </c>
      <c r="H690" s="35">
        <v>11195</v>
      </c>
      <c r="I690" s="35">
        <f>55.84*($T$2)</f>
        <v>111.68</v>
      </c>
      <c r="J690" s="35">
        <f>1032.9*($T$2)</f>
        <v>2065.8000000000002</v>
      </c>
      <c r="K690" s="35">
        <f t="shared" si="50"/>
        <v>2.6866105140865524</v>
      </c>
      <c r="L690" s="35">
        <f t="shared" si="51"/>
        <v>2.6862464183381087</v>
      </c>
      <c r="M690" s="35">
        <f>4.623125*($T$2)</f>
        <v>9.2462499999999999</v>
      </c>
      <c r="N690" s="35">
        <f>106*(5280/3600)</f>
        <v>155.46666666666667</v>
      </c>
      <c r="O690" s="35">
        <f t="shared" si="49"/>
        <v>0.44758689127698709</v>
      </c>
      <c r="P690" s="35">
        <f t="shared" si="52"/>
        <v>24.841072465872784</v>
      </c>
      <c r="Q690" s="35">
        <f>('Batt Capacity and Sys Weight'!$I$4) + (B690*$T$2)</f>
        <v>46.884502999999995</v>
      </c>
      <c r="R690" s="35">
        <f>'Batt Capacity and Sys Weight'!$H$4</f>
        <v>92.5</v>
      </c>
    </row>
    <row r="691" spans="1:18" x14ac:dyDescent="0.3">
      <c r="A691" s="35" t="s">
        <v>105</v>
      </c>
      <c r="B691" s="35">
        <v>9.86</v>
      </c>
      <c r="C691" s="35">
        <v>700</v>
      </c>
      <c r="D691" s="35" t="s">
        <v>70</v>
      </c>
      <c r="E691" s="36" t="str" cm="1">
        <f t="array" ref="E691">GetNumber(D691,1)</f>
        <v>11</v>
      </c>
      <c r="F691" s="36" cm="1">
        <f t="array" ref="F691">GetNumber(D691,2)+(GetNumber(D691,3)/10)</f>
        <v>5.5</v>
      </c>
      <c r="G691" s="35">
        <v>18.5</v>
      </c>
      <c r="H691" s="35">
        <v>11607</v>
      </c>
      <c r="I691" s="35">
        <f>42.04*($T$2)</f>
        <v>84.08</v>
      </c>
      <c r="J691" s="35">
        <f>777.7*($T$2)</f>
        <v>1555.4</v>
      </c>
      <c r="K691" s="35">
        <f t="shared" si="50"/>
        <v>3.5682139642535682</v>
      </c>
      <c r="L691" s="35">
        <f t="shared" si="51"/>
        <v>3.5680304471931494</v>
      </c>
      <c r="M691" s="35">
        <f>6.63125*($T$2)</f>
        <v>13.262499999999999</v>
      </c>
      <c r="N691" s="35">
        <f>60.5*(5280/3600)</f>
        <v>88.73333333333332</v>
      </c>
      <c r="O691" s="35">
        <f t="shared" si="49"/>
        <v>0.85267455316960261</v>
      </c>
      <c r="P691" s="35">
        <f t="shared" si="52"/>
        <v>47.323437700912947</v>
      </c>
      <c r="Q691" s="35">
        <f>('Batt Capacity and Sys Weight'!$I$4) + (B691*$T$2)</f>
        <v>46.884502999999995</v>
      </c>
      <c r="R691" s="35">
        <f>'Batt Capacity and Sys Weight'!$H$4</f>
        <v>92.5</v>
      </c>
    </row>
    <row r="692" spans="1:18" x14ac:dyDescent="0.3">
      <c r="A692" s="35" t="s">
        <v>105</v>
      </c>
      <c r="B692" s="35">
        <v>9.86</v>
      </c>
      <c r="C692" s="35">
        <v>700</v>
      </c>
      <c r="D692" s="35" t="s">
        <v>71</v>
      </c>
      <c r="E692" s="36" t="str" cm="1">
        <f t="array" ref="E692">GetNumber(D692,1)</f>
        <v>11</v>
      </c>
      <c r="F692" s="36" t="str" cm="1">
        <f t="array" ref="F692">GetNumber(D692,2)</f>
        <v>7</v>
      </c>
      <c r="G692" s="35">
        <v>18.5</v>
      </c>
      <c r="H692" s="35">
        <v>11368</v>
      </c>
      <c r="I692" s="35">
        <f>51.08*($T$2)</f>
        <v>102.16</v>
      </c>
      <c r="J692" s="35">
        <f>945*($T$2)</f>
        <v>1890</v>
      </c>
      <c r="K692" s="35">
        <f t="shared" si="50"/>
        <v>2.9365079365079363</v>
      </c>
      <c r="L692" s="35">
        <f t="shared" si="51"/>
        <v>2.9365700861393891</v>
      </c>
      <c r="M692" s="35">
        <f>6.966875*($T$2)</f>
        <v>13.93375</v>
      </c>
      <c r="N692" s="35">
        <f>75.4*(5280/3600)</f>
        <v>110.58666666666667</v>
      </c>
      <c r="O692" s="35">
        <f t="shared" si="49"/>
        <v>0.73723544973544974</v>
      </c>
      <c r="P692" s="35">
        <f t="shared" si="52"/>
        <v>40.916567460317459</v>
      </c>
      <c r="Q692" s="35">
        <f>('Batt Capacity and Sys Weight'!$I$4) + (B692*$T$2)</f>
        <v>46.884502999999995</v>
      </c>
      <c r="R692" s="35">
        <f>'Batt Capacity and Sys Weight'!$H$4</f>
        <v>92.5</v>
      </c>
    </row>
    <row r="693" spans="1:18" x14ac:dyDescent="0.3">
      <c r="A693" s="35" t="s">
        <v>105</v>
      </c>
      <c r="B693" s="35">
        <v>9.86</v>
      </c>
      <c r="C693" s="35">
        <v>700</v>
      </c>
      <c r="D693" s="35" t="s">
        <v>72</v>
      </c>
      <c r="E693" s="36" t="str" cm="1">
        <f t="array" ref="E693">GetNumber(D693,1)</f>
        <v>11</v>
      </c>
      <c r="F693" s="36" t="str" cm="1">
        <f t="array" ref="F693">GetNumber(D693,2)</f>
        <v>8</v>
      </c>
      <c r="G693" s="35">
        <v>18.5</v>
      </c>
      <c r="H693" s="35">
        <v>11191</v>
      </c>
      <c r="I693" s="35">
        <f>56.38*($T$2)</f>
        <v>112.76</v>
      </c>
      <c r="J693" s="35">
        <f>1043*($T$2)</f>
        <v>2086</v>
      </c>
      <c r="K693" s="35">
        <f t="shared" si="50"/>
        <v>2.6605944391179293</v>
      </c>
      <c r="L693" s="35">
        <f t="shared" si="51"/>
        <v>2.6605179141539552</v>
      </c>
      <c r="M693" s="35">
        <f>6.53875*($T$2)</f>
        <v>13.077500000000001</v>
      </c>
      <c r="N693" s="35">
        <f>84.8*(5280/3600)</f>
        <v>124.37333333333332</v>
      </c>
      <c r="O693" s="35">
        <f t="shared" si="49"/>
        <v>0.62691754554170664</v>
      </c>
      <c r="P693" s="35">
        <f t="shared" si="52"/>
        <v>34.793923777564721</v>
      </c>
      <c r="Q693" s="35">
        <f>('Batt Capacity and Sys Weight'!$I$4) + (B693*$T$2)</f>
        <v>46.884502999999995</v>
      </c>
      <c r="R693" s="35">
        <f>'Batt Capacity and Sys Weight'!$H$4</f>
        <v>92.5</v>
      </c>
    </row>
    <row r="694" spans="1:18" x14ac:dyDescent="0.3">
      <c r="A694" s="35" t="s">
        <v>105</v>
      </c>
      <c r="B694" s="35">
        <v>9.86</v>
      </c>
      <c r="C694" s="35">
        <v>700</v>
      </c>
      <c r="D694" s="35" t="s">
        <v>56</v>
      </c>
      <c r="E694" s="36" t="str" cm="1">
        <f t="array" ref="E694">GetNumber(D694,1)</f>
        <v>11</v>
      </c>
      <c r="F694" s="36" cm="1">
        <f t="array" ref="F694">GetNumber(D694,2)+(GetNumber(D694,3)/10)</f>
        <v>8.5</v>
      </c>
      <c r="G694" s="35">
        <v>18.5</v>
      </c>
      <c r="H694" s="35">
        <v>11060</v>
      </c>
      <c r="I694" s="35">
        <f>60.52*($T$2)</f>
        <v>121.04</v>
      </c>
      <c r="J694" s="35">
        <f>1119.6*($T$2)</f>
        <v>2239.1999999999998</v>
      </c>
      <c r="K694" s="35">
        <f t="shared" si="50"/>
        <v>2.4785637727759919</v>
      </c>
      <c r="L694" s="35">
        <f t="shared" si="51"/>
        <v>2.4785194976867149</v>
      </c>
      <c r="M694" s="35">
        <f>6.649375*($T$2)</f>
        <v>13.29875</v>
      </c>
      <c r="N694" s="35">
        <f>89*(5280/3600)</f>
        <v>130.53333333333333</v>
      </c>
      <c r="O694" s="35">
        <f t="shared" si="49"/>
        <v>0.59390630582350845</v>
      </c>
      <c r="P694" s="35">
        <f t="shared" si="52"/>
        <v>32.96179997320472</v>
      </c>
      <c r="Q694" s="35">
        <f>('Batt Capacity and Sys Weight'!$I$4) + (B694*$T$2)</f>
        <v>46.884502999999995</v>
      </c>
      <c r="R694" s="35">
        <f>'Batt Capacity and Sys Weight'!$H$4</f>
        <v>92.5</v>
      </c>
    </row>
    <row r="695" spans="1:18" x14ac:dyDescent="0.3">
      <c r="A695" s="35" t="s">
        <v>105</v>
      </c>
      <c r="B695" s="35">
        <v>9.86</v>
      </c>
      <c r="C695" s="35">
        <v>700</v>
      </c>
      <c r="D695" s="35" t="s">
        <v>58</v>
      </c>
      <c r="E695" s="36" t="str" cm="1">
        <f t="array" ref="E695">GetNumber(D695,1)</f>
        <v>12</v>
      </c>
      <c r="F695" s="36" t="str" cm="1">
        <f t="array" ref="F695">GetNumber(D695,2)</f>
        <v>6</v>
      </c>
      <c r="G695" s="35">
        <v>18.5</v>
      </c>
      <c r="H695" s="35">
        <v>11131</v>
      </c>
      <c r="I695" s="35">
        <f>57.94*($T$2)</f>
        <v>115.88</v>
      </c>
      <c r="J695" s="35">
        <f>1071.9*($T$2)</f>
        <v>2143.8000000000002</v>
      </c>
      <c r="K695" s="35">
        <f t="shared" si="50"/>
        <v>2.5888609012034705</v>
      </c>
      <c r="L695" s="35">
        <f t="shared" si="51"/>
        <v>2.5888850535036245</v>
      </c>
      <c r="M695" s="35">
        <f>8.346875*($T$2)</f>
        <v>16.693750000000001</v>
      </c>
      <c r="N695" s="35">
        <f>63.2*(5280/3600)</f>
        <v>92.693333333333328</v>
      </c>
      <c r="O695" s="35">
        <f t="shared" si="49"/>
        <v>0.77869903908946736</v>
      </c>
      <c r="P695" s="35">
        <f t="shared" si="52"/>
        <v>43.217796669465436</v>
      </c>
      <c r="Q695" s="35">
        <f>('Batt Capacity and Sys Weight'!$I$4) + (B695*$T$2)</f>
        <v>46.884502999999995</v>
      </c>
      <c r="R695" s="35">
        <f>'Batt Capacity and Sys Weight'!$H$4</f>
        <v>92.5</v>
      </c>
    </row>
    <row r="696" spans="1:18" x14ac:dyDescent="0.3">
      <c r="A696" s="35" t="s">
        <v>105</v>
      </c>
      <c r="B696" s="35">
        <v>9.86</v>
      </c>
      <c r="C696" s="35">
        <v>700</v>
      </c>
      <c r="D696" s="35" t="s">
        <v>98</v>
      </c>
      <c r="E696" s="36" t="str" cm="1">
        <f t="array" ref="E696">GetNumber(D696,1)</f>
        <v>13</v>
      </c>
      <c r="F696" s="36" t="str" cm="1">
        <f t="array" ref="F696">GetNumber(D696,2)</f>
        <v>4</v>
      </c>
      <c r="G696" s="35">
        <v>18.5</v>
      </c>
      <c r="H696" s="35">
        <v>11490</v>
      </c>
      <c r="I696" s="35">
        <f>47.88*($T$2)</f>
        <v>95.76</v>
      </c>
      <c r="J696" s="35">
        <f>885.7*($T$2)</f>
        <v>1771.4</v>
      </c>
      <c r="K696" s="35">
        <f t="shared" si="50"/>
        <v>3.1331150502427456</v>
      </c>
      <c r="L696" s="35">
        <f t="shared" si="51"/>
        <v>3.132832080200501</v>
      </c>
      <c r="M696" s="35">
        <f>8.448125*($T$2)</f>
        <v>16.896249999999998</v>
      </c>
      <c r="N696" s="35">
        <f>43.5*(5280/3600)</f>
        <v>63.8</v>
      </c>
      <c r="O696" s="35">
        <f t="shared" si="49"/>
        <v>0.9538359489669187</v>
      </c>
      <c r="P696" s="35">
        <f t="shared" si="52"/>
        <v>52.937895167663989</v>
      </c>
      <c r="Q696" s="35">
        <f>('Batt Capacity and Sys Weight'!$I$4) + (B696*$T$2)</f>
        <v>46.884502999999995</v>
      </c>
      <c r="R696" s="35">
        <f>'Batt Capacity and Sys Weight'!$H$4</f>
        <v>92.5</v>
      </c>
    </row>
    <row r="697" spans="1:18" x14ac:dyDescent="0.3">
      <c r="A697" s="35" t="s">
        <v>105</v>
      </c>
      <c r="B697" s="35">
        <v>9.86</v>
      </c>
      <c r="C697" s="35">
        <v>700</v>
      </c>
      <c r="D697" s="35" t="s">
        <v>59</v>
      </c>
      <c r="E697" s="36" t="str" cm="1">
        <f t="array" ref="E697">GetNumber(D697,1)</f>
        <v>13</v>
      </c>
      <c r="F697" s="36" cm="1">
        <f t="array" ref="F697">GetNumber(D697,2)+(GetNumber(D697,3)/10)</f>
        <v>5.5</v>
      </c>
      <c r="G697" s="35">
        <v>18.5</v>
      </c>
      <c r="H697" s="35">
        <v>11100</v>
      </c>
      <c r="I697" s="35">
        <f>59.31*($T$2)</f>
        <v>118.62</v>
      </c>
      <c r="J697" s="35">
        <f>1097.2*($T$2)</f>
        <v>2194.4</v>
      </c>
      <c r="K697" s="35">
        <f t="shared" si="50"/>
        <v>2.5291651476485599</v>
      </c>
      <c r="L697" s="35">
        <f t="shared" si="51"/>
        <v>2.5290844714213452</v>
      </c>
      <c r="M697" s="35">
        <f>9.54625*($T$2)</f>
        <v>19.092500000000001</v>
      </c>
      <c r="N697" s="35">
        <f>57.8*(5280/3600)</f>
        <v>84.773333333333326</v>
      </c>
      <c r="O697" s="35">
        <f t="shared" si="49"/>
        <v>0.87005559606270511</v>
      </c>
      <c r="P697" s="35">
        <f t="shared" si="52"/>
        <v>48.288085581480132</v>
      </c>
      <c r="Q697" s="35">
        <f>('Batt Capacity and Sys Weight'!$I$4) + (B697*$T$2)</f>
        <v>46.884502999999995</v>
      </c>
      <c r="R697" s="35">
        <f>'Batt Capacity and Sys Weight'!$H$4</f>
        <v>92.5</v>
      </c>
    </row>
    <row r="698" spans="1:18" x14ac:dyDescent="0.3">
      <c r="A698" s="35" t="s">
        <v>105</v>
      </c>
      <c r="B698" s="35">
        <v>9.86</v>
      </c>
      <c r="C698" s="35">
        <v>700</v>
      </c>
      <c r="D698" s="35" t="s">
        <v>75</v>
      </c>
      <c r="E698" s="36" t="str" cm="1">
        <f t="array" ref="E698">GetNumber(D698,1)</f>
        <v>10</v>
      </c>
      <c r="F698" s="36" t="str" cm="1">
        <f t="array" ref="F698">GetNumber(D698,2)</f>
        <v>8</v>
      </c>
      <c r="G698" s="35">
        <v>18.5</v>
      </c>
      <c r="H698" s="35">
        <v>11715</v>
      </c>
      <c r="I698" s="35">
        <f>41.17*($T$2)</f>
        <v>82.34</v>
      </c>
      <c r="J698" s="35">
        <f>761.6*($T$2)</f>
        <v>1523.2</v>
      </c>
      <c r="K698" s="35">
        <f t="shared" si="50"/>
        <v>3.6436449579831933</v>
      </c>
      <c r="L698" s="35">
        <f t="shared" si="51"/>
        <v>3.6434296818071412</v>
      </c>
      <c r="M698" s="35">
        <f>4.473125*($T$2)</f>
        <v>8.9462499999999991</v>
      </c>
      <c r="N698" s="35">
        <f>88.8*(5280/3600)</f>
        <v>130.23999999999998</v>
      </c>
      <c r="O698" s="35">
        <f t="shared" si="49"/>
        <v>0.58733258928571419</v>
      </c>
      <c r="P698" s="35">
        <f t="shared" si="52"/>
        <v>32.596958705357139</v>
      </c>
      <c r="Q698" s="35">
        <f>('Batt Capacity and Sys Weight'!$I$4) + (B698*$T$2)</f>
        <v>46.884502999999995</v>
      </c>
      <c r="R698" s="35">
        <f>'Batt Capacity and Sys Weight'!$H$4</f>
        <v>92.5</v>
      </c>
    </row>
    <row r="699" spans="1:18" x14ac:dyDescent="0.3">
      <c r="A699" s="35" t="s">
        <v>105</v>
      </c>
      <c r="B699" s="35">
        <v>9.86</v>
      </c>
      <c r="C699" s="35">
        <v>700</v>
      </c>
      <c r="D699" s="35" t="s">
        <v>61</v>
      </c>
      <c r="E699" s="36" t="str" cm="1">
        <f t="array" ref="E699">GetNumber(D699,1)</f>
        <v>11</v>
      </c>
      <c r="F699" s="36" t="str" cm="1">
        <f t="array" ref="F699">GetNumber(D699,2)</f>
        <v>8</v>
      </c>
      <c r="G699" s="35">
        <v>18.5</v>
      </c>
      <c r="H699" s="35">
        <v>11349</v>
      </c>
      <c r="I699" s="35">
        <f>51.64*($T$2)</f>
        <v>103.28</v>
      </c>
      <c r="J699" s="35">
        <f>955.4*($T$2)</f>
        <v>1910.8</v>
      </c>
      <c r="K699" s="35">
        <f t="shared" si="50"/>
        <v>2.9045425999581331</v>
      </c>
      <c r="L699" s="35">
        <f t="shared" si="51"/>
        <v>2.9047250193648337</v>
      </c>
      <c r="M699" s="35">
        <f>5.36375*($T$2)</f>
        <v>10.727499999999999</v>
      </c>
      <c r="N699" s="35">
        <f>86*(5280/3600)</f>
        <v>126.13333333333333</v>
      </c>
      <c r="O699" s="35">
        <f t="shared" si="49"/>
        <v>0.56141406740632194</v>
      </c>
      <c r="P699" s="35">
        <f t="shared" si="52"/>
        <v>31.15848074105087</v>
      </c>
      <c r="Q699" s="35">
        <f>('Batt Capacity and Sys Weight'!$I$4) + (B699*$T$2)</f>
        <v>46.884502999999995</v>
      </c>
      <c r="R699" s="35">
        <f>'Batt Capacity and Sys Weight'!$H$4</f>
        <v>92.5</v>
      </c>
    </row>
    <row r="700" spans="1:18" x14ac:dyDescent="0.3">
      <c r="A700" s="35" t="s">
        <v>105</v>
      </c>
      <c r="B700" s="35">
        <v>9.86</v>
      </c>
      <c r="C700" s="35">
        <v>700</v>
      </c>
      <c r="D700" s="35" t="s">
        <v>62</v>
      </c>
      <c r="E700" s="36" t="str" cm="1">
        <f t="array" ref="E700">GetNumber(D700,1)</f>
        <v>12</v>
      </c>
      <c r="F700" s="36" t="str" cm="1">
        <f t="array" ref="F700">GetNumber(D700,2)</f>
        <v>6</v>
      </c>
      <c r="G700" s="35">
        <v>18.5</v>
      </c>
      <c r="H700" s="35">
        <v>11435</v>
      </c>
      <c r="I700" s="35">
        <f>49.5*($T$2)</f>
        <v>99</v>
      </c>
      <c r="J700" s="35">
        <f>915.8*($T$2)</f>
        <v>1831.6</v>
      </c>
      <c r="K700" s="35">
        <f t="shared" si="50"/>
        <v>3.0301375846254643</v>
      </c>
      <c r="L700" s="35">
        <f t="shared" si="51"/>
        <v>3.0303030303030303</v>
      </c>
      <c r="M700" s="35">
        <f>6.929375*($T$2)</f>
        <v>13.858750000000001</v>
      </c>
      <c r="N700" s="35">
        <f>65*(5280/3600)</f>
        <v>95.333333333333329</v>
      </c>
      <c r="O700" s="35">
        <f t="shared" si="49"/>
        <v>0.75664719371041722</v>
      </c>
      <c r="P700" s="35">
        <f t="shared" si="52"/>
        <v>41.993919250928158</v>
      </c>
      <c r="Q700" s="35">
        <f>('Batt Capacity and Sys Weight'!$I$4) + (B700*$T$2)</f>
        <v>46.884502999999995</v>
      </c>
      <c r="R700" s="35">
        <f>'Batt Capacity and Sys Weight'!$H$4</f>
        <v>92.5</v>
      </c>
    </row>
    <row r="701" spans="1:18" x14ac:dyDescent="0.3">
      <c r="A701" s="35" t="s">
        <v>105</v>
      </c>
      <c r="B701" s="35">
        <v>9.86</v>
      </c>
      <c r="C701" s="35">
        <v>700</v>
      </c>
      <c r="D701" s="35" t="s">
        <v>63</v>
      </c>
      <c r="E701" s="36" t="str" cm="1">
        <f t="array" ref="E701">GetNumber(D701,1)</f>
        <v>12</v>
      </c>
      <c r="F701" s="36" t="str" cm="1">
        <f t="array" ref="F701">GetNumber(D701,2)</f>
        <v>7</v>
      </c>
      <c r="G701" s="35">
        <v>18.5</v>
      </c>
      <c r="H701" s="35">
        <v>11118</v>
      </c>
      <c r="I701" s="35">
        <f>58.52*($T$2)</f>
        <v>117.04</v>
      </c>
      <c r="J701" s="35">
        <f>1082.5*($T$2)</f>
        <v>2165</v>
      </c>
      <c r="K701" s="35">
        <f t="shared" si="50"/>
        <v>2.5635103926096998</v>
      </c>
      <c r="L701" s="35">
        <f t="shared" si="51"/>
        <v>2.5632262474367735</v>
      </c>
      <c r="M701" s="35">
        <f>7.26*($T$2)</f>
        <v>14.52</v>
      </c>
      <c r="N701" s="35">
        <f>73.7*(5280/3600)</f>
        <v>108.09333333333333</v>
      </c>
      <c r="O701" s="35">
        <f t="shared" si="49"/>
        <v>0.67066974595842954</v>
      </c>
      <c r="P701" s="35">
        <f t="shared" si="52"/>
        <v>37.222170900692838</v>
      </c>
      <c r="Q701" s="35">
        <f>('Batt Capacity and Sys Weight'!$I$4) + (B701*$T$2)</f>
        <v>46.884502999999995</v>
      </c>
      <c r="R701" s="35">
        <f>'Batt Capacity and Sys Weight'!$H$4</f>
        <v>92.5</v>
      </c>
    </row>
    <row r="702" spans="1:18" x14ac:dyDescent="0.3">
      <c r="A702" s="35" t="s">
        <v>105</v>
      </c>
      <c r="B702" s="35">
        <v>9.86</v>
      </c>
      <c r="C702" s="35">
        <v>700</v>
      </c>
      <c r="D702" s="35" t="s">
        <v>65</v>
      </c>
      <c r="E702" s="36" t="str" cm="1">
        <f t="array" ref="E702">GetNumber(D702,1)</f>
        <v>13</v>
      </c>
      <c r="F702" s="36" t="str" cm="1">
        <f t="array" ref="F702">GetNumber(D702,2)</f>
        <v>6</v>
      </c>
      <c r="G702" s="35">
        <v>18.5</v>
      </c>
      <c r="H702" s="35">
        <v>11130</v>
      </c>
      <c r="I702" s="35">
        <f>58.14*($T$2)</f>
        <v>116.28</v>
      </c>
      <c r="J702" s="35">
        <f>1075.6*($T$2)</f>
        <v>2151.1999999999998</v>
      </c>
      <c r="K702" s="35">
        <f t="shared" si="50"/>
        <v>2.579955373744887</v>
      </c>
      <c r="L702" s="35">
        <f t="shared" si="51"/>
        <v>2.5799793601651184</v>
      </c>
      <c r="M702" s="35">
        <f>8.924375*($T$2)</f>
        <v>17.848749999999999</v>
      </c>
      <c r="N702" s="35">
        <f>63.2*(5280/3600)</f>
        <v>92.693333333333328</v>
      </c>
      <c r="O702" s="35">
        <f t="shared" si="49"/>
        <v>0.82971132391223501</v>
      </c>
      <c r="P702" s="35">
        <f t="shared" si="52"/>
        <v>46.048978477129047</v>
      </c>
      <c r="Q702" s="35">
        <f>('Batt Capacity and Sys Weight'!$I$4) + (B702*$T$2)</f>
        <v>46.884502999999995</v>
      </c>
      <c r="R702" s="35">
        <f>'Batt Capacity and Sys Weight'!$H$4</f>
        <v>92.5</v>
      </c>
    </row>
    <row r="703" spans="1:18" x14ac:dyDescent="0.3">
      <c r="A703" s="35" t="s">
        <v>105</v>
      </c>
      <c r="B703" s="35">
        <v>9.86</v>
      </c>
      <c r="C703" s="35">
        <v>700</v>
      </c>
      <c r="D703" s="35" t="s">
        <v>81</v>
      </c>
      <c r="E703" s="36" t="str" cm="1">
        <f t="array" ref="E703">GetNumber(D703,1)</f>
        <v>11</v>
      </c>
      <c r="F703" s="36" t="str" cm="1">
        <f t="array" ref="F703">GetNumber(D703,2)</f>
        <v>7</v>
      </c>
      <c r="G703" s="35">
        <v>18.5</v>
      </c>
      <c r="H703" s="35">
        <v>11410</v>
      </c>
      <c r="I703" s="35">
        <f>49.94*($T$2)</f>
        <v>99.88</v>
      </c>
      <c r="J703" s="35">
        <f>923.9*($T$2)</f>
        <v>1847.8</v>
      </c>
      <c r="K703" s="35">
        <f t="shared" si="50"/>
        <v>3.0035718151315081</v>
      </c>
      <c r="L703" s="35">
        <f t="shared" si="51"/>
        <v>3.0036043251902287</v>
      </c>
      <c r="M703" s="35">
        <f>7.49125*($T$2)</f>
        <v>14.9825</v>
      </c>
      <c r="N703" s="35">
        <f>75.6*(5280/3600)</f>
        <v>110.87999999999998</v>
      </c>
      <c r="O703" s="35">
        <f t="shared" si="49"/>
        <v>0.81082909405779846</v>
      </c>
      <c r="P703" s="35">
        <f t="shared" si="52"/>
        <v>45.00101472020782</v>
      </c>
      <c r="Q703" s="35">
        <f>('Batt Capacity and Sys Weight'!$I$4) + (B703*$T$2)</f>
        <v>46.884502999999995</v>
      </c>
      <c r="R703" s="35">
        <f>'Batt Capacity and Sys Weight'!$H$4</f>
        <v>92.5</v>
      </c>
    </row>
    <row r="704" spans="1:18" x14ac:dyDescent="0.3">
      <c r="A704" s="35" t="s">
        <v>105</v>
      </c>
      <c r="B704" s="35">
        <v>9.86</v>
      </c>
      <c r="C704" s="35">
        <v>700</v>
      </c>
      <c r="D704" s="35" t="s">
        <v>66</v>
      </c>
      <c r="E704" s="36" t="str" cm="1">
        <f t="array" ref="E704">GetNumber(D704,1)</f>
        <v>11</v>
      </c>
      <c r="F704" s="36" t="str" cm="1">
        <f t="array" ref="F704">GetNumber(D704,2)</f>
        <v>8</v>
      </c>
      <c r="G704" s="35">
        <v>18.5</v>
      </c>
      <c r="H704" s="35">
        <v>11236</v>
      </c>
      <c r="I704" s="35">
        <f>54.89*($T$2)</f>
        <v>109.78</v>
      </c>
      <c r="J704" s="35">
        <f>1015.4*($T$2)</f>
        <v>2030.8</v>
      </c>
      <c r="K704" s="35">
        <f t="shared" si="50"/>
        <v>2.7329131376797324</v>
      </c>
      <c r="L704" s="35">
        <f t="shared" si="51"/>
        <v>2.7327382036800874</v>
      </c>
      <c r="M704" s="35">
        <f>7.78*($T$2)</f>
        <v>15.56</v>
      </c>
      <c r="N704" s="35">
        <f>85.1*(5280/3600)</f>
        <v>124.81333333333332</v>
      </c>
      <c r="O704" s="35">
        <f t="shared" si="49"/>
        <v>0.76620051211345286</v>
      </c>
      <c r="P704" s="35">
        <f t="shared" si="52"/>
        <v>42.524128422296641</v>
      </c>
      <c r="Q704" s="35">
        <f>('Batt Capacity and Sys Weight'!$I$4) + (B704*$T$2)</f>
        <v>46.884502999999995</v>
      </c>
      <c r="R704" s="35">
        <f>'Batt Capacity and Sys Weight'!$H$4</f>
        <v>92.5</v>
      </c>
    </row>
    <row r="705" spans="1:18" x14ac:dyDescent="0.3">
      <c r="A705" s="35" t="s">
        <v>105</v>
      </c>
      <c r="B705" s="35">
        <v>9.86</v>
      </c>
      <c r="C705" s="35">
        <v>700</v>
      </c>
      <c r="D705" s="35" t="s">
        <v>53</v>
      </c>
      <c r="E705" s="36" t="str" cm="1">
        <f t="array" ref="E705">GetNumber(D705,1)</f>
        <v>12</v>
      </c>
      <c r="F705" s="36" t="str" cm="1">
        <f t="array" ref="F705">GetNumber(D705,2)</f>
        <v>6</v>
      </c>
      <c r="G705" s="35">
        <v>18.5</v>
      </c>
      <c r="H705" s="35">
        <v>11175</v>
      </c>
      <c r="I705" s="35">
        <f>56.92*($T$2)</f>
        <v>113.84</v>
      </c>
      <c r="J705" s="35">
        <f>1053*($T$2)</f>
        <v>2106</v>
      </c>
      <c r="K705" s="35">
        <f t="shared" si="50"/>
        <v>2.6353276353276351</v>
      </c>
      <c r="L705" s="35">
        <f t="shared" si="51"/>
        <v>2.6352775825720309</v>
      </c>
      <c r="M705" s="35">
        <f>8.7325*($T$2)</f>
        <v>17.465</v>
      </c>
      <c r="N705" s="35">
        <f>63.5*(5280/3600)</f>
        <v>93.133333333333326</v>
      </c>
      <c r="O705" s="35">
        <f t="shared" si="49"/>
        <v>0.82929724596391263</v>
      </c>
      <c r="P705" s="35">
        <f t="shared" si="52"/>
        <v>46.025997150997149</v>
      </c>
      <c r="Q705" s="35">
        <f>('Batt Capacity and Sys Weight'!$I$4) + (B705*$T$2)</f>
        <v>46.884502999999995</v>
      </c>
      <c r="R705" s="35">
        <f>'Batt Capacity and Sys Weight'!$H$4</f>
        <v>92.5</v>
      </c>
    </row>
    <row r="706" spans="1:18" x14ac:dyDescent="0.3">
      <c r="A706" s="35" t="s">
        <v>105</v>
      </c>
      <c r="B706" s="35">
        <v>9.86</v>
      </c>
      <c r="C706" s="35">
        <v>700</v>
      </c>
      <c r="D706" s="35" t="s">
        <v>104</v>
      </c>
      <c r="E706" s="36" t="str" cm="1">
        <f t="array" ref="E706">GetNumber(D706,1)</f>
        <v>9</v>
      </c>
      <c r="F706" s="36" cm="1">
        <f t="array" ref="F706">GetNumber(D706,2)+(GetNumber(D706,3)/10)</f>
        <v>7.5</v>
      </c>
      <c r="G706" s="35">
        <v>22.2</v>
      </c>
      <c r="H706" s="35">
        <v>13644</v>
      </c>
      <c r="I706" s="35">
        <f>53.24*($T$2)</f>
        <v>106.48</v>
      </c>
      <c r="J706" s="35">
        <f>1182*($T$2)</f>
        <v>2364</v>
      </c>
      <c r="K706" s="35">
        <f t="shared" si="50"/>
        <v>2.5355329949238579</v>
      </c>
      <c r="L706" s="35">
        <f t="shared" si="51"/>
        <v>2.5356874530428248</v>
      </c>
      <c r="M706" s="35">
        <f>5.218125*($T$2)</f>
        <v>10.436249999999999</v>
      </c>
      <c r="N706" s="35">
        <f>96.9*(5280/3600)</f>
        <v>142.12</v>
      </c>
      <c r="O706" s="35">
        <f t="shared" ref="O706:O769" si="54" xml:space="preserve"> (M706/J706)*100</f>
        <v>0.44146573604060912</v>
      </c>
      <c r="P706" s="35">
        <f t="shared" si="52"/>
        <v>26.461456218274112</v>
      </c>
      <c r="Q706" s="35">
        <f>('Batt Capacity and Sys Weight'!$I$5) + (B706*$T$2)</f>
        <v>51.293752999999995</v>
      </c>
      <c r="R706" s="35">
        <f>'Batt Capacity and Sys Weight'!$H$5</f>
        <v>99.9</v>
      </c>
    </row>
    <row r="707" spans="1:18" x14ac:dyDescent="0.3">
      <c r="A707" s="35" t="s">
        <v>105</v>
      </c>
      <c r="B707" s="35">
        <v>9.86</v>
      </c>
      <c r="C707" s="35">
        <v>700</v>
      </c>
      <c r="D707" s="35" t="s">
        <v>103</v>
      </c>
      <c r="E707" s="36" t="str" cm="1">
        <f t="array" ref="E707">GetNumber(D707,1)</f>
        <v>9</v>
      </c>
      <c r="F707" s="36" t="str" cm="1">
        <f t="array" ref="F707">GetNumber(D707,2)</f>
        <v>9</v>
      </c>
      <c r="G707" s="35">
        <v>22.2</v>
      </c>
      <c r="H707" s="35">
        <v>13521</v>
      </c>
      <c r="I707" s="35">
        <f>57.22*($T$2)</f>
        <v>114.44</v>
      </c>
      <c r="J707" s="35">
        <f>1270.4*($T$2)</f>
        <v>2540.8000000000002</v>
      </c>
      <c r="K707" s="35">
        <f t="shared" ref="K707:K770" si="55" xml:space="preserve"> (R707/J707)*60</f>
        <v>2.3590994962216625</v>
      </c>
      <c r="L707" s="35">
        <f t="shared" ref="L707:L770" si="56">( (R707/G707)/I707)*60</f>
        <v>2.3593149248514504</v>
      </c>
      <c r="M707" s="35">
        <f>5.32*($T$2)</f>
        <v>10.64</v>
      </c>
      <c r="N707" s="35">
        <f>115.2*(5280/3600)</f>
        <v>168.95999999999998</v>
      </c>
      <c r="O707" s="35">
        <f t="shared" si="54"/>
        <v>0.41876574307304781</v>
      </c>
      <c r="P707" s="35">
        <f t="shared" si="52"/>
        <v>25.10081863979849</v>
      </c>
      <c r="Q707" s="35">
        <f>('Batt Capacity and Sys Weight'!$I$5) + (B707*$T$2)</f>
        <v>51.293752999999995</v>
      </c>
      <c r="R707" s="35">
        <f>'Batt Capacity and Sys Weight'!$H$5</f>
        <v>99.9</v>
      </c>
    </row>
    <row r="708" spans="1:18" x14ac:dyDescent="0.3">
      <c r="A708" s="35" t="s">
        <v>105</v>
      </c>
      <c r="B708" s="35">
        <v>9.86</v>
      </c>
      <c r="C708" s="35">
        <v>700</v>
      </c>
      <c r="D708" s="35" t="s">
        <v>67</v>
      </c>
      <c r="E708" s="36" t="str" cm="1">
        <f t="array" ref="E708">GetNumber(D708,1)</f>
        <v>10</v>
      </c>
      <c r="F708" s="36" t="str" cm="1">
        <f t="array" ref="F708">GetNumber(D708,2)</f>
        <v>6</v>
      </c>
      <c r="G708" s="35">
        <v>22.2</v>
      </c>
      <c r="H708" s="35">
        <v>13894</v>
      </c>
      <c r="I708" s="35">
        <f>44.69*($T$2)</f>
        <v>89.38</v>
      </c>
      <c r="J708" s="35">
        <f>992.1*($T$2)</f>
        <v>1984.2</v>
      </c>
      <c r="K708" s="35">
        <f t="shared" si="55"/>
        <v>3.0208648321741762</v>
      </c>
      <c r="L708" s="35">
        <f t="shared" si="56"/>
        <v>3.0208100246140077</v>
      </c>
      <c r="M708" s="35">
        <f>6.309375*($T$2)</f>
        <v>12.61875</v>
      </c>
      <c r="N708" s="35">
        <f>78.9*(5280/3600)</f>
        <v>115.72</v>
      </c>
      <c r="O708" s="35">
        <f t="shared" si="54"/>
        <v>0.6359615966132447</v>
      </c>
      <c r="P708" s="35">
        <f t="shared" si="52"/>
        <v>38.119538100997886</v>
      </c>
      <c r="Q708" s="35">
        <f>('Batt Capacity and Sys Weight'!$I$5) + (B708*$T$2)</f>
        <v>51.293752999999995</v>
      </c>
      <c r="R708" s="35">
        <f>'Batt Capacity and Sys Weight'!$H$5</f>
        <v>99.9</v>
      </c>
    </row>
    <row r="709" spans="1:18" x14ac:dyDescent="0.3">
      <c r="A709" s="35" t="s">
        <v>105</v>
      </c>
      <c r="B709" s="35">
        <v>9.86</v>
      </c>
      <c r="C709" s="35">
        <v>700</v>
      </c>
      <c r="D709" s="35" t="s">
        <v>68</v>
      </c>
      <c r="E709" s="36" t="str" cm="1">
        <f t="array" ref="E709">GetNumber(D709,1)</f>
        <v>10</v>
      </c>
      <c r="F709" s="36" t="str" cm="1">
        <f t="array" ref="F709">GetNumber(D709,2)</f>
        <v>7</v>
      </c>
      <c r="G709" s="35">
        <v>22.2</v>
      </c>
      <c r="H709" s="35">
        <v>13645</v>
      </c>
      <c r="I709" s="35">
        <f>53.94*($T$2)</f>
        <v>107.88</v>
      </c>
      <c r="J709" s="35">
        <f>1197.4*($T$2)</f>
        <v>2394.8000000000002</v>
      </c>
      <c r="K709" s="35">
        <f t="shared" si="55"/>
        <v>2.5029229998329714</v>
      </c>
      <c r="L709" s="35">
        <f t="shared" si="56"/>
        <v>2.5027808676307011</v>
      </c>
      <c r="M709" s="35">
        <f>6.83875*($T$2)</f>
        <v>13.6775</v>
      </c>
      <c r="N709" s="35">
        <f>90.4*(5280/3600)</f>
        <v>132.58666666666667</v>
      </c>
      <c r="O709" s="35">
        <f t="shared" si="54"/>
        <v>0.57113328879238345</v>
      </c>
      <c r="P709" s="35">
        <f t="shared" si="52"/>
        <v>34.233729330215468</v>
      </c>
      <c r="Q709" s="35">
        <f>('Batt Capacity and Sys Weight'!$I$5) + (B709*$T$2)</f>
        <v>51.293752999999995</v>
      </c>
      <c r="R709" s="35">
        <f>'Batt Capacity and Sys Weight'!$H$5</f>
        <v>99.9</v>
      </c>
    </row>
    <row r="710" spans="1:18" x14ac:dyDescent="0.3">
      <c r="A710" s="35" t="s">
        <v>105</v>
      </c>
      <c r="B710" s="35">
        <v>9.86</v>
      </c>
      <c r="C710" s="35">
        <v>700</v>
      </c>
      <c r="D710" s="35" t="s">
        <v>69</v>
      </c>
      <c r="E710" s="36" t="str" cm="1">
        <f t="array" ref="E710">GetNumber(D710,1)</f>
        <v>10</v>
      </c>
      <c r="F710" s="36" t="str" cm="1">
        <f t="array" ref="F710">GetNumber(D710,2)</f>
        <v>8</v>
      </c>
      <c r="G710" s="35">
        <v>22.2</v>
      </c>
      <c r="H710" s="35">
        <v>13375</v>
      </c>
      <c r="I710" s="35">
        <f>61.84*($T$2)</f>
        <v>123.68</v>
      </c>
      <c r="J710" s="35">
        <f>1372.8*($T$2)</f>
        <v>2745.6</v>
      </c>
      <c r="K710" s="35">
        <f t="shared" si="55"/>
        <v>2.1831293706293708</v>
      </c>
      <c r="L710" s="35">
        <f t="shared" si="56"/>
        <v>2.1830530401034927</v>
      </c>
      <c r="M710" s="35">
        <f>6.600625*($T$2)</f>
        <v>13.20125</v>
      </c>
      <c r="N710" s="35">
        <f>101.3*(5280/3600)</f>
        <v>148.57333333333332</v>
      </c>
      <c r="O710" s="35">
        <f t="shared" si="54"/>
        <v>0.48081475815850816</v>
      </c>
      <c r="P710" s="35">
        <f t="shared" si="52"/>
        <v>28.820036604020981</v>
      </c>
      <c r="Q710" s="35">
        <f>('Batt Capacity and Sys Weight'!$I$5) + (B710*$T$2)</f>
        <v>51.293752999999995</v>
      </c>
      <c r="R710" s="35">
        <f>'Batt Capacity and Sys Weight'!$H$5</f>
        <v>99.9</v>
      </c>
    </row>
    <row r="711" spans="1:18" x14ac:dyDescent="0.3">
      <c r="A711" s="35" t="s">
        <v>105</v>
      </c>
      <c r="B711" s="35">
        <v>9.86</v>
      </c>
      <c r="C711" s="35">
        <v>700</v>
      </c>
      <c r="D711" s="35" t="s">
        <v>70</v>
      </c>
      <c r="E711" s="36" t="str" cm="1">
        <f t="array" ref="E711">GetNumber(D711,1)</f>
        <v>11</v>
      </c>
      <c r="F711" s="36" cm="1">
        <f t="array" ref="F711">GetNumber(D711,2)+(GetNumber(D711,3)/10)</f>
        <v>5.5</v>
      </c>
      <c r="G711" s="35">
        <v>22.2</v>
      </c>
      <c r="H711" s="35">
        <v>13351</v>
      </c>
      <c r="I711" s="35">
        <f>62.81*($T$2)</f>
        <v>125.62</v>
      </c>
      <c r="J711" s="35">
        <f>1394.4*($T$2)</f>
        <v>2788.8</v>
      </c>
      <c r="K711" s="35">
        <f t="shared" si="55"/>
        <v>2.149311531841652</v>
      </c>
      <c r="L711" s="35">
        <f t="shared" si="56"/>
        <v>2.1493392771851614</v>
      </c>
      <c r="M711" s="35">
        <f>8.693125*($T$2)</f>
        <v>17.38625</v>
      </c>
      <c r="N711" s="35">
        <f>69.5*(5280/3600)</f>
        <v>101.93333333333332</v>
      </c>
      <c r="O711" s="35">
        <f t="shared" si="54"/>
        <v>0.62343122489959846</v>
      </c>
      <c r="P711" s="35">
        <f t="shared" si="52"/>
        <v>37.368467620481923</v>
      </c>
      <c r="Q711" s="35">
        <f>('Batt Capacity and Sys Weight'!$I$5) + (B711*$T$2)</f>
        <v>51.293752999999995</v>
      </c>
      <c r="R711" s="35">
        <f>'Batt Capacity and Sys Weight'!$H$5</f>
        <v>99.9</v>
      </c>
    </row>
    <row r="712" spans="1:18" x14ac:dyDescent="0.3">
      <c r="A712" s="35" t="s">
        <v>105</v>
      </c>
      <c r="B712" s="35">
        <v>9.86</v>
      </c>
      <c r="C712" s="35">
        <v>700</v>
      </c>
      <c r="D712" s="35" t="s">
        <v>73</v>
      </c>
      <c r="E712" s="36" t="str" cm="1">
        <f t="array" ref="E712">GetNumber(D712,1)</f>
        <v>10</v>
      </c>
      <c r="F712" s="36" t="str" cm="1">
        <f t="array" ref="F712">GetNumber(D712,2)</f>
        <v>6</v>
      </c>
      <c r="G712" s="35">
        <v>22.2</v>
      </c>
      <c r="H712" s="35">
        <v>13911</v>
      </c>
      <c r="I712" s="35">
        <f>44.69*($T$2)</f>
        <v>89.38</v>
      </c>
      <c r="J712" s="35">
        <f>992.1*($T$2)</f>
        <v>1984.2</v>
      </c>
      <c r="K712" s="35">
        <f t="shared" si="55"/>
        <v>3.0208648321741762</v>
      </c>
      <c r="L712" s="35">
        <f t="shared" si="56"/>
        <v>3.0208100246140077</v>
      </c>
      <c r="M712" s="35">
        <f>5.43875*($T$2)</f>
        <v>10.8775</v>
      </c>
      <c r="N712" s="35">
        <f>79*(5280/3600)</f>
        <v>115.86666666666666</v>
      </c>
      <c r="O712" s="35">
        <f t="shared" si="54"/>
        <v>0.54820582602560219</v>
      </c>
      <c r="P712" s="35">
        <f t="shared" si="52"/>
        <v>32.8594572119746</v>
      </c>
      <c r="Q712" s="35">
        <f>('Batt Capacity and Sys Weight'!$I$5) + (B712*$T$2)</f>
        <v>51.293752999999995</v>
      </c>
      <c r="R712" s="35">
        <f>'Batt Capacity and Sys Weight'!$H$5</f>
        <v>99.9</v>
      </c>
    </row>
    <row r="713" spans="1:18" x14ac:dyDescent="0.3">
      <c r="A713" s="35" t="s">
        <v>105</v>
      </c>
      <c r="B713" s="35">
        <v>9.86</v>
      </c>
      <c r="C713" s="35">
        <v>700</v>
      </c>
      <c r="D713" s="35" t="s">
        <v>74</v>
      </c>
      <c r="E713" s="36" t="str" cm="1">
        <f t="array" ref="E713">GetNumber(D713,1)</f>
        <v>10</v>
      </c>
      <c r="F713" s="36" t="str" cm="1">
        <f t="array" ref="F713">GetNumber(D713,2)</f>
        <v>7</v>
      </c>
      <c r="G713" s="35">
        <v>22.2</v>
      </c>
      <c r="H713" s="35">
        <v>13838</v>
      </c>
      <c r="I713" s="35">
        <f>48.8*($T$2)</f>
        <v>97.6</v>
      </c>
      <c r="J713" s="35">
        <f>1083.3*($T$2)</f>
        <v>2166.6</v>
      </c>
      <c r="K713" s="35">
        <f t="shared" si="55"/>
        <v>2.7665466629742457</v>
      </c>
      <c r="L713" s="35">
        <f t="shared" si="56"/>
        <v>2.7663934426229511</v>
      </c>
      <c r="M713" s="35">
        <f>5.333125*($T$2)</f>
        <v>10.66625</v>
      </c>
      <c r="N713" s="35">
        <f>91.7*(5280/3600)</f>
        <v>134.49333333333334</v>
      </c>
      <c r="O713" s="35">
        <f t="shared" si="54"/>
        <v>0.49230360934182588</v>
      </c>
      <c r="P713" s="35">
        <f t="shared" si="52"/>
        <v>29.508678343949047</v>
      </c>
      <c r="Q713" s="35">
        <f>('Batt Capacity and Sys Weight'!$I$5) + (B713*$T$2)</f>
        <v>51.293752999999995</v>
      </c>
      <c r="R713" s="35">
        <f>'Batt Capacity and Sys Weight'!$H$5</f>
        <v>99.9</v>
      </c>
    </row>
    <row r="714" spans="1:18" x14ac:dyDescent="0.3">
      <c r="A714" s="35" t="s">
        <v>105</v>
      </c>
      <c r="B714" s="35">
        <v>9.86</v>
      </c>
      <c r="C714" s="35">
        <v>700</v>
      </c>
      <c r="D714" s="35" t="s">
        <v>75</v>
      </c>
      <c r="E714" s="36" t="str" cm="1">
        <f t="array" ref="E714">GetNumber(D714,1)</f>
        <v>10</v>
      </c>
      <c r="F714" s="36" t="str" cm="1">
        <f t="array" ref="F714">GetNumber(D714,2)</f>
        <v>8</v>
      </c>
      <c r="G714" s="35">
        <v>22.2</v>
      </c>
      <c r="H714" s="35">
        <v>13619</v>
      </c>
      <c r="I714" s="35">
        <f>55.11*($T$2)</f>
        <v>110.22</v>
      </c>
      <c r="J714" s="35">
        <f>1223.3*($T$2)</f>
        <v>2446.6</v>
      </c>
      <c r="K714" s="35">
        <f t="shared" si="55"/>
        <v>2.4499305158178699</v>
      </c>
      <c r="L714" s="35">
        <f t="shared" si="56"/>
        <v>2.4496461622210126</v>
      </c>
      <c r="M714" s="35">
        <f>5.974375*($T$2)</f>
        <v>11.94875</v>
      </c>
      <c r="N714" s="35">
        <f>103.2*(5280/3600)</f>
        <v>151.35999999999999</v>
      </c>
      <c r="O714" s="35">
        <f t="shared" si="54"/>
        <v>0.48838183601733026</v>
      </c>
      <c r="P714" s="35">
        <f t="shared" si="52"/>
        <v>29.273607250878776</v>
      </c>
      <c r="Q714" s="35">
        <f>('Batt Capacity and Sys Weight'!$I$5) + (B714*$T$2)</f>
        <v>51.293752999999995</v>
      </c>
      <c r="R714" s="35">
        <f>'Batt Capacity and Sys Weight'!$H$5</f>
        <v>99.9</v>
      </c>
    </row>
    <row r="715" spans="1:18" x14ac:dyDescent="0.3">
      <c r="A715" s="35" t="s">
        <v>105</v>
      </c>
      <c r="B715" s="35">
        <v>9.86</v>
      </c>
      <c r="C715" s="35">
        <v>700</v>
      </c>
      <c r="D715" s="35" t="s">
        <v>76</v>
      </c>
      <c r="E715" s="36" t="str" cm="1">
        <f t="array" ref="E715">GetNumber(D715,1)</f>
        <v>11</v>
      </c>
      <c r="F715" s="36" t="str" cm="1">
        <f t="array" ref="F715">GetNumber(D715,2)</f>
        <v>5</v>
      </c>
      <c r="G715" s="35">
        <v>22.2</v>
      </c>
      <c r="H715" s="35">
        <v>13921</v>
      </c>
      <c r="I715" s="35">
        <f>46.41*($T$2)</f>
        <v>92.82</v>
      </c>
      <c r="J715" s="35">
        <f>1030.3*($T$2)</f>
        <v>2060.6</v>
      </c>
      <c r="K715" s="35">
        <f t="shared" si="55"/>
        <v>2.9088614966514608</v>
      </c>
      <c r="L715" s="35">
        <f t="shared" si="56"/>
        <v>2.9088558500323205</v>
      </c>
      <c r="M715" s="35">
        <f>7.096875*($T$2)</f>
        <v>14.19375</v>
      </c>
      <c r="N715" s="35">
        <f>65.9*(5280/3600)</f>
        <v>96.653333333333336</v>
      </c>
      <c r="O715" s="35">
        <f t="shared" si="54"/>
        <v>0.68881636416577696</v>
      </c>
      <c r="P715" s="35">
        <f t="shared" si="52"/>
        <v>41.287652868096671</v>
      </c>
      <c r="Q715" s="35">
        <f>('Batt Capacity and Sys Weight'!$I$5) + (B715*$T$2)</f>
        <v>51.293752999999995</v>
      </c>
      <c r="R715" s="35">
        <f>'Batt Capacity and Sys Weight'!$H$5</f>
        <v>99.9</v>
      </c>
    </row>
    <row r="716" spans="1:18" x14ac:dyDescent="0.3">
      <c r="A716" s="35" t="s">
        <v>105</v>
      </c>
      <c r="B716" s="35">
        <v>9.86</v>
      </c>
      <c r="C716" s="35">
        <v>700</v>
      </c>
      <c r="D716" s="35" t="s">
        <v>77</v>
      </c>
      <c r="E716" s="36" t="str" cm="1">
        <f t="array" ref="E716">GetNumber(D716,1)</f>
        <v>11</v>
      </c>
      <c r="F716" s="36" t="str" cm="1">
        <f t="array" ref="F716">GetNumber(D716,2)</f>
        <v>6</v>
      </c>
      <c r="G716" s="35">
        <v>22.2</v>
      </c>
      <c r="H716" s="35">
        <v>13675</v>
      </c>
      <c r="I716" s="35">
        <f>53.67*($T$2)</f>
        <v>107.34</v>
      </c>
      <c r="J716" s="35">
        <f>1191.4*($T$2)</f>
        <v>2382.8000000000002</v>
      </c>
      <c r="K716" s="35">
        <f t="shared" si="55"/>
        <v>2.5155279503105588</v>
      </c>
      <c r="L716" s="35">
        <f t="shared" si="56"/>
        <v>2.5153717160424818</v>
      </c>
      <c r="M716" s="35">
        <f>8.08875*($T$2)</f>
        <v>16.177499999999998</v>
      </c>
      <c r="N716" s="35">
        <f>77.7*(5280/3600)</f>
        <v>113.96</v>
      </c>
      <c r="O716" s="35">
        <f t="shared" si="54"/>
        <v>0.6789281517542386</v>
      </c>
      <c r="P716" s="35">
        <f t="shared" si="52"/>
        <v>40.694953416149062</v>
      </c>
      <c r="Q716" s="35">
        <f>('Batt Capacity and Sys Weight'!$I$5) + (B716*$T$2)</f>
        <v>51.293752999999995</v>
      </c>
      <c r="R716" s="35">
        <f>'Batt Capacity and Sys Weight'!$H$5</f>
        <v>99.9</v>
      </c>
    </row>
    <row r="717" spans="1:18" x14ac:dyDescent="0.3">
      <c r="A717" s="35" t="s">
        <v>105</v>
      </c>
      <c r="B717" s="35">
        <v>9.86</v>
      </c>
      <c r="C717" s="35">
        <v>700</v>
      </c>
      <c r="D717" s="35" t="s">
        <v>78</v>
      </c>
      <c r="E717" s="36" t="str" cm="1">
        <f t="array" ref="E717">GetNumber(D717,1)</f>
        <v>11</v>
      </c>
      <c r="F717" s="36" t="str" cm="1">
        <f t="array" ref="F717">GetNumber(D717,2)</f>
        <v>7</v>
      </c>
      <c r="G717" s="35">
        <v>22.2</v>
      </c>
      <c r="H717" s="35">
        <v>13605</v>
      </c>
      <c r="I717" s="35">
        <f>55.54*($T$2)</f>
        <v>111.08</v>
      </c>
      <c r="J717" s="35">
        <f>1233.1*($T$2)</f>
        <v>2466.1999999999998</v>
      </c>
      <c r="K717" s="35">
        <f t="shared" si="55"/>
        <v>2.4304598167220828</v>
      </c>
      <c r="L717" s="35">
        <f t="shared" si="56"/>
        <v>2.4306805905653586</v>
      </c>
      <c r="M717" s="35">
        <f>7.7975*($T$2)</f>
        <v>15.595000000000001</v>
      </c>
      <c r="N717" s="35">
        <f>90.2*(5280/3600)</f>
        <v>132.29333333333332</v>
      </c>
      <c r="O717" s="35">
        <f t="shared" si="54"/>
        <v>0.63234936339307446</v>
      </c>
      <c r="P717" s="35">
        <f t="shared" si="52"/>
        <v>37.903020841780879</v>
      </c>
      <c r="Q717" s="35">
        <f>('Batt Capacity and Sys Weight'!$I$5) + (B717*$T$2)</f>
        <v>51.293752999999995</v>
      </c>
      <c r="R717" s="35">
        <f>'Batt Capacity and Sys Weight'!$H$5</f>
        <v>99.9</v>
      </c>
    </row>
    <row r="718" spans="1:18" x14ac:dyDescent="0.3">
      <c r="A718" s="35" t="s">
        <v>105</v>
      </c>
      <c r="B718" s="35">
        <v>9.86</v>
      </c>
      <c r="C718" s="35">
        <v>700</v>
      </c>
      <c r="D718" s="35" t="s">
        <v>101</v>
      </c>
      <c r="E718" s="36" t="str" cm="1">
        <f t="array" ref="E718">GetNumber(D718,1)</f>
        <v>9</v>
      </c>
      <c r="F718" s="36" t="str" cm="1">
        <f t="array" ref="F718">GetNumber(D718,2)</f>
        <v>7</v>
      </c>
      <c r="G718" s="35">
        <v>22.2</v>
      </c>
      <c r="H718" s="35">
        <v>14039</v>
      </c>
      <c r="I718" s="35">
        <f>41.14*($T$2)</f>
        <v>82.28</v>
      </c>
      <c r="J718" s="35">
        <f>913.3*($T$2)</f>
        <v>1826.6</v>
      </c>
      <c r="K718" s="35">
        <f t="shared" si="55"/>
        <v>3.2815066243293556</v>
      </c>
      <c r="L718" s="35">
        <f t="shared" si="56"/>
        <v>3.2814778804083615</v>
      </c>
      <c r="M718" s="35">
        <f>6.528125*($T$2)</f>
        <v>13.05625</v>
      </c>
      <c r="N718" s="35">
        <f>93.1*(5280/3600)</f>
        <v>136.54666666666665</v>
      </c>
      <c r="O718" s="35">
        <f t="shared" si="54"/>
        <v>0.71478429869703286</v>
      </c>
      <c r="P718" s="35">
        <f t="shared" si="52"/>
        <v>42.844170863900153</v>
      </c>
      <c r="Q718" s="35">
        <f>('Batt Capacity and Sys Weight'!$I$5) + (B718*$T$2)</f>
        <v>51.293752999999995</v>
      </c>
      <c r="R718" s="35">
        <f>'Batt Capacity and Sys Weight'!$H$5</f>
        <v>99.9</v>
      </c>
    </row>
    <row r="719" spans="1:18" x14ac:dyDescent="0.3">
      <c r="A719" s="35" t="s">
        <v>105</v>
      </c>
      <c r="B719" s="35">
        <v>9.86</v>
      </c>
      <c r="C719" s="35">
        <v>700</v>
      </c>
      <c r="D719" s="35" t="s">
        <v>80</v>
      </c>
      <c r="E719" s="36" t="str" cm="1">
        <f t="array" ref="E719">GetNumber(D719,1)</f>
        <v>10</v>
      </c>
      <c r="F719" s="36" t="str" cm="1">
        <f t="array" ref="F719">GetNumber(D719,2)</f>
        <v>7</v>
      </c>
      <c r="G719" s="35">
        <v>22.2</v>
      </c>
      <c r="H719" s="35">
        <v>13597</v>
      </c>
      <c r="I719" s="35">
        <f>55.77*($T$2)</f>
        <v>111.54</v>
      </c>
      <c r="J719" s="35">
        <f>1238*($T$2)</f>
        <v>2476</v>
      </c>
      <c r="K719" s="35">
        <f t="shared" si="55"/>
        <v>2.4208400646203558</v>
      </c>
      <c r="L719" s="35">
        <f t="shared" si="56"/>
        <v>2.4206562668101128</v>
      </c>
      <c r="M719" s="35">
        <f>8.64875*($T$2)</f>
        <v>17.297499999999999</v>
      </c>
      <c r="N719" s="35">
        <f>90.1*(5280/3600)</f>
        <v>132.14666666666665</v>
      </c>
      <c r="O719" s="35">
        <f t="shared" si="54"/>
        <v>0.69860662358642966</v>
      </c>
      <c r="P719" s="35">
        <f t="shared" si="52"/>
        <v>41.874481017770606</v>
      </c>
      <c r="Q719" s="35">
        <f>('Batt Capacity and Sys Weight'!$I$5) + (B719*$T$2)</f>
        <v>51.293752999999995</v>
      </c>
      <c r="R719" s="35">
        <f>'Batt Capacity and Sys Weight'!$H$5</f>
        <v>99.9</v>
      </c>
    </row>
    <row r="720" spans="1:18" x14ac:dyDescent="0.3">
      <c r="A720" s="35" t="s">
        <v>106</v>
      </c>
      <c r="B720" s="35">
        <v>9.86</v>
      </c>
      <c r="C720" s="35">
        <v>830</v>
      </c>
      <c r="D720" s="35" t="s">
        <v>103</v>
      </c>
      <c r="E720" s="36" t="str" cm="1">
        <f t="array" ref="E720">GetNumber(D720,1)</f>
        <v>9</v>
      </c>
      <c r="F720" s="36" t="str" cm="1">
        <f t="array" ref="F720">GetNumber(D720,2)</f>
        <v>9</v>
      </c>
      <c r="G720" s="35">
        <v>14.8</v>
      </c>
      <c r="H720" s="35">
        <v>11516</v>
      </c>
      <c r="I720" s="35">
        <f>50*($T$2)</f>
        <v>100</v>
      </c>
      <c r="J720" s="35">
        <f>739.9*($T$2)</f>
        <v>1479.8</v>
      </c>
      <c r="K720" s="35">
        <f t="shared" si="55"/>
        <v>3.9605352074604681</v>
      </c>
      <c r="L720" s="35">
        <f t="shared" si="56"/>
        <v>3.96</v>
      </c>
      <c r="M720" s="35">
        <f>3.8075*($T$2)</f>
        <v>7.6150000000000002</v>
      </c>
      <c r="N720" s="35">
        <f>98.1*(5280/3600)</f>
        <v>143.88</v>
      </c>
      <c r="O720" s="35">
        <f t="shared" si="54"/>
        <v>0.51459656710366275</v>
      </c>
      <c r="P720" s="35">
        <f t="shared" si="52"/>
        <v>30.159475604811465</v>
      </c>
      <c r="Q720" s="35">
        <f>('Batt Capacity and Sys Weight'!$I$3) + (B720*$T$2)</f>
        <v>46.108474999999999</v>
      </c>
      <c r="R720" s="35">
        <f>'Batt Capacity and Sys Weight'!$H$3</f>
        <v>97.68</v>
      </c>
    </row>
    <row r="721" spans="1:18" x14ac:dyDescent="0.3">
      <c r="A721" s="35" t="s">
        <v>106</v>
      </c>
      <c r="B721" s="35">
        <v>9.86</v>
      </c>
      <c r="C721" s="35">
        <v>830</v>
      </c>
      <c r="D721" s="35" t="s">
        <v>69</v>
      </c>
      <c r="E721" s="36" t="str" cm="1">
        <f t="array" ref="E721">GetNumber(D721,1)</f>
        <v>10</v>
      </c>
      <c r="F721" s="36" t="str" cm="1">
        <f t="array" ref="F721">GetNumber(D721,2)</f>
        <v>8</v>
      </c>
      <c r="G721" s="35">
        <v>14.8</v>
      </c>
      <c r="H721" s="35">
        <v>11430</v>
      </c>
      <c r="I721" s="35">
        <f>52.61*($T$2)</f>
        <v>105.22</v>
      </c>
      <c r="J721" s="35">
        <f>778.6*($T$2)</f>
        <v>1557.2</v>
      </c>
      <c r="K721" s="35">
        <f t="shared" si="55"/>
        <v>3.7636783971230416</v>
      </c>
      <c r="L721" s="35">
        <f t="shared" si="56"/>
        <v>3.7635430526515874</v>
      </c>
      <c r="M721" s="35">
        <f>4.891875*($T$2)</f>
        <v>9.7837499999999995</v>
      </c>
      <c r="N721" s="35">
        <f>86.6*(5280/3600)</f>
        <v>127.01333333333332</v>
      </c>
      <c r="O721" s="35">
        <f t="shared" si="54"/>
        <v>0.62829116362702275</v>
      </c>
      <c r="P721" s="35">
        <f t="shared" ref="P721:P784" si="57">M721*K721</f>
        <v>36.822888517852554</v>
      </c>
      <c r="Q721" s="35">
        <f>('Batt Capacity and Sys Weight'!$I$3) + (B721*$T$2)</f>
        <v>46.108474999999999</v>
      </c>
      <c r="R721" s="35">
        <f>'Batt Capacity and Sys Weight'!$H$3</f>
        <v>97.68</v>
      </c>
    </row>
    <row r="722" spans="1:18" x14ac:dyDescent="0.3">
      <c r="A722" s="35" t="s">
        <v>106</v>
      </c>
      <c r="B722" s="35">
        <v>9.86</v>
      </c>
      <c r="C722" s="35">
        <v>830</v>
      </c>
      <c r="D722" s="35" t="s">
        <v>55</v>
      </c>
      <c r="E722" s="36" t="str" cm="1">
        <f t="array" ref="E722">GetNumber(D722,1)</f>
        <v>10</v>
      </c>
      <c r="F722" s="36" t="str" cm="1">
        <f t="array" ref="F722">GetNumber(D722,2)</f>
        <v>10</v>
      </c>
      <c r="G722" s="35">
        <v>14.8</v>
      </c>
      <c r="H722" s="35">
        <v>11040</v>
      </c>
      <c r="I722" s="35">
        <f>67.39*($T$2)</f>
        <v>134.78</v>
      </c>
      <c r="J722" s="35">
        <f>997.4*($T$2)</f>
        <v>1994.8</v>
      </c>
      <c r="K722" s="35">
        <f t="shared" si="55"/>
        <v>2.9380389011429719</v>
      </c>
      <c r="L722" s="35">
        <f t="shared" si="56"/>
        <v>2.9381213829945096</v>
      </c>
      <c r="M722" s="35">
        <f>4.461875*($T$2)</f>
        <v>8.9237500000000001</v>
      </c>
      <c r="N722" s="35">
        <f>104.5*(5280/3600)</f>
        <v>153.26666666666665</v>
      </c>
      <c r="O722" s="35">
        <f t="shared" si="54"/>
        <v>0.44735061159013434</v>
      </c>
      <c r="P722" s="35">
        <f t="shared" si="57"/>
        <v>26.218324644074595</v>
      </c>
      <c r="Q722" s="35">
        <f>('Batt Capacity and Sys Weight'!$I$3) + (B722*$T$2)</f>
        <v>46.108474999999999</v>
      </c>
      <c r="R722" s="35">
        <f>'Batt Capacity and Sys Weight'!$H$3</f>
        <v>97.68</v>
      </c>
    </row>
    <row r="723" spans="1:18" x14ac:dyDescent="0.3">
      <c r="A723" s="35" t="s">
        <v>106</v>
      </c>
      <c r="B723" s="35">
        <v>9.86</v>
      </c>
      <c r="C723" s="35">
        <v>830</v>
      </c>
      <c r="D723" s="35" t="s">
        <v>70</v>
      </c>
      <c r="E723" s="36" t="str" cm="1">
        <f t="array" ref="E723">GetNumber(D723,1)</f>
        <v>11</v>
      </c>
      <c r="F723" s="36" cm="1">
        <f t="array" ref="F723">GetNumber(D723,2)+(GetNumber(D723,3)/10)</f>
        <v>5.5</v>
      </c>
      <c r="G723" s="35">
        <v>14.8</v>
      </c>
      <c r="H723" s="35">
        <v>11488</v>
      </c>
      <c r="I723" s="35">
        <f>51.15*($T$2)</f>
        <v>102.3</v>
      </c>
      <c r="J723" s="35">
        <f>757*($T$2)</f>
        <v>1514</v>
      </c>
      <c r="K723" s="35">
        <f t="shared" si="55"/>
        <v>3.8710700132100397</v>
      </c>
      <c r="L723" s="35">
        <f t="shared" si="56"/>
        <v>3.8709677419354844</v>
      </c>
      <c r="M723" s="35">
        <f>6.435*($T$2)</f>
        <v>12.87</v>
      </c>
      <c r="N723" s="35">
        <f>59.8*(5280/3600)</f>
        <v>87.706666666666649</v>
      </c>
      <c r="O723" s="35">
        <f t="shared" si="54"/>
        <v>0.85006605019815051</v>
      </c>
      <c r="P723" s="35">
        <f t="shared" si="57"/>
        <v>49.820671070013205</v>
      </c>
      <c r="Q723" s="35">
        <f>('Batt Capacity and Sys Weight'!$I$3) + (B723*$T$2)</f>
        <v>46.108474999999999</v>
      </c>
      <c r="R723" s="35">
        <f>'Batt Capacity and Sys Weight'!$H$3</f>
        <v>97.68</v>
      </c>
    </row>
    <row r="724" spans="1:18" x14ac:dyDescent="0.3">
      <c r="A724" s="35" t="s">
        <v>106</v>
      </c>
      <c r="B724" s="35">
        <v>9.86</v>
      </c>
      <c r="C724" s="35">
        <v>830</v>
      </c>
      <c r="D724" s="35" t="s">
        <v>71</v>
      </c>
      <c r="E724" s="36" t="str" cm="1">
        <f t="array" ref="E724">GetNumber(D724,1)</f>
        <v>11</v>
      </c>
      <c r="F724" s="36" t="str" cm="1">
        <f t="array" ref="F724">GetNumber(D724,2)</f>
        <v>7</v>
      </c>
      <c r="G724" s="35">
        <v>14.8</v>
      </c>
      <c r="H724" s="35">
        <v>11164</v>
      </c>
      <c r="I724" s="35">
        <f>60.73*($T$2)</f>
        <v>121.46</v>
      </c>
      <c r="J724" s="35">
        <f>898.9*($T$2)</f>
        <v>1797.8</v>
      </c>
      <c r="K724" s="35">
        <f t="shared" si="55"/>
        <v>3.2599844254088337</v>
      </c>
      <c r="L724" s="35">
        <f t="shared" si="56"/>
        <v>3.2603326197925249</v>
      </c>
      <c r="M724" s="35">
        <f>6.721875*($T$2)</f>
        <v>13.44375</v>
      </c>
      <c r="N724" s="35">
        <f>74*(5280/3600)</f>
        <v>108.53333333333333</v>
      </c>
      <c r="O724" s="35">
        <f t="shared" si="54"/>
        <v>0.74778896428968744</v>
      </c>
      <c r="P724" s="35">
        <f t="shared" si="57"/>
        <v>43.826415619090007</v>
      </c>
      <c r="Q724" s="35">
        <f>('Batt Capacity and Sys Weight'!$I$3) + (B724*$T$2)</f>
        <v>46.108474999999999</v>
      </c>
      <c r="R724" s="35">
        <f>'Batt Capacity and Sys Weight'!$H$3</f>
        <v>97.68</v>
      </c>
    </row>
    <row r="725" spans="1:18" x14ac:dyDescent="0.3">
      <c r="A725" s="35" t="s">
        <v>106</v>
      </c>
      <c r="B725" s="35">
        <v>9.86</v>
      </c>
      <c r="C725" s="35">
        <v>830</v>
      </c>
      <c r="D725" s="35" t="s">
        <v>72</v>
      </c>
      <c r="E725" s="36" t="str" cm="1">
        <f t="array" ref="E725">GetNumber(D725,1)</f>
        <v>11</v>
      </c>
      <c r="F725" s="36" t="str" cm="1">
        <f t="array" ref="F725">GetNumber(D725,2)</f>
        <v>8</v>
      </c>
      <c r="G725" s="35">
        <v>14.8</v>
      </c>
      <c r="H725" s="35">
        <v>11029</v>
      </c>
      <c r="I725" s="35">
        <f>67.89*($T$2)</f>
        <v>135.78</v>
      </c>
      <c r="J725" s="35">
        <f>1004.8*($T$2)</f>
        <v>2009.6</v>
      </c>
      <c r="K725" s="35">
        <f t="shared" si="55"/>
        <v>2.9164012738853504</v>
      </c>
      <c r="L725" s="35">
        <f t="shared" si="56"/>
        <v>2.9164825452938583</v>
      </c>
      <c r="M725" s="35">
        <f>6.375625*($T$2)</f>
        <v>12.751250000000001</v>
      </c>
      <c r="N725" s="35">
        <f>83.6*(5280/3600)</f>
        <v>122.61333333333332</v>
      </c>
      <c r="O725" s="35">
        <f t="shared" si="54"/>
        <v>0.63451681926751602</v>
      </c>
      <c r="P725" s="35">
        <f t="shared" si="57"/>
        <v>37.187761743630574</v>
      </c>
      <c r="Q725" s="35">
        <f>('Batt Capacity and Sys Weight'!$I$3) + (B725*$T$2)</f>
        <v>46.108474999999999</v>
      </c>
      <c r="R725" s="35">
        <f>'Batt Capacity and Sys Weight'!$H$3</f>
        <v>97.68</v>
      </c>
    </row>
    <row r="726" spans="1:18" x14ac:dyDescent="0.3">
      <c r="A726" s="35" t="s">
        <v>106</v>
      </c>
      <c r="B726" s="35">
        <v>9.86</v>
      </c>
      <c r="C726" s="35">
        <v>830</v>
      </c>
      <c r="D726" s="35" t="s">
        <v>56</v>
      </c>
      <c r="E726" s="36" t="str" cm="1">
        <f t="array" ref="E726">GetNumber(D726,1)</f>
        <v>11</v>
      </c>
      <c r="F726" s="36" cm="1">
        <f t="array" ref="F726">GetNumber(D726,2)+(GetNumber(D726,3)/10)</f>
        <v>8.5</v>
      </c>
      <c r="G726" s="35">
        <v>14.8</v>
      </c>
      <c r="H726" s="35">
        <v>10868</v>
      </c>
      <c r="I726" s="35">
        <f>72.98*($T$2)</f>
        <v>145.96</v>
      </c>
      <c r="J726" s="35">
        <f>1080.2*($T$2)</f>
        <v>2160.4</v>
      </c>
      <c r="K726" s="35">
        <f t="shared" si="55"/>
        <v>2.7128309572301426</v>
      </c>
      <c r="L726" s="35">
        <f t="shared" si="56"/>
        <v>2.7130720745409702</v>
      </c>
      <c r="M726" s="35">
        <f>6.4575*($T$2)</f>
        <v>12.914999999999999</v>
      </c>
      <c r="N726" s="35">
        <f>87.5*(5280/3600)</f>
        <v>128.33333333333331</v>
      </c>
      <c r="O726" s="35">
        <f t="shared" si="54"/>
        <v>0.59780596185891499</v>
      </c>
      <c r="P726" s="35">
        <f t="shared" si="57"/>
        <v>35.036211812627286</v>
      </c>
      <c r="Q726" s="35">
        <f>('Batt Capacity and Sys Weight'!$I$3) + (B726*$T$2)</f>
        <v>46.108474999999999</v>
      </c>
      <c r="R726" s="35">
        <f>'Batt Capacity and Sys Weight'!$H$3</f>
        <v>97.68</v>
      </c>
    </row>
    <row r="727" spans="1:18" x14ac:dyDescent="0.3">
      <c r="A727" s="35" t="s">
        <v>106</v>
      </c>
      <c r="B727" s="35">
        <v>9.86</v>
      </c>
      <c r="C727" s="35">
        <v>830</v>
      </c>
      <c r="D727" s="35" t="s">
        <v>58</v>
      </c>
      <c r="E727" s="36" t="str" cm="1">
        <f t="array" ref="E727">GetNumber(D727,1)</f>
        <v>12</v>
      </c>
      <c r="F727" s="36" t="str" cm="1">
        <f t="array" ref="F727">GetNumber(D727,2)</f>
        <v>6</v>
      </c>
      <c r="G727" s="35">
        <v>14.8</v>
      </c>
      <c r="H727" s="35">
        <v>10972</v>
      </c>
      <c r="I727" s="35">
        <f>69.59*($T$2)</f>
        <v>139.18</v>
      </c>
      <c r="J727" s="35">
        <f>1029.9*($T$2)</f>
        <v>2059.8000000000002</v>
      </c>
      <c r="K727" s="35">
        <f t="shared" si="55"/>
        <v>2.8453247888144477</v>
      </c>
      <c r="L727" s="35">
        <f t="shared" si="56"/>
        <v>2.8452363845380084</v>
      </c>
      <c r="M727" s="35">
        <f>8.049375*($T$2)</f>
        <v>16.098749999999999</v>
      </c>
      <c r="N727" s="35">
        <f>62.3*(5280/3600)</f>
        <v>91.373333333333321</v>
      </c>
      <c r="O727" s="35">
        <f t="shared" si="54"/>
        <v>0.78156859889309627</v>
      </c>
      <c r="P727" s="35">
        <f t="shared" si="57"/>
        <v>45.806172443926584</v>
      </c>
      <c r="Q727" s="35">
        <f>('Batt Capacity and Sys Weight'!$I$3) + (B727*$T$2)</f>
        <v>46.108474999999999</v>
      </c>
      <c r="R727" s="35">
        <f>'Batt Capacity and Sys Weight'!$H$3</f>
        <v>97.68</v>
      </c>
    </row>
    <row r="728" spans="1:18" x14ac:dyDescent="0.3">
      <c r="A728" s="35" t="s">
        <v>106</v>
      </c>
      <c r="B728" s="35">
        <v>9.86</v>
      </c>
      <c r="C728" s="35">
        <v>830</v>
      </c>
      <c r="D728" s="35" t="s">
        <v>98</v>
      </c>
      <c r="E728" s="36" t="str" cm="1">
        <f t="array" ref="E728">GetNumber(D728,1)</f>
        <v>13</v>
      </c>
      <c r="F728" s="36" t="str" cm="1">
        <f t="array" ref="F728">GetNumber(D728,2)</f>
        <v>4</v>
      </c>
      <c r="G728" s="35">
        <v>14.8</v>
      </c>
      <c r="H728" s="35">
        <v>11283</v>
      </c>
      <c r="I728" s="35">
        <f>57.19*($T$2)</f>
        <v>114.38</v>
      </c>
      <c r="J728" s="35">
        <f>846.4*($T$2)</f>
        <v>1692.8</v>
      </c>
      <c r="K728" s="35">
        <f t="shared" si="55"/>
        <v>3.4621928166351608</v>
      </c>
      <c r="L728" s="35">
        <f t="shared" si="56"/>
        <v>3.4621437314215777</v>
      </c>
      <c r="M728" s="35">
        <f>8.04*($T$2)</f>
        <v>16.079999999999998</v>
      </c>
      <c r="N728" s="35">
        <f>42.7*(5280/3600)</f>
        <v>62.626666666666665</v>
      </c>
      <c r="O728" s="35">
        <f t="shared" si="54"/>
        <v>0.94990548204158776</v>
      </c>
      <c r="P728" s="35">
        <f t="shared" si="57"/>
        <v>55.672060491493376</v>
      </c>
      <c r="Q728" s="35">
        <f>('Batt Capacity and Sys Weight'!$I$3) + (B728*$T$2)</f>
        <v>46.108474999999999</v>
      </c>
      <c r="R728" s="35">
        <f>'Batt Capacity and Sys Weight'!$H$3</f>
        <v>97.68</v>
      </c>
    </row>
    <row r="729" spans="1:18" x14ac:dyDescent="0.3">
      <c r="A729" s="35" t="s">
        <v>106</v>
      </c>
      <c r="B729" s="35">
        <v>9.86</v>
      </c>
      <c r="C729" s="35">
        <v>830</v>
      </c>
      <c r="D729" s="35" t="s">
        <v>59</v>
      </c>
      <c r="E729" s="36" t="str" cm="1">
        <f t="array" ref="E729">GetNumber(D729,1)</f>
        <v>13</v>
      </c>
      <c r="F729" s="36" cm="1">
        <f t="array" ref="F729">GetNumber(D729,2)+(GetNumber(D729,3)/10)</f>
        <v>5.5</v>
      </c>
      <c r="G729" s="35">
        <v>14.8</v>
      </c>
      <c r="H729" s="35">
        <v>10920</v>
      </c>
      <c r="I729" s="35">
        <f>71.27*($T$2)</f>
        <v>142.54</v>
      </c>
      <c r="J729" s="35">
        <f>1054.8*($T$2)</f>
        <v>2109.6</v>
      </c>
      <c r="K729" s="35">
        <f t="shared" si="55"/>
        <v>2.7781569965870312</v>
      </c>
      <c r="L729" s="35">
        <f t="shared" si="56"/>
        <v>2.778167531920865</v>
      </c>
      <c r="M729" s="35">
        <f>9.184375*($T$2)</f>
        <v>18.368749999999999</v>
      </c>
      <c r="N729" s="35">
        <f>56.9*(5280/3600)</f>
        <v>83.453333333333319</v>
      </c>
      <c r="O729" s="35">
        <f t="shared" si="54"/>
        <v>0.87072193780811524</v>
      </c>
      <c r="P729" s="35">
        <f t="shared" si="57"/>
        <v>51.031271331058022</v>
      </c>
      <c r="Q729" s="35">
        <f>('Batt Capacity and Sys Weight'!$I$3) + (B729*$T$2)</f>
        <v>46.108474999999999</v>
      </c>
      <c r="R729" s="35">
        <f>'Batt Capacity and Sys Weight'!$H$3</f>
        <v>97.68</v>
      </c>
    </row>
    <row r="730" spans="1:18" x14ac:dyDescent="0.3">
      <c r="A730" s="35" t="s">
        <v>106</v>
      </c>
      <c r="B730" s="35">
        <v>9.86</v>
      </c>
      <c r="C730" s="35">
        <v>830</v>
      </c>
      <c r="D730" s="35" t="s">
        <v>75</v>
      </c>
      <c r="E730" s="36" t="str" cm="1">
        <f t="array" ref="E730">GetNumber(D730,1)</f>
        <v>10</v>
      </c>
      <c r="F730" s="36" t="str" cm="1">
        <f t="array" ref="F730">GetNumber(D730,2)</f>
        <v>8</v>
      </c>
      <c r="G730" s="35">
        <v>14.8</v>
      </c>
      <c r="H730" s="35">
        <v>11530</v>
      </c>
      <c r="I730" s="35">
        <f>49.47*($T$2)</f>
        <v>98.94</v>
      </c>
      <c r="J730" s="35">
        <f>732.2*($T$2)</f>
        <v>1464.4</v>
      </c>
      <c r="K730" s="35">
        <f t="shared" si="55"/>
        <v>4.0021851953018306</v>
      </c>
      <c r="L730" s="35">
        <f t="shared" si="56"/>
        <v>4.0024257125530633</v>
      </c>
      <c r="M730" s="35">
        <f>4.285625*($T$2)</f>
        <v>8.5712499999999991</v>
      </c>
      <c r="N730" s="35">
        <f>87.3*(5280/3600)</f>
        <v>128.04</v>
      </c>
      <c r="O730" s="35">
        <f t="shared" si="54"/>
        <v>0.58530797596285156</v>
      </c>
      <c r="P730" s="35">
        <f t="shared" si="57"/>
        <v>34.303729855230813</v>
      </c>
      <c r="Q730" s="35">
        <f>('Batt Capacity and Sys Weight'!$I$3) + (B730*$T$2)</f>
        <v>46.108474999999999</v>
      </c>
      <c r="R730" s="35">
        <f>'Batt Capacity and Sys Weight'!$H$3</f>
        <v>97.68</v>
      </c>
    </row>
    <row r="731" spans="1:18" x14ac:dyDescent="0.3">
      <c r="A731" s="35" t="s">
        <v>106</v>
      </c>
      <c r="B731" s="35">
        <v>9.86</v>
      </c>
      <c r="C731" s="35">
        <v>830</v>
      </c>
      <c r="D731" s="35" t="s">
        <v>78</v>
      </c>
      <c r="E731" s="36" t="str" cm="1">
        <f t="array" ref="E731">GetNumber(D731,1)</f>
        <v>11</v>
      </c>
      <c r="F731" s="36" t="str" cm="1">
        <f t="array" ref="F731">GetNumber(D731,2)</f>
        <v>7</v>
      </c>
      <c r="G731" s="35">
        <v>14.8</v>
      </c>
      <c r="H731" s="35">
        <v>11580</v>
      </c>
      <c r="I731" s="35">
        <f>48.4*($T$2)</f>
        <v>96.8</v>
      </c>
      <c r="J731" s="35">
        <f>716.3*($T$2)</f>
        <v>1432.6</v>
      </c>
      <c r="K731" s="35">
        <f t="shared" si="55"/>
        <v>4.0910233142538051</v>
      </c>
      <c r="L731" s="35">
        <f t="shared" si="56"/>
        <v>4.0909090909090917</v>
      </c>
      <c r="M731" s="35">
        <f>5.714375*($T$2)</f>
        <v>11.428750000000001</v>
      </c>
      <c r="N731" s="35">
        <f>76.8*(5280/3600)</f>
        <v>112.63999999999999</v>
      </c>
      <c r="O731" s="35">
        <f t="shared" si="54"/>
        <v>0.79776280887896145</v>
      </c>
      <c r="P731" s="35">
        <f t="shared" si="57"/>
        <v>46.755282702778175</v>
      </c>
      <c r="Q731" s="35">
        <f>('Batt Capacity and Sys Weight'!$I$3) + (B731*$T$2)</f>
        <v>46.108474999999999</v>
      </c>
      <c r="R731" s="35">
        <f>'Batt Capacity and Sys Weight'!$H$3</f>
        <v>97.68</v>
      </c>
    </row>
    <row r="732" spans="1:18" x14ac:dyDescent="0.3">
      <c r="A732" s="35" t="s">
        <v>106</v>
      </c>
      <c r="B732" s="35">
        <v>9.86</v>
      </c>
      <c r="C732" s="35">
        <v>830</v>
      </c>
      <c r="D732" s="35" t="s">
        <v>61</v>
      </c>
      <c r="E732" s="36" t="str" cm="1">
        <f t="array" ref="E732">GetNumber(D732,1)</f>
        <v>11</v>
      </c>
      <c r="F732" s="36" t="str" cm="1">
        <f t="array" ref="F732">GetNumber(D732,2)</f>
        <v>8</v>
      </c>
      <c r="G732" s="35">
        <v>14.8</v>
      </c>
      <c r="H732" s="35">
        <v>11161</v>
      </c>
      <c r="I732" s="35">
        <f>63.25*($T$2)</f>
        <v>126.5</v>
      </c>
      <c r="J732" s="35">
        <f>936.1*($T$2)</f>
        <v>1872.2</v>
      </c>
      <c r="K732" s="35">
        <f t="shared" si="55"/>
        <v>3.1304347826086958</v>
      </c>
      <c r="L732" s="35">
        <f t="shared" si="56"/>
        <v>3.1304347826086958</v>
      </c>
      <c r="M732" s="35">
        <f>5.255625*($T$2)</f>
        <v>10.51125</v>
      </c>
      <c r="N732" s="35">
        <f>84.6*(5280/3600)</f>
        <v>124.07999999999998</v>
      </c>
      <c r="O732" s="35">
        <f t="shared" si="54"/>
        <v>0.56143841469928424</v>
      </c>
      <c r="P732" s="35">
        <f t="shared" si="57"/>
        <v>32.904782608695655</v>
      </c>
      <c r="Q732" s="35">
        <f>('Batt Capacity and Sys Weight'!$I$3) + (B732*$T$2)</f>
        <v>46.108474999999999</v>
      </c>
      <c r="R732" s="35">
        <f>'Batt Capacity and Sys Weight'!$H$3</f>
        <v>97.68</v>
      </c>
    </row>
    <row r="733" spans="1:18" x14ac:dyDescent="0.3">
      <c r="A733" s="35" t="s">
        <v>106</v>
      </c>
      <c r="B733" s="35">
        <v>9.86</v>
      </c>
      <c r="C733" s="35">
        <v>830</v>
      </c>
      <c r="D733" s="35" t="s">
        <v>62</v>
      </c>
      <c r="E733" s="36" t="str" cm="1">
        <f t="array" ref="E733">GetNumber(D733,1)</f>
        <v>12</v>
      </c>
      <c r="F733" s="36" t="str" cm="1">
        <f t="array" ref="F733">GetNumber(D733,2)</f>
        <v>6</v>
      </c>
      <c r="G733" s="35">
        <v>14.8</v>
      </c>
      <c r="H733" s="35">
        <v>11292</v>
      </c>
      <c r="I733" s="35">
        <f>59.41*($T$2)</f>
        <v>118.82</v>
      </c>
      <c r="J733" s="35">
        <f>879.3*($T$2)</f>
        <v>1758.6</v>
      </c>
      <c r="K733" s="35">
        <f t="shared" si="55"/>
        <v>3.3326509723643811</v>
      </c>
      <c r="L733" s="35">
        <f t="shared" si="56"/>
        <v>3.3327722605621952</v>
      </c>
      <c r="M733" s="35">
        <f>6.750625*($T$2)</f>
        <v>13.501250000000001</v>
      </c>
      <c r="N733" s="35">
        <f>64.2*(5280/3600)</f>
        <v>94.16</v>
      </c>
      <c r="O733" s="35">
        <f t="shared" si="54"/>
        <v>0.76772716933924723</v>
      </c>
      <c r="P733" s="35">
        <f t="shared" si="57"/>
        <v>44.994953940634602</v>
      </c>
      <c r="Q733" s="35">
        <f>('Batt Capacity and Sys Weight'!$I$3) + (B733*$T$2)</f>
        <v>46.108474999999999</v>
      </c>
      <c r="R733" s="35">
        <f>'Batt Capacity and Sys Weight'!$H$3</f>
        <v>97.68</v>
      </c>
    </row>
    <row r="734" spans="1:18" x14ac:dyDescent="0.3">
      <c r="A734" s="35" t="s">
        <v>106</v>
      </c>
      <c r="B734" s="35">
        <v>9.86</v>
      </c>
      <c r="C734" s="35">
        <v>830</v>
      </c>
      <c r="D734" s="35" t="s">
        <v>63</v>
      </c>
      <c r="E734" s="36" t="str" cm="1">
        <f t="array" ref="E734">GetNumber(D734,1)</f>
        <v>12</v>
      </c>
      <c r="F734" s="36" t="str" cm="1">
        <f t="array" ref="F734">GetNumber(D734,2)</f>
        <v>7</v>
      </c>
      <c r="G734" s="35">
        <v>14.8</v>
      </c>
      <c r="H734" s="35">
        <v>10930</v>
      </c>
      <c r="I734" s="35">
        <f>70.9*($T$2)</f>
        <v>141.80000000000001</v>
      </c>
      <c r="J734" s="35">
        <f>1049.4*($T$2)</f>
        <v>2098.8000000000002</v>
      </c>
      <c r="K734" s="35">
        <f t="shared" si="55"/>
        <v>2.7924528301886791</v>
      </c>
      <c r="L734" s="35">
        <f t="shared" si="56"/>
        <v>2.792665726375176</v>
      </c>
      <c r="M734" s="35">
        <f>7.17375*($T$2)</f>
        <v>14.3475</v>
      </c>
      <c r="N734" s="35">
        <f>72.5*(5280/3600)</f>
        <v>106.33333333333333</v>
      </c>
      <c r="O734" s="35">
        <f t="shared" si="54"/>
        <v>0.68360491709548299</v>
      </c>
      <c r="P734" s="35">
        <f t="shared" si="57"/>
        <v>40.064716981132072</v>
      </c>
      <c r="Q734" s="35">
        <f>('Batt Capacity and Sys Weight'!$I$3) + (B734*$T$2)</f>
        <v>46.108474999999999</v>
      </c>
      <c r="R734" s="35">
        <f>'Batt Capacity and Sys Weight'!$H$3</f>
        <v>97.68</v>
      </c>
    </row>
    <row r="735" spans="1:18" x14ac:dyDescent="0.3">
      <c r="A735" s="35" t="s">
        <v>106</v>
      </c>
      <c r="B735" s="35">
        <v>9.86</v>
      </c>
      <c r="C735" s="35">
        <v>830</v>
      </c>
      <c r="D735" s="35" t="s">
        <v>65</v>
      </c>
      <c r="E735" s="36" t="str" cm="1">
        <f t="array" ref="E735">GetNumber(D735,1)</f>
        <v>13</v>
      </c>
      <c r="F735" s="36" t="str" cm="1">
        <f t="array" ref="F735">GetNumber(D735,2)</f>
        <v>6</v>
      </c>
      <c r="G735" s="35">
        <v>14.8</v>
      </c>
      <c r="H735" s="35">
        <v>10941</v>
      </c>
      <c r="I735" s="35">
        <f>70.47*($T$2)</f>
        <v>140.94</v>
      </c>
      <c r="J735" s="35">
        <f>1042.9*($T$2)</f>
        <v>2085.8000000000002</v>
      </c>
      <c r="K735" s="35">
        <f t="shared" si="55"/>
        <v>2.8098571291590755</v>
      </c>
      <c r="L735" s="35">
        <f t="shared" si="56"/>
        <v>2.8097062579821204</v>
      </c>
      <c r="M735" s="35">
        <f>8.670625*($T$2)</f>
        <v>17.341249999999999</v>
      </c>
      <c r="N735" s="35">
        <f>62.2*(5280/3600)</f>
        <v>91.226666666666659</v>
      </c>
      <c r="O735" s="35">
        <f t="shared" si="54"/>
        <v>0.83139562757694874</v>
      </c>
      <c r="P735" s="35">
        <f t="shared" si="57"/>
        <v>48.726434941029815</v>
      </c>
      <c r="Q735" s="35">
        <f>('Batt Capacity and Sys Weight'!$I$3) + (B735*$T$2)</f>
        <v>46.108474999999999</v>
      </c>
      <c r="R735" s="35">
        <f>'Batt Capacity and Sys Weight'!$H$3</f>
        <v>97.68</v>
      </c>
    </row>
    <row r="736" spans="1:18" x14ac:dyDescent="0.3">
      <c r="A736" s="35" t="s">
        <v>106</v>
      </c>
      <c r="B736" s="35">
        <v>9.86</v>
      </c>
      <c r="C736" s="35">
        <v>830</v>
      </c>
      <c r="D736" s="35" t="s">
        <v>80</v>
      </c>
      <c r="E736" s="36" t="str" cm="1">
        <f t="array" ref="E736">GetNumber(D736,1)</f>
        <v>10</v>
      </c>
      <c r="F736" s="36" t="str" cm="1">
        <f t="array" ref="F736">GetNumber(D736,2)</f>
        <v>7</v>
      </c>
      <c r="G736" s="35">
        <v>14.8</v>
      </c>
      <c r="H736" s="35">
        <v>11509</v>
      </c>
      <c r="I736" s="35">
        <f>50.21*($T$2)</f>
        <v>100.42</v>
      </c>
      <c r="J736" s="35">
        <f>743.1*($T$2)</f>
        <v>1486.2</v>
      </c>
      <c r="K736" s="35">
        <f t="shared" si="55"/>
        <v>3.9434800161485666</v>
      </c>
      <c r="L736" s="35">
        <f t="shared" si="56"/>
        <v>3.9434375622385982</v>
      </c>
      <c r="M736" s="35">
        <f>6.0825*($T$2)</f>
        <v>12.164999999999999</v>
      </c>
      <c r="N736" s="35">
        <f>76.3*(5280/3600)</f>
        <v>111.90666666666665</v>
      </c>
      <c r="O736" s="35">
        <f t="shared" si="54"/>
        <v>0.81853048041986265</v>
      </c>
      <c r="P736" s="35">
        <f t="shared" si="57"/>
        <v>47.972434396447312</v>
      </c>
      <c r="Q736" s="35">
        <f>('Batt Capacity and Sys Weight'!$I$3) + (B736*$T$2)</f>
        <v>46.108474999999999</v>
      </c>
      <c r="R736" s="35">
        <f>'Batt Capacity and Sys Weight'!$H$3</f>
        <v>97.68</v>
      </c>
    </row>
    <row r="737" spans="1:18" x14ac:dyDescent="0.3">
      <c r="A737" s="35" t="s">
        <v>106</v>
      </c>
      <c r="B737" s="35">
        <v>9.86</v>
      </c>
      <c r="C737" s="35">
        <v>830</v>
      </c>
      <c r="D737" s="35" t="s">
        <v>81</v>
      </c>
      <c r="E737" s="36" t="str" cm="1">
        <f t="array" ref="E737">GetNumber(D737,1)</f>
        <v>11</v>
      </c>
      <c r="F737" s="36" t="str" cm="1">
        <f t="array" ref="F737">GetNumber(D737,2)</f>
        <v>7</v>
      </c>
      <c r="G737" s="35">
        <v>14.8</v>
      </c>
      <c r="H737" s="35">
        <v>11231</v>
      </c>
      <c r="I737" s="35">
        <f>61.18*($T$2)</f>
        <v>122.36</v>
      </c>
      <c r="J737" s="35">
        <f>905.5*($T$2)</f>
        <v>1811</v>
      </c>
      <c r="K737" s="35">
        <f t="shared" si="55"/>
        <v>3.2362230811706238</v>
      </c>
      <c r="L737" s="35">
        <f t="shared" si="56"/>
        <v>3.2363517489375617</v>
      </c>
      <c r="M737" s="35">
        <f>7.284375*($T$2)</f>
        <v>14.56875</v>
      </c>
      <c r="N737" s="35">
        <f>74.4*(5280/3600)</f>
        <v>109.12</v>
      </c>
      <c r="O737" s="35">
        <f t="shared" si="54"/>
        <v>0.80445886250690224</v>
      </c>
      <c r="P737" s="35">
        <f t="shared" si="57"/>
        <v>47.147725013804525</v>
      </c>
      <c r="Q737" s="35">
        <f>('Batt Capacity and Sys Weight'!$I$3) + (B737*$T$2)</f>
        <v>46.108474999999999</v>
      </c>
      <c r="R737" s="35">
        <f>'Batt Capacity and Sys Weight'!$H$3</f>
        <v>97.68</v>
      </c>
    </row>
    <row r="738" spans="1:18" x14ac:dyDescent="0.3">
      <c r="A738" s="35" t="s">
        <v>106</v>
      </c>
      <c r="B738" s="35">
        <v>9.86</v>
      </c>
      <c r="C738" s="35">
        <v>830</v>
      </c>
      <c r="D738" s="35" t="s">
        <v>66</v>
      </c>
      <c r="E738" s="36" t="str" cm="1">
        <f t="array" ref="E738">GetNumber(D738,1)</f>
        <v>11</v>
      </c>
      <c r="F738" s="36" t="str" cm="1">
        <f t="array" ref="F738">GetNumber(D738,2)</f>
        <v>8</v>
      </c>
      <c r="G738" s="35">
        <v>14.8</v>
      </c>
      <c r="H738" s="35">
        <v>11059</v>
      </c>
      <c r="I738" s="35">
        <f>66.81*($T$2)</f>
        <v>133.62</v>
      </c>
      <c r="J738" s="35">
        <f>988.8*($T$2)</f>
        <v>1977.6</v>
      </c>
      <c r="K738" s="35">
        <f t="shared" si="55"/>
        <v>2.9635922330097091</v>
      </c>
      <c r="L738" s="35">
        <f t="shared" si="56"/>
        <v>2.9636281993713518</v>
      </c>
      <c r="M738" s="35">
        <f>7.58375*($T$2)</f>
        <v>15.1675</v>
      </c>
      <c r="N738" s="35">
        <f>83.8*(5280/3600)</f>
        <v>122.90666666666665</v>
      </c>
      <c r="O738" s="35">
        <f t="shared" si="54"/>
        <v>0.76696500809061485</v>
      </c>
      <c r="P738" s="35">
        <f t="shared" si="57"/>
        <v>44.950285194174761</v>
      </c>
      <c r="Q738" s="35">
        <f>('Batt Capacity and Sys Weight'!$I$3) + (B738*$T$2)</f>
        <v>46.108474999999999</v>
      </c>
      <c r="R738" s="35">
        <f>'Batt Capacity and Sys Weight'!$H$3</f>
        <v>97.68</v>
      </c>
    </row>
    <row r="739" spans="1:18" x14ac:dyDescent="0.3">
      <c r="A739" s="35" t="s">
        <v>106</v>
      </c>
      <c r="B739" s="35">
        <v>9.86</v>
      </c>
      <c r="C739" s="35">
        <v>830</v>
      </c>
      <c r="D739" s="35" t="s">
        <v>53</v>
      </c>
      <c r="E739" s="36" t="str" cm="1">
        <f t="array" ref="E739">GetNumber(D739,1)</f>
        <v>12</v>
      </c>
      <c r="F739" s="36" t="str" cm="1">
        <f t="array" ref="F739">GetNumber(D739,2)</f>
        <v>6</v>
      </c>
      <c r="G739" s="35">
        <v>14.8</v>
      </c>
      <c r="H739" s="35">
        <v>10989</v>
      </c>
      <c r="I739" s="35">
        <f>68.68*($T$2)</f>
        <v>137.36000000000001</v>
      </c>
      <c r="J739" s="35">
        <f>1016.5*($T$2)</f>
        <v>2033</v>
      </c>
      <c r="K739" s="35">
        <f t="shared" si="55"/>
        <v>2.8828332513526811</v>
      </c>
      <c r="L739" s="35">
        <f t="shared" si="56"/>
        <v>2.8829353523587651</v>
      </c>
      <c r="M739" s="35">
        <f>8.430625*($T$2)</f>
        <v>16.861249999999998</v>
      </c>
      <c r="N739" s="35">
        <f>62.4*(5280/3600)</f>
        <v>91.52</v>
      </c>
      <c r="O739" s="35">
        <f t="shared" si="54"/>
        <v>0.82937776684702391</v>
      </c>
      <c r="P739" s="35">
        <f t="shared" si="57"/>
        <v>48.60817215937039</v>
      </c>
      <c r="Q739" s="35">
        <f>('Batt Capacity and Sys Weight'!$I$3) + (B739*$T$2)</f>
        <v>46.108474999999999</v>
      </c>
      <c r="R739" s="35">
        <f>'Batt Capacity and Sys Weight'!$H$3</f>
        <v>97.68</v>
      </c>
    </row>
    <row r="740" spans="1:18" x14ac:dyDescent="0.3">
      <c r="A740" s="35" t="s">
        <v>106</v>
      </c>
      <c r="B740" s="35">
        <v>9.86</v>
      </c>
      <c r="C740" s="35">
        <v>830</v>
      </c>
      <c r="D740" s="35" t="s">
        <v>104</v>
      </c>
      <c r="E740" s="36" t="str" cm="1">
        <f t="array" ref="E740">GetNumber(D740,1)</f>
        <v>9</v>
      </c>
      <c r="F740" s="36" cm="1">
        <f t="array" ref="F740">GetNumber(D740,2)+(GetNumber(D740,3)/10)</f>
        <v>7.5</v>
      </c>
      <c r="G740" s="35">
        <v>18.5</v>
      </c>
      <c r="H740" s="35">
        <v>13951</v>
      </c>
      <c r="I740" s="35">
        <f>70.47*($T$2)</f>
        <v>140.94</v>
      </c>
      <c r="J740" s="35">
        <f>1303.7*($T$2)</f>
        <v>2607.4</v>
      </c>
      <c r="K740" s="35">
        <f t="shared" si="55"/>
        <v>2.1285571834010892</v>
      </c>
      <c r="L740" s="35">
        <f t="shared" si="56"/>
        <v>2.1285653469561518</v>
      </c>
      <c r="M740" s="35">
        <f>5.3575*($T$2)</f>
        <v>10.715</v>
      </c>
      <c r="N740" s="35">
        <f>99.1*(5280/3600)</f>
        <v>145.34666666666664</v>
      </c>
      <c r="O740" s="35">
        <f t="shared" si="54"/>
        <v>0.41094576973230035</v>
      </c>
      <c r="P740" s="35">
        <f t="shared" si="57"/>
        <v>22.807490220142672</v>
      </c>
      <c r="Q740" s="35">
        <f>('Batt Capacity and Sys Weight'!$I$4) + (B740*$T$2)</f>
        <v>46.884502999999995</v>
      </c>
      <c r="R740" s="35">
        <f>'Batt Capacity and Sys Weight'!$H$4</f>
        <v>92.5</v>
      </c>
    </row>
    <row r="741" spans="1:18" x14ac:dyDescent="0.3">
      <c r="A741" s="35" t="s">
        <v>106</v>
      </c>
      <c r="B741" s="35">
        <v>9.86</v>
      </c>
      <c r="C741" s="35">
        <v>830</v>
      </c>
      <c r="D741" s="35" t="s">
        <v>103</v>
      </c>
      <c r="E741" s="36" t="str" cm="1">
        <f t="array" ref="E741">GetNumber(D741,1)</f>
        <v>9</v>
      </c>
      <c r="F741" s="36" t="str" cm="1">
        <f t="array" ref="F741">GetNumber(D741,2)</f>
        <v>9</v>
      </c>
      <c r="G741" s="35">
        <v>18.5</v>
      </c>
      <c r="H741" s="35">
        <v>13785</v>
      </c>
      <c r="I741" s="35">
        <f>75.16*($T$2)</f>
        <v>150.32</v>
      </c>
      <c r="J741" s="35">
        <f>1390.4*($T$2)</f>
        <v>2780.8</v>
      </c>
      <c r="K741" s="35">
        <f t="shared" si="55"/>
        <v>1.9958285385500572</v>
      </c>
      <c r="L741" s="35">
        <f t="shared" si="56"/>
        <v>1.9957424161788186</v>
      </c>
      <c r="M741" s="35">
        <f>5.566875*($T$2)</f>
        <v>11.133749999999999</v>
      </c>
      <c r="N741" s="35">
        <f>117.5*(5280/3600)</f>
        <v>172.33333333333331</v>
      </c>
      <c r="O741" s="35">
        <f t="shared" si="54"/>
        <v>0.40037938722669736</v>
      </c>
      <c r="P741" s="35">
        <f t="shared" si="57"/>
        <v>22.221055991081698</v>
      </c>
      <c r="Q741" s="35">
        <f>('Batt Capacity and Sys Weight'!$I$4) + (B741*$T$2)</f>
        <v>46.884502999999995</v>
      </c>
      <c r="R741" s="35">
        <f>'Batt Capacity and Sys Weight'!$H$4</f>
        <v>92.5</v>
      </c>
    </row>
    <row r="742" spans="1:18" x14ac:dyDescent="0.3">
      <c r="A742" s="35" t="s">
        <v>106</v>
      </c>
      <c r="B742" s="35">
        <v>9.86</v>
      </c>
      <c r="C742" s="35">
        <v>830</v>
      </c>
      <c r="D742" s="35" t="s">
        <v>99</v>
      </c>
      <c r="E742" s="36" t="str" cm="1">
        <f t="array" ref="E742">GetNumber(D742,1)</f>
        <v>10</v>
      </c>
      <c r="F742" s="36" t="str" cm="1">
        <f t="array" ref="F742">GetNumber(D742,2)</f>
        <v>5</v>
      </c>
      <c r="G742" s="35">
        <v>18.5</v>
      </c>
      <c r="H742" s="35">
        <v>14419</v>
      </c>
      <c r="I742" s="35">
        <f>53.84*($T$2)</f>
        <v>107.68</v>
      </c>
      <c r="J742" s="35">
        <f>996*($T$2)</f>
        <v>1992</v>
      </c>
      <c r="K742" s="35">
        <f t="shared" si="55"/>
        <v>2.786144578313253</v>
      </c>
      <c r="L742" s="35">
        <f t="shared" si="56"/>
        <v>2.7860326894502228</v>
      </c>
      <c r="M742" s="35">
        <f>6.346875*($T$2)</f>
        <v>12.69375</v>
      </c>
      <c r="N742" s="35">
        <f>68.3*(5280/3600)</f>
        <v>100.17333333333332</v>
      </c>
      <c r="O742" s="35">
        <f t="shared" si="54"/>
        <v>0.63723644578313254</v>
      </c>
      <c r="P742" s="35">
        <f t="shared" si="57"/>
        <v>35.366622740963855</v>
      </c>
      <c r="Q742" s="35">
        <f>('Batt Capacity and Sys Weight'!$I$4) + (B742*$T$2)</f>
        <v>46.884502999999995</v>
      </c>
      <c r="R742" s="35">
        <f>'Batt Capacity and Sys Weight'!$H$4</f>
        <v>92.5</v>
      </c>
    </row>
    <row r="743" spans="1:18" x14ac:dyDescent="0.3">
      <c r="A743" s="35" t="s">
        <v>106</v>
      </c>
      <c r="B743" s="35">
        <v>9.86</v>
      </c>
      <c r="C743" s="35">
        <v>830</v>
      </c>
      <c r="D743" s="35" t="s">
        <v>67</v>
      </c>
      <c r="E743" s="36" t="str" cm="1">
        <f t="array" ref="E743">GetNumber(D743,1)</f>
        <v>10</v>
      </c>
      <c r="F743" s="36" t="str" cm="1">
        <f t="array" ref="F743">GetNumber(D743,2)</f>
        <v>6</v>
      </c>
      <c r="G743" s="35">
        <v>18.5</v>
      </c>
      <c r="H743" s="35">
        <v>14230</v>
      </c>
      <c r="I743" s="35">
        <f>59.22*($T$2)</f>
        <v>118.44</v>
      </c>
      <c r="J743" s="35">
        <f>1095.5*($T$2)</f>
        <v>2191</v>
      </c>
      <c r="K743" s="35">
        <f t="shared" si="55"/>
        <v>2.5330899132816067</v>
      </c>
      <c r="L743" s="35">
        <f t="shared" si="56"/>
        <v>2.5329280648429586</v>
      </c>
      <c r="M743" s="35">
        <f>6.57*($T$2)</f>
        <v>13.14</v>
      </c>
      <c r="N743" s="35">
        <f>80.9*(5280/3600)</f>
        <v>118.65333333333334</v>
      </c>
      <c r="O743" s="35">
        <f t="shared" si="54"/>
        <v>0.59972615244180738</v>
      </c>
      <c r="P743" s="35">
        <f t="shared" si="57"/>
        <v>33.284801460520313</v>
      </c>
      <c r="Q743" s="35">
        <f>('Batt Capacity and Sys Weight'!$I$4) + (B743*$T$2)</f>
        <v>46.884502999999995</v>
      </c>
      <c r="R743" s="35">
        <f>'Batt Capacity and Sys Weight'!$H$4</f>
        <v>92.5</v>
      </c>
    </row>
    <row r="744" spans="1:18" x14ac:dyDescent="0.3">
      <c r="A744" s="35" t="s">
        <v>106</v>
      </c>
      <c r="B744" s="35">
        <v>9.86</v>
      </c>
      <c r="C744" s="35">
        <v>830</v>
      </c>
      <c r="D744" s="35" t="s">
        <v>68</v>
      </c>
      <c r="E744" s="36" t="str" cm="1">
        <f t="array" ref="E744">GetNumber(D744,1)</f>
        <v>10</v>
      </c>
      <c r="F744" s="36" t="str" cm="1">
        <f t="array" ref="F744">GetNumber(D744,2)</f>
        <v>7</v>
      </c>
      <c r="G744" s="35">
        <v>18.5</v>
      </c>
      <c r="H744" s="35">
        <v>13925</v>
      </c>
      <c r="I744" s="35">
        <f>71.1*($T$2)</f>
        <v>142.19999999999999</v>
      </c>
      <c r="J744" s="35">
        <f>1315.4*($T$2)</f>
        <v>2630.8</v>
      </c>
      <c r="K744" s="35">
        <f t="shared" si="55"/>
        <v>2.1096244488368558</v>
      </c>
      <c r="L744" s="35">
        <f t="shared" si="56"/>
        <v>2.1097046413502114</v>
      </c>
      <c r="M744" s="35">
        <f>7.08375*($T$2)</f>
        <v>14.1675</v>
      </c>
      <c r="N744" s="35">
        <f>92.3*(5280/3600)</f>
        <v>135.37333333333331</v>
      </c>
      <c r="O744" s="35">
        <f t="shared" si="54"/>
        <v>0.53852440322335415</v>
      </c>
      <c r="P744" s="35">
        <f t="shared" si="57"/>
        <v>29.888104378896156</v>
      </c>
      <c r="Q744" s="35">
        <f>('Batt Capacity and Sys Weight'!$I$4) + (B744*$T$2)</f>
        <v>46.884502999999995</v>
      </c>
      <c r="R744" s="35">
        <f>'Batt Capacity and Sys Weight'!$H$4</f>
        <v>92.5</v>
      </c>
    </row>
    <row r="745" spans="1:18" x14ac:dyDescent="0.3">
      <c r="A745" s="35" t="s">
        <v>106</v>
      </c>
      <c r="B745" s="35">
        <v>9.86</v>
      </c>
      <c r="C745" s="35">
        <v>830</v>
      </c>
      <c r="D745" s="35" t="s">
        <v>73</v>
      </c>
      <c r="E745" s="36" t="str" cm="1">
        <f t="array" ref="E745">GetNumber(D745,1)</f>
        <v>10</v>
      </c>
      <c r="F745" s="36" t="str" cm="1">
        <f t="array" ref="F745">GetNumber(D745,2)</f>
        <v>6</v>
      </c>
      <c r="G745" s="35">
        <v>18.5</v>
      </c>
      <c r="H745" s="35">
        <v>14235</v>
      </c>
      <c r="I745" s="35">
        <f>59.09*($T$2)</f>
        <v>118.18</v>
      </c>
      <c r="J745" s="35">
        <f>1093.1*($T$2)</f>
        <v>2186.1999999999998</v>
      </c>
      <c r="K745" s="35">
        <f t="shared" si="55"/>
        <v>2.5386515414875128</v>
      </c>
      <c r="L745" s="35">
        <f t="shared" si="56"/>
        <v>2.5385005923168045</v>
      </c>
      <c r="M745" s="35">
        <f>5.7475*($T$2)</f>
        <v>11.494999999999999</v>
      </c>
      <c r="N745" s="35">
        <f>80.9*(5280/3600)</f>
        <v>118.65333333333334</v>
      </c>
      <c r="O745" s="35">
        <f t="shared" si="54"/>
        <v>0.52579818863781902</v>
      </c>
      <c r="P745" s="35">
        <f t="shared" si="57"/>
        <v>29.181799469398957</v>
      </c>
      <c r="Q745" s="35">
        <f>('Batt Capacity and Sys Weight'!$I$4) + (B745*$T$2)</f>
        <v>46.884502999999995</v>
      </c>
      <c r="R745" s="35">
        <f>'Batt Capacity and Sys Weight'!$H$4</f>
        <v>92.5</v>
      </c>
    </row>
    <row r="746" spans="1:18" x14ac:dyDescent="0.3">
      <c r="A746" s="35" t="s">
        <v>106</v>
      </c>
      <c r="B746" s="35">
        <v>9.86</v>
      </c>
      <c r="C746" s="35">
        <v>830</v>
      </c>
      <c r="D746" s="35" t="s">
        <v>74</v>
      </c>
      <c r="E746" s="36" t="str" cm="1">
        <f t="array" ref="E746">GetNumber(D746,1)</f>
        <v>10</v>
      </c>
      <c r="F746" s="36" t="str" cm="1">
        <f t="array" ref="F746">GetNumber(D746,2)</f>
        <v>7</v>
      </c>
      <c r="G746" s="35">
        <v>18.5</v>
      </c>
      <c r="H746" s="35">
        <v>14084</v>
      </c>
      <c r="I746" s="35">
        <f>63.47*($T$2)</f>
        <v>126.94</v>
      </c>
      <c r="J746" s="35">
        <f>1174.2*($T$2)</f>
        <v>2348.4</v>
      </c>
      <c r="K746" s="35">
        <f t="shared" si="55"/>
        <v>2.3633111905978534</v>
      </c>
      <c r="L746" s="35">
        <f t="shared" si="56"/>
        <v>2.3633212541358124</v>
      </c>
      <c r="M746" s="35">
        <f>5.544375*($T$2)</f>
        <v>11.088749999999999</v>
      </c>
      <c r="N746" s="35">
        <f>93.4*(5280/3600)</f>
        <v>136.98666666666668</v>
      </c>
      <c r="O746" s="35">
        <f t="shared" si="54"/>
        <v>0.47218318855390901</v>
      </c>
      <c r="P746" s="35">
        <f t="shared" si="57"/>
        <v>26.206166964741946</v>
      </c>
      <c r="Q746" s="35">
        <f>('Batt Capacity and Sys Weight'!$I$4) + (B746*$T$2)</f>
        <v>46.884502999999995</v>
      </c>
      <c r="R746" s="35">
        <f>'Batt Capacity and Sys Weight'!$H$4</f>
        <v>92.5</v>
      </c>
    </row>
    <row r="747" spans="1:18" x14ac:dyDescent="0.3">
      <c r="A747" s="35" t="s">
        <v>106</v>
      </c>
      <c r="B747" s="35">
        <v>9.86</v>
      </c>
      <c r="C747" s="35">
        <v>830</v>
      </c>
      <c r="D747" s="35" t="s">
        <v>75</v>
      </c>
      <c r="E747" s="36" t="str" cm="1">
        <f t="array" ref="E747">GetNumber(D747,1)</f>
        <v>10</v>
      </c>
      <c r="F747" s="36" t="str" cm="1">
        <f t="array" ref="F747">GetNumber(D747,2)</f>
        <v>8</v>
      </c>
      <c r="G747" s="35">
        <v>18.5</v>
      </c>
      <c r="H747" s="35">
        <v>13879</v>
      </c>
      <c r="I747" s="35">
        <f>71.96*($T$2)</f>
        <v>143.91999999999999</v>
      </c>
      <c r="J747" s="35">
        <f>1331.3*($T$2)</f>
        <v>2662.6</v>
      </c>
      <c r="K747" s="35">
        <f t="shared" si="55"/>
        <v>2.0844287538496209</v>
      </c>
      <c r="L747" s="35">
        <f t="shared" si="56"/>
        <v>2.0844913841022792</v>
      </c>
      <c r="M747" s="35">
        <f>6.23*($T$2)</f>
        <v>12.46</v>
      </c>
      <c r="N747" s="35">
        <f>105.1*(5280/3600)</f>
        <v>154.14666666666665</v>
      </c>
      <c r="O747" s="35">
        <f t="shared" si="54"/>
        <v>0.46796364455795092</v>
      </c>
      <c r="P747" s="35">
        <f t="shared" si="57"/>
        <v>25.971982272966279</v>
      </c>
      <c r="Q747" s="35">
        <f>('Batt Capacity and Sys Weight'!$I$4) + (B747*$T$2)</f>
        <v>46.884502999999995</v>
      </c>
      <c r="R747" s="35">
        <f>'Batt Capacity and Sys Weight'!$H$4</f>
        <v>92.5</v>
      </c>
    </row>
    <row r="748" spans="1:18" x14ac:dyDescent="0.3">
      <c r="A748" s="35" t="s">
        <v>106</v>
      </c>
      <c r="B748" s="35">
        <v>9.86</v>
      </c>
      <c r="C748" s="35">
        <v>830</v>
      </c>
      <c r="D748" s="35" t="s">
        <v>76</v>
      </c>
      <c r="E748" s="36" t="str" cm="1">
        <f t="array" ref="E748">GetNumber(D748,1)</f>
        <v>11</v>
      </c>
      <c r="F748" s="36" t="str" cm="1">
        <f t="array" ref="F748">GetNumber(D748,2)</f>
        <v>5</v>
      </c>
      <c r="G748" s="35">
        <v>18.5</v>
      </c>
      <c r="H748" s="35">
        <v>14194</v>
      </c>
      <c r="I748" s="35">
        <f>60.73*($T$2)</f>
        <v>121.46</v>
      </c>
      <c r="J748" s="35">
        <f>1123.5*($T$2)</f>
        <v>2247</v>
      </c>
      <c r="K748" s="35">
        <f t="shared" si="55"/>
        <v>2.4699599465954605</v>
      </c>
      <c r="L748" s="35">
        <f t="shared" si="56"/>
        <v>2.469948954388276</v>
      </c>
      <c r="M748" s="35">
        <f>7.39*($T$2)</f>
        <v>14.78</v>
      </c>
      <c r="N748" s="35">
        <f>67.2*(5280/3600)</f>
        <v>98.56</v>
      </c>
      <c r="O748" s="35">
        <f t="shared" si="54"/>
        <v>0.65776591010235863</v>
      </c>
      <c r="P748" s="35">
        <f t="shared" si="57"/>
        <v>36.506008010680901</v>
      </c>
      <c r="Q748" s="35">
        <f>('Batt Capacity and Sys Weight'!$I$4) + (B748*$T$2)</f>
        <v>46.884502999999995</v>
      </c>
      <c r="R748" s="35">
        <f>'Batt Capacity and Sys Weight'!$H$4</f>
        <v>92.5</v>
      </c>
    </row>
    <row r="749" spans="1:18" x14ac:dyDescent="0.3">
      <c r="A749" s="35" t="s">
        <v>106</v>
      </c>
      <c r="B749" s="35">
        <v>9.86</v>
      </c>
      <c r="C749" s="35">
        <v>830</v>
      </c>
      <c r="D749" s="35" t="s">
        <v>77</v>
      </c>
      <c r="E749" s="36" t="str" cm="1">
        <f t="array" ref="E749">GetNumber(D749,1)</f>
        <v>11</v>
      </c>
      <c r="F749" s="36" t="str" cm="1">
        <f t="array" ref="F749">GetNumber(D749,2)</f>
        <v>6</v>
      </c>
      <c r="G749" s="35">
        <v>18.5</v>
      </c>
      <c r="H749" s="35">
        <v>13913</v>
      </c>
      <c r="I749" s="35">
        <f>71.29*($T$2)</f>
        <v>142.58000000000001</v>
      </c>
      <c r="J749" s="35">
        <f>1318.8*($T$2)</f>
        <v>2637.6</v>
      </c>
      <c r="K749" s="35">
        <f t="shared" si="55"/>
        <v>2.1041856232939038</v>
      </c>
      <c r="L749" s="35">
        <f t="shared" si="56"/>
        <v>2.1040819189227102</v>
      </c>
      <c r="M749" s="35">
        <f>8.280625*($T$2)</f>
        <v>16.561250000000001</v>
      </c>
      <c r="N749" s="35">
        <f>79.1*(5280/3600)</f>
        <v>116.01333333333332</v>
      </c>
      <c r="O749" s="35">
        <f t="shared" si="54"/>
        <v>0.6278908856536245</v>
      </c>
      <c r="P749" s="35">
        <f t="shared" si="57"/>
        <v>34.847944153776169</v>
      </c>
      <c r="Q749" s="35">
        <f>('Batt Capacity and Sys Weight'!$I$4) + (B749*$T$2)</f>
        <v>46.884502999999995</v>
      </c>
      <c r="R749" s="35">
        <f>'Batt Capacity and Sys Weight'!$H$4</f>
        <v>92.5</v>
      </c>
    </row>
    <row r="750" spans="1:18" x14ac:dyDescent="0.3">
      <c r="A750" s="35" t="s">
        <v>106</v>
      </c>
      <c r="B750" s="35">
        <v>9.86</v>
      </c>
      <c r="C750" s="35">
        <v>830</v>
      </c>
      <c r="D750" s="35" t="s">
        <v>78</v>
      </c>
      <c r="E750" s="36" t="str" cm="1">
        <f t="array" ref="E750">GetNumber(D750,1)</f>
        <v>11</v>
      </c>
      <c r="F750" s="36" t="str" cm="1">
        <f t="array" ref="F750">GetNumber(D750,2)</f>
        <v>7</v>
      </c>
      <c r="G750" s="35">
        <v>18.5</v>
      </c>
      <c r="H750" s="35">
        <v>13870</v>
      </c>
      <c r="I750" s="35">
        <f>72.67*($T$2)</f>
        <v>145.34</v>
      </c>
      <c r="J750" s="35">
        <f>1344.4*($T$2)</f>
        <v>2688.8</v>
      </c>
      <c r="K750" s="35">
        <f t="shared" si="55"/>
        <v>2.0641178220767626</v>
      </c>
      <c r="L750" s="35">
        <f t="shared" si="56"/>
        <v>2.0641254988303288</v>
      </c>
      <c r="M750" s="35">
        <f>7.9675*($T$2)</f>
        <v>15.935</v>
      </c>
      <c r="N750" s="35">
        <f>91.9*(5280/3600)</f>
        <v>134.78666666666666</v>
      </c>
      <c r="O750" s="35">
        <f t="shared" si="54"/>
        <v>0.59264355846474259</v>
      </c>
      <c r="P750" s="35">
        <f t="shared" si="57"/>
        <v>32.891717494793212</v>
      </c>
      <c r="Q750" s="35">
        <f>('Batt Capacity and Sys Weight'!$I$4) + (B750*$T$2)</f>
        <v>46.884502999999995</v>
      </c>
      <c r="R750" s="35">
        <f>'Batt Capacity and Sys Weight'!$H$4</f>
        <v>92.5</v>
      </c>
    </row>
    <row r="751" spans="1:18" x14ac:dyDescent="0.3">
      <c r="A751" s="35" t="s">
        <v>106</v>
      </c>
      <c r="B751" s="35">
        <v>9.86</v>
      </c>
      <c r="C751" s="35">
        <v>830</v>
      </c>
      <c r="D751" s="35" t="s">
        <v>101</v>
      </c>
      <c r="E751" s="36" t="str" cm="1">
        <f t="array" ref="E751">GetNumber(D751,1)</f>
        <v>9</v>
      </c>
      <c r="F751" s="36" t="str" cm="1">
        <f t="array" ref="F751">GetNumber(D751,2)</f>
        <v>7</v>
      </c>
      <c r="G751" s="35">
        <v>18.5</v>
      </c>
      <c r="H751" s="35">
        <v>14392</v>
      </c>
      <c r="I751" s="35">
        <f>54.71*($T$2)</f>
        <v>109.42</v>
      </c>
      <c r="J751" s="35">
        <f>1012.1*($T$2)</f>
        <v>2024.2</v>
      </c>
      <c r="K751" s="35">
        <f t="shared" si="55"/>
        <v>2.7418239304416558</v>
      </c>
      <c r="L751" s="35">
        <f t="shared" si="56"/>
        <v>2.7417291171632243</v>
      </c>
      <c r="M751" s="35">
        <f>6.984375*($T$2)</f>
        <v>13.96875</v>
      </c>
      <c r="N751" s="35">
        <f>95.4*(5280/3600)</f>
        <v>139.91999999999999</v>
      </c>
      <c r="O751" s="35">
        <f t="shared" si="54"/>
        <v>0.69008744195237626</v>
      </c>
      <c r="P751" s="35">
        <f t="shared" si="57"/>
        <v>38.299853028356878</v>
      </c>
      <c r="Q751" s="35">
        <f>('Batt Capacity and Sys Weight'!$I$4) + (B751*$T$2)</f>
        <v>46.884502999999995</v>
      </c>
      <c r="R751" s="35">
        <f>'Batt Capacity and Sys Weight'!$H$4</f>
        <v>92.5</v>
      </c>
    </row>
    <row r="752" spans="1:18" x14ac:dyDescent="0.3">
      <c r="A752" s="35" t="s">
        <v>106</v>
      </c>
      <c r="B752" s="35">
        <v>9.86</v>
      </c>
      <c r="C752" s="35">
        <v>830</v>
      </c>
      <c r="D752" s="35" t="s">
        <v>79</v>
      </c>
      <c r="E752" s="36" t="str" cm="1">
        <f t="array" ref="E752">GetNumber(D752,1)</f>
        <v>10</v>
      </c>
      <c r="F752" s="36" t="str" cm="1">
        <f t="array" ref="F752">GetNumber(D752,2)</f>
        <v>5</v>
      </c>
      <c r="G752" s="35">
        <v>18.5</v>
      </c>
      <c r="H752" s="35">
        <v>14561</v>
      </c>
      <c r="I752" s="35">
        <f>49.96*($T$2)</f>
        <v>99.92</v>
      </c>
      <c r="J752" s="35">
        <f>924.2*($T$2)</f>
        <v>1848.4</v>
      </c>
      <c r="K752" s="35">
        <f t="shared" si="55"/>
        <v>3.0025968405107122</v>
      </c>
      <c r="L752" s="35">
        <f t="shared" si="56"/>
        <v>3.00240192153723</v>
      </c>
      <c r="M752" s="35">
        <f>7.1675*($T$2)</f>
        <v>14.335000000000001</v>
      </c>
      <c r="N752" s="35">
        <f>68.9*(5280/3600)</f>
        <v>101.05333333333333</v>
      </c>
      <c r="O752" s="35">
        <f t="shared" si="54"/>
        <v>0.77553559835533437</v>
      </c>
      <c r="P752" s="35">
        <f t="shared" si="57"/>
        <v>43.042225708721062</v>
      </c>
      <c r="Q752" s="35">
        <f>('Batt Capacity and Sys Weight'!$I$4) + (B752*$T$2)</f>
        <v>46.884502999999995</v>
      </c>
      <c r="R752" s="35">
        <f>'Batt Capacity and Sys Weight'!$H$4</f>
        <v>92.5</v>
      </c>
    </row>
    <row r="753" spans="1:18" x14ac:dyDescent="0.3">
      <c r="A753" s="35" t="s">
        <v>106</v>
      </c>
      <c r="B753" s="35">
        <v>9.86</v>
      </c>
      <c r="C753" s="35">
        <v>830</v>
      </c>
      <c r="D753" s="35" t="s">
        <v>80</v>
      </c>
      <c r="E753" s="36" t="str" cm="1">
        <f t="array" ref="E753">GetNumber(D753,1)</f>
        <v>10</v>
      </c>
      <c r="F753" s="36" t="str" cm="1">
        <f t="array" ref="F753">GetNumber(D753,2)</f>
        <v>7</v>
      </c>
      <c r="G753" s="35">
        <v>18.5</v>
      </c>
      <c r="H753" s="35">
        <v>13820</v>
      </c>
      <c r="I753" s="35">
        <f>73.32*($T$2)</f>
        <v>146.63999999999999</v>
      </c>
      <c r="J753" s="35">
        <f>1356.3*($T$2)</f>
        <v>2712.6</v>
      </c>
      <c r="K753" s="35">
        <f t="shared" si="55"/>
        <v>2.0460075204600754</v>
      </c>
      <c r="L753" s="35">
        <f t="shared" si="56"/>
        <v>2.0458265139116207</v>
      </c>
      <c r="M753" s="35">
        <f>9.109375*($T$2)</f>
        <v>18.21875</v>
      </c>
      <c r="N753" s="35">
        <f>91.6*(5280/3600)</f>
        <v>134.34666666666664</v>
      </c>
      <c r="O753" s="35">
        <f t="shared" si="54"/>
        <v>0.67163422546634222</v>
      </c>
      <c r="P753" s="35">
        <f t="shared" si="57"/>
        <v>37.275699513382001</v>
      </c>
      <c r="Q753" s="35">
        <f>('Batt Capacity and Sys Weight'!$I$4) + (B753*$T$2)</f>
        <v>46.884502999999995</v>
      </c>
      <c r="R753" s="35">
        <f>'Batt Capacity and Sys Weight'!$H$4</f>
        <v>92.5</v>
      </c>
    </row>
    <row r="754" spans="1:18" x14ac:dyDescent="0.3">
      <c r="A754" s="35" t="s">
        <v>106</v>
      </c>
      <c r="B754" s="35">
        <v>9.86</v>
      </c>
      <c r="C754" s="35">
        <v>830</v>
      </c>
      <c r="D754" s="35" t="s">
        <v>107</v>
      </c>
      <c r="E754" s="36" t="str" cm="1">
        <f t="array" ref="E754">GetNumber(D754,1)</f>
        <v>9</v>
      </c>
      <c r="F754" s="36" t="str" cm="1">
        <f t="array" ref="F754">GetNumber(D754,2)</f>
        <v>6</v>
      </c>
      <c r="G754" s="35">
        <v>22.2</v>
      </c>
      <c r="H754" s="35">
        <v>17044</v>
      </c>
      <c r="I754" s="35">
        <f>63.1*($T$2)</f>
        <v>126.2</v>
      </c>
      <c r="J754" s="35">
        <f>1400.7*($T$2)</f>
        <v>2801.4</v>
      </c>
      <c r="K754" s="35">
        <f t="shared" si="55"/>
        <v>2.1396444634825444</v>
      </c>
      <c r="L754" s="35">
        <f t="shared" si="56"/>
        <v>2.1394611727416799</v>
      </c>
      <c r="M754" s="35">
        <f>6.79*($T$2)</f>
        <v>13.58</v>
      </c>
      <c r="N754" s="35">
        <f>96.8*(5280/3600)</f>
        <v>141.97333333333333</v>
      </c>
      <c r="O754" s="35">
        <f t="shared" si="54"/>
        <v>0.4847576211894053</v>
      </c>
      <c r="P754" s="35">
        <f t="shared" si="57"/>
        <v>29.056371814092955</v>
      </c>
      <c r="Q754" s="35">
        <f>('Batt Capacity and Sys Weight'!$I$5) + (B754*$T$2)</f>
        <v>51.293752999999995</v>
      </c>
      <c r="R754" s="35">
        <f>'Batt Capacity and Sys Weight'!$H$5</f>
        <v>99.9</v>
      </c>
    </row>
    <row r="755" spans="1:18" x14ac:dyDescent="0.3">
      <c r="A755" s="35" t="s">
        <v>106</v>
      </c>
      <c r="B755" s="35">
        <v>9.86</v>
      </c>
      <c r="C755" s="35">
        <v>830</v>
      </c>
      <c r="D755" s="35" t="s">
        <v>100</v>
      </c>
      <c r="E755" s="36" t="str" cm="1">
        <f t="array" ref="E755">GetNumber(D755,1)</f>
        <v>10</v>
      </c>
      <c r="F755" s="36" t="str" cm="1">
        <f t="array" ref="F755">GetNumber(D755,2)</f>
        <v>5</v>
      </c>
      <c r="G755" s="35">
        <v>22.2</v>
      </c>
      <c r="H755" s="35">
        <v>17000</v>
      </c>
      <c r="I755" s="35">
        <f>63.74*($T$2)</f>
        <v>127.48</v>
      </c>
      <c r="J755" s="35">
        <f>1415*($T$2)</f>
        <v>2830</v>
      </c>
      <c r="K755" s="35">
        <f t="shared" si="55"/>
        <v>2.1180212014134279</v>
      </c>
      <c r="L755" s="35">
        <f t="shared" si="56"/>
        <v>2.1179792908691559</v>
      </c>
      <c r="M755" s="35">
        <f>7.226875*($T$2)</f>
        <v>14.453749999999999</v>
      </c>
      <c r="N755" s="35">
        <f>80.5*(5280/3600)</f>
        <v>118.06666666666666</v>
      </c>
      <c r="O755" s="35">
        <f t="shared" si="54"/>
        <v>0.51073321554770312</v>
      </c>
      <c r="P755" s="35">
        <f t="shared" si="57"/>
        <v>30.613348939929331</v>
      </c>
      <c r="Q755" s="35">
        <f>('Batt Capacity and Sys Weight'!$I$5) + (B755*$T$2)</f>
        <v>51.293752999999995</v>
      </c>
      <c r="R755" s="35">
        <f>'Batt Capacity and Sys Weight'!$H$5</f>
        <v>99.9</v>
      </c>
    </row>
    <row r="756" spans="1:18" x14ac:dyDescent="0.3">
      <c r="A756" s="35" t="s">
        <v>106</v>
      </c>
      <c r="B756" s="35">
        <v>9.86</v>
      </c>
      <c r="C756" s="35">
        <v>830</v>
      </c>
      <c r="D756" s="35" t="s">
        <v>101</v>
      </c>
      <c r="E756" s="36" t="str" cm="1">
        <f t="array" ref="E756">GetNumber(D756,1)</f>
        <v>9</v>
      </c>
      <c r="F756" s="36" t="str" cm="1">
        <f t="array" ref="F756">GetNumber(D756,2)</f>
        <v>7</v>
      </c>
      <c r="G756" s="35">
        <v>22.2</v>
      </c>
      <c r="H756" s="35">
        <v>16726</v>
      </c>
      <c r="I756" s="35">
        <f>74.5*($T$2)</f>
        <v>149</v>
      </c>
      <c r="J756" s="35">
        <f>1653.8*($T$2)</f>
        <v>3307.6</v>
      </c>
      <c r="K756" s="35">
        <f t="shared" si="55"/>
        <v>1.8121901076309108</v>
      </c>
      <c r="L756" s="35">
        <f t="shared" si="56"/>
        <v>1.8120805369127517</v>
      </c>
      <c r="M756" s="35">
        <f>8.6*($T$2)</f>
        <v>17.2</v>
      </c>
      <c r="N756" s="35">
        <f>110.9*(5280/3600)</f>
        <v>162.65333333333334</v>
      </c>
      <c r="O756" s="35">
        <f t="shared" si="54"/>
        <v>0.52001451203289395</v>
      </c>
      <c r="P756" s="35">
        <f t="shared" si="57"/>
        <v>31.169669851251665</v>
      </c>
      <c r="Q756" s="35">
        <f>('Batt Capacity and Sys Weight'!$I$5) + (B756*$T$2)</f>
        <v>51.293752999999995</v>
      </c>
      <c r="R756" s="35">
        <f>'Batt Capacity and Sys Weight'!$H$5</f>
        <v>99.9</v>
      </c>
    </row>
    <row r="757" spans="1:18" x14ac:dyDescent="0.3">
      <c r="A757" s="35" t="s">
        <v>106</v>
      </c>
      <c r="B757" s="35">
        <v>9.86</v>
      </c>
      <c r="C757" s="35">
        <v>830</v>
      </c>
      <c r="D757" s="35" t="s">
        <v>79</v>
      </c>
      <c r="E757" s="36" t="str" cm="1">
        <f t="array" ref="E757">GetNumber(D757,1)</f>
        <v>10</v>
      </c>
      <c r="F757" s="36" t="str" cm="1">
        <f t="array" ref="F757">GetNumber(D757,2)</f>
        <v>5</v>
      </c>
      <c r="G757" s="35">
        <v>22.2</v>
      </c>
      <c r="H757" s="35">
        <v>16946</v>
      </c>
      <c r="I757" s="35">
        <f>68.67*($T$2)</f>
        <v>137.34</v>
      </c>
      <c r="J757" s="35">
        <f>1524.4*($T$2)</f>
        <v>3048.8</v>
      </c>
      <c r="K757" s="35">
        <f t="shared" si="55"/>
        <v>1.9660194174757282</v>
      </c>
      <c r="L757" s="35">
        <f t="shared" si="56"/>
        <v>1.9659239842726082</v>
      </c>
      <c r="M757" s="35">
        <f>9.99125*($T$2)</f>
        <v>19.982500000000002</v>
      </c>
      <c r="N757" s="35">
        <f>80.2*(5280/3600)</f>
        <v>117.62666666666667</v>
      </c>
      <c r="O757" s="35">
        <f t="shared" si="54"/>
        <v>0.65542180530044603</v>
      </c>
      <c r="P757" s="35">
        <f t="shared" si="57"/>
        <v>39.285983009708744</v>
      </c>
      <c r="Q757" s="35">
        <f>('Batt Capacity and Sys Weight'!$I$5) + (B757*$T$2)</f>
        <v>51.293752999999995</v>
      </c>
      <c r="R757" s="35">
        <f>'Batt Capacity and Sys Weight'!$H$5</f>
        <v>99.9</v>
      </c>
    </row>
    <row r="758" spans="1:18" x14ac:dyDescent="0.3">
      <c r="A758" s="35" t="s">
        <v>108</v>
      </c>
      <c r="B758" s="35">
        <v>13.12</v>
      </c>
      <c r="C758" s="35">
        <v>310</v>
      </c>
      <c r="D758" s="35" t="s">
        <v>42</v>
      </c>
      <c r="E758" s="36" t="str" cm="1">
        <f t="array" ref="E758">GetNumber(D758,1)</f>
        <v>14</v>
      </c>
      <c r="F758" s="36" t="str" cm="1">
        <f t="array" ref="F758">GetNumber(D758,2)</f>
        <v>12</v>
      </c>
      <c r="G758" s="35">
        <v>22.2</v>
      </c>
      <c r="H758" s="35">
        <v>6331</v>
      </c>
      <c r="I758" s="35">
        <f>28.6*($T$2)</f>
        <v>57.2</v>
      </c>
      <c r="J758" s="35">
        <f>635*($T$2)</f>
        <v>1270</v>
      </c>
      <c r="K758" s="35">
        <f t="shared" si="55"/>
        <v>4.7196850393700789</v>
      </c>
      <c r="L758" s="35">
        <f t="shared" si="56"/>
        <v>4.72027972027972</v>
      </c>
      <c r="M758" s="35">
        <f>4.643125*($T$2)</f>
        <v>9.2862500000000008</v>
      </c>
      <c r="N758" s="35">
        <f>71.9*(5280/3600)</f>
        <v>105.45333333333333</v>
      </c>
      <c r="O758" s="35">
        <f t="shared" si="54"/>
        <v>0.73120078740157479</v>
      </c>
      <c r="P758" s="35">
        <f t="shared" si="57"/>
        <v>43.828175196850395</v>
      </c>
      <c r="Q758" s="35">
        <f>('Batt Capacity and Sys Weight'!$I$5) + (B758*$T$2)</f>
        <v>57.813752999999998</v>
      </c>
      <c r="R758" s="35">
        <f>'Batt Capacity and Sys Weight'!$H$5</f>
        <v>99.9</v>
      </c>
    </row>
    <row r="759" spans="1:18" x14ac:dyDescent="0.3">
      <c r="A759" s="35" t="s">
        <v>108</v>
      </c>
      <c r="B759" s="35">
        <v>13.12</v>
      </c>
      <c r="C759" s="35">
        <v>310</v>
      </c>
      <c r="D759" s="35" t="s">
        <v>1</v>
      </c>
      <c r="E759" s="36" t="str" cm="1">
        <f t="array" ref="E759">GetNumber(D759,1)</f>
        <v>15</v>
      </c>
      <c r="F759" s="36" t="str" cm="1">
        <f t="array" ref="F759">GetNumber(D759,2)</f>
        <v>10</v>
      </c>
      <c r="G759" s="35">
        <v>22.2</v>
      </c>
      <c r="H759" s="35">
        <v>6339</v>
      </c>
      <c r="I759" s="35">
        <f>28.44*($T$2)</f>
        <v>56.88</v>
      </c>
      <c r="J759" s="35">
        <f>631.4*($T$2)</f>
        <v>1262.8</v>
      </c>
      <c r="K759" s="35">
        <f t="shared" si="55"/>
        <v>4.7465948685460884</v>
      </c>
      <c r="L759" s="35">
        <f t="shared" si="56"/>
        <v>4.7468354430379742</v>
      </c>
      <c r="M759" s="35">
        <f>6.7175*($T$2)</f>
        <v>13.435</v>
      </c>
      <c r="N759" s="35">
        <f>60*(5280/3600)</f>
        <v>88</v>
      </c>
      <c r="O759" s="35">
        <f t="shared" si="54"/>
        <v>1.0639056065885335</v>
      </c>
      <c r="P759" s="35">
        <f t="shared" si="57"/>
        <v>63.770502058916698</v>
      </c>
      <c r="Q759" s="35">
        <f>('Batt Capacity and Sys Weight'!$I$5) + (B759*$T$2)</f>
        <v>57.813752999999998</v>
      </c>
      <c r="R759" s="35">
        <f>'Batt Capacity and Sys Weight'!$H$5</f>
        <v>99.9</v>
      </c>
    </row>
    <row r="760" spans="1:18" x14ac:dyDescent="0.3">
      <c r="A760" s="35" t="s">
        <v>108</v>
      </c>
      <c r="B760" s="35">
        <v>13.12</v>
      </c>
      <c r="C760" s="35">
        <v>310</v>
      </c>
      <c r="D760" s="35" t="s">
        <v>3</v>
      </c>
      <c r="E760" s="36" t="str" cm="1">
        <f t="array" ref="E760">GetNumber(D760,1)</f>
        <v>16</v>
      </c>
      <c r="F760" s="36" t="str" cm="1">
        <f t="array" ref="F760">GetNumber(D760,2)</f>
        <v>8</v>
      </c>
      <c r="G760" s="35">
        <v>22.2</v>
      </c>
      <c r="H760" s="35">
        <v>6275</v>
      </c>
      <c r="I760" s="35">
        <f>30.78*($T$2)</f>
        <v>61.56</v>
      </c>
      <c r="J760" s="35">
        <f>683.3*($T$2)</f>
        <v>1366.6</v>
      </c>
      <c r="K760" s="35">
        <f t="shared" si="55"/>
        <v>4.3860676130542959</v>
      </c>
      <c r="L760" s="35">
        <f t="shared" si="56"/>
        <v>4.3859649122807012</v>
      </c>
      <c r="M760" s="35">
        <f>7.855*($T$2)</f>
        <v>15.71</v>
      </c>
      <c r="N760" s="35">
        <f>47.5*(5280/3600)</f>
        <v>69.666666666666657</v>
      </c>
      <c r="O760" s="35">
        <f t="shared" si="54"/>
        <v>1.1495682716230062</v>
      </c>
      <c r="P760" s="35">
        <f t="shared" si="57"/>
        <v>68.905122201082989</v>
      </c>
      <c r="Q760" s="35">
        <f>('Batt Capacity and Sys Weight'!$I$5) + (B760*$T$2)</f>
        <v>57.813752999999998</v>
      </c>
      <c r="R760" s="35">
        <f>'Batt Capacity and Sys Weight'!$H$5</f>
        <v>99.9</v>
      </c>
    </row>
    <row r="761" spans="1:18" x14ac:dyDescent="0.3">
      <c r="A761" s="35" t="s">
        <v>108</v>
      </c>
      <c r="B761" s="35">
        <v>13.12</v>
      </c>
      <c r="C761" s="35">
        <v>310</v>
      </c>
      <c r="D761" s="35" t="s">
        <v>4</v>
      </c>
      <c r="E761" s="36" t="str" cm="1">
        <f t="array" ref="E761">GetNumber(D761,1)</f>
        <v>16</v>
      </c>
      <c r="F761" s="36" t="str" cm="1">
        <f t="array" ref="F761">GetNumber(D761,2)</f>
        <v>10</v>
      </c>
      <c r="G761" s="35">
        <v>22.2</v>
      </c>
      <c r="H761" s="35">
        <v>6180</v>
      </c>
      <c r="I761" s="35">
        <f>34.37*($T$2)</f>
        <v>68.739999999999995</v>
      </c>
      <c r="J761" s="35">
        <f>763.1*($T$2)</f>
        <v>1526.2</v>
      </c>
      <c r="K761" s="35">
        <f t="shared" si="55"/>
        <v>3.9274013890708948</v>
      </c>
      <c r="L761" s="35">
        <f t="shared" si="56"/>
        <v>3.9278440500436425</v>
      </c>
      <c r="M761" s="35">
        <f>8.084375*($T$2)</f>
        <v>16.168749999999999</v>
      </c>
      <c r="N761" s="35">
        <f>58.5*(5280/3600)</f>
        <v>85.8</v>
      </c>
      <c r="O761" s="35">
        <f t="shared" si="54"/>
        <v>1.059412265758092</v>
      </c>
      <c r="P761" s="35">
        <f t="shared" si="57"/>
        <v>63.501171209540026</v>
      </c>
      <c r="Q761" s="35">
        <f>('Batt Capacity and Sys Weight'!$I$5) + (B761*$T$2)</f>
        <v>57.813752999999998</v>
      </c>
      <c r="R761" s="35">
        <f>'Batt Capacity and Sys Weight'!$H$5</f>
        <v>99.9</v>
      </c>
    </row>
    <row r="762" spans="1:18" x14ac:dyDescent="0.3">
      <c r="A762" s="35" t="s">
        <v>108</v>
      </c>
      <c r="B762" s="35">
        <v>13.12</v>
      </c>
      <c r="C762" s="35">
        <v>310</v>
      </c>
      <c r="D762" s="35" t="s">
        <v>6</v>
      </c>
      <c r="E762" s="36" t="str" cm="1">
        <f t="array" ref="E762">GetNumber(D762,1)</f>
        <v>17</v>
      </c>
      <c r="F762" s="36" t="str" cm="1">
        <f t="array" ref="F762">GetNumber(D762,2)</f>
        <v>7</v>
      </c>
      <c r="G762" s="35">
        <v>22.2</v>
      </c>
      <c r="H762" s="35">
        <v>6359</v>
      </c>
      <c r="I762" s="35">
        <f>27.78*($T$2)</f>
        <v>55.56</v>
      </c>
      <c r="J762" s="35">
        <f>616.7*($T$2)</f>
        <v>1233.4000000000001</v>
      </c>
      <c r="K762" s="35">
        <f t="shared" si="55"/>
        <v>4.8597373114966755</v>
      </c>
      <c r="L762" s="35">
        <f t="shared" si="56"/>
        <v>4.8596112311015114</v>
      </c>
      <c r="M762" s="35">
        <f>8.16125*($T$2)</f>
        <v>16.322500000000002</v>
      </c>
      <c r="N762" s="35">
        <f>42.2*(5280/3600)</f>
        <v>61.893333333333331</v>
      </c>
      <c r="O762" s="35">
        <f t="shared" si="54"/>
        <v>1.3233744121939355</v>
      </c>
      <c r="P762" s="35">
        <f t="shared" si="57"/>
        <v>79.3230622669045</v>
      </c>
      <c r="Q762" s="35">
        <f>('Batt Capacity and Sys Weight'!$I$5) + (B762*$T$2)</f>
        <v>57.813752999999998</v>
      </c>
      <c r="R762" s="35">
        <f>'Batt Capacity and Sys Weight'!$H$5</f>
        <v>99.9</v>
      </c>
    </row>
    <row r="763" spans="1:18" x14ac:dyDescent="0.3">
      <c r="A763" s="35" t="s">
        <v>108</v>
      </c>
      <c r="B763" s="35">
        <v>13.12</v>
      </c>
      <c r="C763" s="35">
        <v>310</v>
      </c>
      <c r="D763" s="35" t="s">
        <v>7</v>
      </c>
      <c r="E763" s="36" t="str" cm="1">
        <f t="array" ref="E763">GetNumber(D763,1)</f>
        <v>17</v>
      </c>
      <c r="F763" s="36" t="str" cm="1">
        <f t="array" ref="F763">GetNumber(D763,2)</f>
        <v>8</v>
      </c>
      <c r="G763" s="35">
        <v>22.2</v>
      </c>
      <c r="H763" s="35">
        <v>6182</v>
      </c>
      <c r="I763" s="35">
        <f>34.22*($T$2)</f>
        <v>68.44</v>
      </c>
      <c r="J763" s="35">
        <f>759.6*($T$2)</f>
        <v>1519.2</v>
      </c>
      <c r="K763" s="35">
        <f t="shared" si="55"/>
        <v>3.9454976303317535</v>
      </c>
      <c r="L763" s="35">
        <f t="shared" si="56"/>
        <v>3.9450613676212738</v>
      </c>
      <c r="M763" s="35">
        <f>8.88875*($T$2)</f>
        <v>17.7775</v>
      </c>
      <c r="N763" s="35">
        <f>46.8*(5280/3600)</f>
        <v>68.639999999999986</v>
      </c>
      <c r="O763" s="35">
        <f t="shared" si="54"/>
        <v>1.1701882569773565</v>
      </c>
      <c r="P763" s="35">
        <f t="shared" si="57"/>
        <v>70.141084123222754</v>
      </c>
      <c r="Q763" s="35">
        <f>('Batt Capacity and Sys Weight'!$I$5) + (B763*$T$2)</f>
        <v>57.813752999999998</v>
      </c>
      <c r="R763" s="35">
        <f>'Batt Capacity and Sys Weight'!$H$5</f>
        <v>99.9</v>
      </c>
    </row>
    <row r="764" spans="1:18" x14ac:dyDescent="0.3">
      <c r="A764" s="35" t="s">
        <v>108</v>
      </c>
      <c r="B764" s="35">
        <v>13.12</v>
      </c>
      <c r="C764" s="35">
        <v>310</v>
      </c>
      <c r="D764" s="35" t="s">
        <v>8</v>
      </c>
      <c r="E764" s="36" t="str" cm="1">
        <f t="array" ref="E764">GetNumber(D764,1)</f>
        <v>17</v>
      </c>
      <c r="F764" s="36" t="str" cm="1">
        <f t="array" ref="F764">GetNumber(D764,2)</f>
        <v>10</v>
      </c>
      <c r="G764" s="35">
        <v>22.2</v>
      </c>
      <c r="H764" s="35">
        <v>5990</v>
      </c>
      <c r="I764" s="35">
        <f>41.58*($T$2)</f>
        <v>83.16</v>
      </c>
      <c r="J764" s="35">
        <f>923.1*($T$2)</f>
        <v>1846.2</v>
      </c>
      <c r="K764" s="35">
        <f t="shared" si="55"/>
        <v>3.246668833279168</v>
      </c>
      <c r="L764" s="35">
        <f t="shared" si="56"/>
        <v>3.2467532467532467</v>
      </c>
      <c r="M764" s="35">
        <f>9.250625*($T$2)</f>
        <v>18.501249999999999</v>
      </c>
      <c r="N764" s="35">
        <f>56.7*(5280/3600)</f>
        <v>83.16</v>
      </c>
      <c r="O764" s="35">
        <f t="shared" si="54"/>
        <v>1.0021259885169536</v>
      </c>
      <c r="P764" s="35">
        <f t="shared" si="57"/>
        <v>60.067431751706202</v>
      </c>
      <c r="Q764" s="35">
        <f>('Batt Capacity and Sys Weight'!$I$5) + (B764*$T$2)</f>
        <v>57.813752999999998</v>
      </c>
      <c r="R764" s="35">
        <f>'Batt Capacity and Sys Weight'!$H$5</f>
        <v>99.9</v>
      </c>
    </row>
    <row r="765" spans="1:18" x14ac:dyDescent="0.3">
      <c r="A765" s="35" t="s">
        <v>108</v>
      </c>
      <c r="B765" s="35">
        <v>13.12</v>
      </c>
      <c r="C765" s="35">
        <v>310</v>
      </c>
      <c r="D765" s="35" t="s">
        <v>10</v>
      </c>
      <c r="E765" s="36" t="str" cm="1">
        <f t="array" ref="E765">GetNumber(D765,1)</f>
        <v>18</v>
      </c>
      <c r="F765" s="36" t="str" cm="1">
        <f t="array" ref="F765">GetNumber(D765,2)</f>
        <v>8</v>
      </c>
      <c r="G765" s="35">
        <v>22.2</v>
      </c>
      <c r="H765" s="35">
        <v>6035</v>
      </c>
      <c r="I765" s="35">
        <f>34.94*($T$2)</f>
        <v>69.88</v>
      </c>
      <c r="J765" s="35">
        <f>775.7*($T$2)</f>
        <v>1551.4</v>
      </c>
      <c r="K765" s="35">
        <f t="shared" si="55"/>
        <v>3.8636070645868243</v>
      </c>
      <c r="L765" s="35">
        <f t="shared" si="56"/>
        <v>3.8637664567830572</v>
      </c>
      <c r="M765" s="35">
        <f>9.686875*($T$2)</f>
        <v>19.373750000000001</v>
      </c>
      <c r="N765" s="35">
        <f>45.7*(5280/3600)</f>
        <v>67.026666666666671</v>
      </c>
      <c r="O765" s="35">
        <f t="shared" si="54"/>
        <v>1.2487914142065233</v>
      </c>
      <c r="P765" s="35">
        <f t="shared" si="57"/>
        <v>74.852557367538992</v>
      </c>
      <c r="Q765" s="35">
        <f>('Batt Capacity and Sys Weight'!$I$5) + (B765*$T$2)</f>
        <v>57.813752999999998</v>
      </c>
      <c r="R765" s="35">
        <f>'Batt Capacity and Sys Weight'!$H$5</f>
        <v>99.9</v>
      </c>
    </row>
    <row r="766" spans="1:18" x14ac:dyDescent="0.3">
      <c r="A766" s="35" t="s">
        <v>108</v>
      </c>
      <c r="B766" s="35">
        <v>13.12</v>
      </c>
      <c r="C766" s="35">
        <v>310</v>
      </c>
      <c r="D766" s="35" t="s">
        <v>11</v>
      </c>
      <c r="E766" s="36" t="str" cm="1">
        <f t="array" ref="E766">GetNumber(D766,1)</f>
        <v>18</v>
      </c>
      <c r="F766" s="36" t="str" cm="1">
        <f t="array" ref="F766">GetNumber(D766,2)</f>
        <v>10</v>
      </c>
      <c r="G766" s="35">
        <v>22.2</v>
      </c>
      <c r="H766" s="35">
        <v>5882</v>
      </c>
      <c r="I766" s="35">
        <f>40.33*($T$2)</f>
        <v>80.66</v>
      </c>
      <c r="J766" s="35">
        <f>895.3*($T$2)</f>
        <v>1790.6</v>
      </c>
      <c r="K766" s="35">
        <f t="shared" si="55"/>
        <v>3.3474812911873117</v>
      </c>
      <c r="L766" s="35">
        <f t="shared" si="56"/>
        <v>3.3473840813290359</v>
      </c>
      <c r="M766" s="35">
        <f>10.194375*($T$2)</f>
        <v>20.388750000000002</v>
      </c>
      <c r="N766" s="35">
        <f>55.7*(5280/3600)</f>
        <v>81.693333333333328</v>
      </c>
      <c r="O766" s="35">
        <f t="shared" si="54"/>
        <v>1.1386546409024909</v>
      </c>
      <c r="P766" s="35">
        <f t="shared" si="57"/>
        <v>68.250959175695314</v>
      </c>
      <c r="Q766" s="35">
        <f>('Batt Capacity and Sys Weight'!$I$5) + (B766*$T$2)</f>
        <v>57.813752999999998</v>
      </c>
      <c r="R766" s="35">
        <f>'Batt Capacity and Sys Weight'!$H$5</f>
        <v>99.9</v>
      </c>
    </row>
    <row r="767" spans="1:18" x14ac:dyDescent="0.3">
      <c r="A767" s="35" t="s">
        <v>108</v>
      </c>
      <c r="B767" s="35">
        <v>13.12</v>
      </c>
      <c r="C767" s="35">
        <v>310</v>
      </c>
      <c r="D767" s="35" t="s">
        <v>17</v>
      </c>
      <c r="E767" s="36" t="str" cm="1">
        <f t="array" ref="E767">GetNumber(D767,1)</f>
        <v>15</v>
      </c>
      <c r="F767" s="36" t="str" cm="1">
        <f t="array" ref="F767">GetNumber(D767,2)</f>
        <v>10</v>
      </c>
      <c r="G767" s="35">
        <v>22.2</v>
      </c>
      <c r="H767" s="35">
        <v>6346</v>
      </c>
      <c r="I767" s="35">
        <f>28.37*($T$2)</f>
        <v>56.74</v>
      </c>
      <c r="J767" s="35">
        <f>629.8*($T$2)</f>
        <v>1259.5999999999999</v>
      </c>
      <c r="K767" s="35">
        <f t="shared" si="55"/>
        <v>4.7586535408066064</v>
      </c>
      <c r="L767" s="35">
        <f t="shared" si="56"/>
        <v>4.7585477617201271</v>
      </c>
      <c r="M767" s="35">
        <f>6.033125*($T$2)</f>
        <v>12.06625</v>
      </c>
      <c r="N767" s="35">
        <f>60.1*(5280/3600)</f>
        <v>88.146666666666661</v>
      </c>
      <c r="O767" s="35">
        <f t="shared" si="54"/>
        <v>0.95794299777707226</v>
      </c>
      <c r="P767" s="35">
        <f t="shared" si="57"/>
        <v>57.419103286757718</v>
      </c>
      <c r="Q767" s="35">
        <f>('Batt Capacity and Sys Weight'!$I$5) + (B767*$T$2)</f>
        <v>57.813752999999998</v>
      </c>
      <c r="R767" s="35">
        <f>'Batt Capacity and Sys Weight'!$H$5</f>
        <v>99.9</v>
      </c>
    </row>
    <row r="768" spans="1:18" x14ac:dyDescent="0.3">
      <c r="A768" s="35" t="s">
        <v>108</v>
      </c>
      <c r="B768" s="35">
        <v>13.12</v>
      </c>
      <c r="C768" s="35">
        <v>310</v>
      </c>
      <c r="D768" s="35" t="s">
        <v>19</v>
      </c>
      <c r="E768" s="36" t="str" cm="1">
        <f t="array" ref="E768">GetNumber(D768,1)</f>
        <v>16</v>
      </c>
      <c r="F768" s="36" t="str" cm="1">
        <f t="array" ref="F768">GetNumber(D768,2)</f>
        <v>8</v>
      </c>
      <c r="G768" s="35">
        <v>22.2</v>
      </c>
      <c r="H768" s="35">
        <v>6389</v>
      </c>
      <c r="I768" s="35">
        <f>28.6*($T$2)</f>
        <v>57.2</v>
      </c>
      <c r="J768" s="35">
        <f>634.9*($T$2)</f>
        <v>1269.8</v>
      </c>
      <c r="K768" s="35">
        <f t="shared" si="55"/>
        <v>4.7204284139234529</v>
      </c>
      <c r="L768" s="35">
        <f t="shared" si="56"/>
        <v>4.72027972027972</v>
      </c>
      <c r="M768" s="35">
        <f>7.3825*($T$2)</f>
        <v>14.765000000000001</v>
      </c>
      <c r="N768" s="35">
        <f>48.4*(5280/3600)</f>
        <v>70.986666666666665</v>
      </c>
      <c r="O768" s="35">
        <f t="shared" si="54"/>
        <v>1.1627815404000632</v>
      </c>
      <c r="P768" s="35">
        <f t="shared" si="57"/>
        <v>69.697125531579786</v>
      </c>
      <c r="Q768" s="35">
        <f>('Batt Capacity and Sys Weight'!$I$5) + (B768*$T$2)</f>
        <v>57.813752999999998</v>
      </c>
      <c r="R768" s="35">
        <f>'Batt Capacity and Sys Weight'!$H$5</f>
        <v>99.9</v>
      </c>
    </row>
    <row r="769" spans="1:18" x14ac:dyDescent="0.3">
      <c r="A769" s="35" t="s">
        <v>108</v>
      </c>
      <c r="B769" s="35">
        <v>13.12</v>
      </c>
      <c r="C769" s="35">
        <v>310</v>
      </c>
      <c r="D769" s="35" t="s">
        <v>20</v>
      </c>
      <c r="E769" s="36" t="str" cm="1">
        <f t="array" ref="E769">GetNumber(D769,1)</f>
        <v>16</v>
      </c>
      <c r="F769" s="36" t="str" cm="1">
        <f t="array" ref="F769">GetNumber(D769,2)</f>
        <v>10</v>
      </c>
      <c r="G769" s="35">
        <v>22.2</v>
      </c>
      <c r="H769" s="35">
        <v>6285</v>
      </c>
      <c r="I769" s="35">
        <f>32.52*($T$2)</f>
        <v>65.040000000000006</v>
      </c>
      <c r="J769" s="35">
        <f>721.8*($T$2)</f>
        <v>1443.6</v>
      </c>
      <c r="K769" s="35">
        <f t="shared" si="55"/>
        <v>4.1521197007481296</v>
      </c>
      <c r="L769" s="35">
        <f t="shared" si="56"/>
        <v>4.1512915129151287</v>
      </c>
      <c r="M769" s="35">
        <f>8.04875*($T$2)</f>
        <v>16.0975</v>
      </c>
      <c r="N769" s="35">
        <f>59.5*(5280/3600)</f>
        <v>87.266666666666666</v>
      </c>
      <c r="O769" s="35">
        <f t="shared" si="54"/>
        <v>1.1150942089221392</v>
      </c>
      <c r="P769" s="35">
        <f t="shared" si="57"/>
        <v>66.838746882793018</v>
      </c>
      <c r="Q769" s="35">
        <f>('Batt Capacity and Sys Weight'!$I$5) + (B769*$T$2)</f>
        <v>57.813752999999998</v>
      </c>
      <c r="R769" s="35">
        <f>'Batt Capacity and Sys Weight'!$H$5</f>
        <v>99.9</v>
      </c>
    </row>
    <row r="770" spans="1:18" x14ac:dyDescent="0.3">
      <c r="A770" s="35" t="s">
        <v>108</v>
      </c>
      <c r="B770" s="35">
        <v>13.12</v>
      </c>
      <c r="C770" s="35">
        <v>310</v>
      </c>
      <c r="D770" s="35" t="s">
        <v>21</v>
      </c>
      <c r="E770" s="36" t="str" cm="1">
        <f t="array" ref="E770">GetNumber(D770,1)</f>
        <v>17</v>
      </c>
      <c r="F770" s="36" t="str" cm="1">
        <f t="array" ref="F770">GetNumber(D770,2)</f>
        <v>6</v>
      </c>
      <c r="G770" s="35">
        <v>22.2</v>
      </c>
      <c r="H770" s="35">
        <v>6314</v>
      </c>
      <c r="I770" s="35">
        <f>28.65*($T$2)</f>
        <v>57.3</v>
      </c>
      <c r="J770" s="35">
        <f>636.1*($T$2)</f>
        <v>1272.2</v>
      </c>
      <c r="K770" s="35">
        <f t="shared" si="55"/>
        <v>4.7115233453859462</v>
      </c>
      <c r="L770" s="35">
        <f t="shared" si="56"/>
        <v>4.7120418848167542</v>
      </c>
      <c r="M770" s="35">
        <f>7.695625*($T$2)</f>
        <v>15.391249999999999</v>
      </c>
      <c r="N770" s="35">
        <f>35.9*(5280/3600)</f>
        <v>52.653333333333329</v>
      </c>
      <c r="O770" s="35">
        <f t="shared" ref="O770:O833" si="58" xml:space="preserve"> (M770/J770)*100</f>
        <v>1.2098137085363936</v>
      </c>
      <c r="P770" s="35">
        <f t="shared" si="57"/>
        <v>72.516233689671438</v>
      </c>
      <c r="Q770" s="35">
        <f>('Batt Capacity and Sys Weight'!$I$5) + (B770*$T$2)</f>
        <v>57.813752999999998</v>
      </c>
      <c r="R770" s="35">
        <f>'Batt Capacity and Sys Weight'!$H$5</f>
        <v>99.9</v>
      </c>
    </row>
    <row r="771" spans="1:18" x14ac:dyDescent="0.3">
      <c r="A771" s="35" t="s">
        <v>108</v>
      </c>
      <c r="B771" s="35">
        <v>13.12</v>
      </c>
      <c r="C771" s="35">
        <v>310</v>
      </c>
      <c r="D771" s="35" t="s">
        <v>22</v>
      </c>
      <c r="E771" s="36" t="str" cm="1">
        <f t="array" ref="E771">GetNumber(D771,1)</f>
        <v>17</v>
      </c>
      <c r="F771" s="36" t="str" cm="1">
        <f t="array" ref="F771">GetNumber(D771,2)</f>
        <v>8</v>
      </c>
      <c r="G771" s="35">
        <v>22.2</v>
      </c>
      <c r="H771" s="35">
        <v>6263</v>
      </c>
      <c r="I771" s="35">
        <f>32.86*($T$2)</f>
        <v>65.72</v>
      </c>
      <c r="J771" s="35">
        <f>729.5*($T$2)</f>
        <v>1459</v>
      </c>
      <c r="K771" s="35">
        <f t="shared" ref="K771:K834" si="59" xml:space="preserve"> (R771/J771)*60</f>
        <v>4.1082933516106923</v>
      </c>
      <c r="L771" s="35">
        <f t="shared" ref="L771:L834" si="60">( (R771/G771)/I771)*60</f>
        <v>4.1083384053560561</v>
      </c>
      <c r="M771" s="35">
        <f>8.724375*($T$2)</f>
        <v>17.44875</v>
      </c>
      <c r="N771" s="35">
        <f>47.4*(5280/3600)</f>
        <v>69.52</v>
      </c>
      <c r="O771" s="35">
        <f t="shared" si="58"/>
        <v>1.195938999314599</v>
      </c>
      <c r="P771" s="35">
        <f t="shared" si="57"/>
        <v>71.684583618917074</v>
      </c>
      <c r="Q771" s="35">
        <f>('Batt Capacity and Sys Weight'!$I$5) + (B771*$T$2)</f>
        <v>57.813752999999998</v>
      </c>
      <c r="R771" s="35">
        <f>'Batt Capacity and Sys Weight'!$H$5</f>
        <v>99.9</v>
      </c>
    </row>
    <row r="772" spans="1:18" x14ac:dyDescent="0.3">
      <c r="A772" s="35" t="s">
        <v>108</v>
      </c>
      <c r="B772" s="35">
        <v>13.12</v>
      </c>
      <c r="C772" s="35">
        <v>310</v>
      </c>
      <c r="D772" s="35" t="s">
        <v>23</v>
      </c>
      <c r="E772" s="36" t="str" cm="1">
        <f t="array" ref="E772">GetNumber(D772,1)</f>
        <v>17</v>
      </c>
      <c r="F772" s="36" t="str" cm="1">
        <f t="array" ref="F772">GetNumber(D772,2)</f>
        <v>10</v>
      </c>
      <c r="G772" s="35">
        <v>22.2</v>
      </c>
      <c r="H772" s="35">
        <v>6025</v>
      </c>
      <c r="I772" s="35">
        <f>40.69*($T$2)</f>
        <v>81.38</v>
      </c>
      <c r="J772" s="35">
        <f>903.3*($T$2)</f>
        <v>1806.6</v>
      </c>
      <c r="K772" s="35">
        <f t="shared" si="59"/>
        <v>3.3178346064430424</v>
      </c>
      <c r="L772" s="35">
        <f t="shared" si="60"/>
        <v>3.3177684934873435</v>
      </c>
      <c r="M772" s="35">
        <f>9.415625*($T$2)</f>
        <v>18.831250000000001</v>
      </c>
      <c r="N772" s="35">
        <f>57.1*(5280/3600)</f>
        <v>83.74666666666667</v>
      </c>
      <c r="O772" s="35">
        <f t="shared" si="58"/>
        <v>1.0423585741171262</v>
      </c>
      <c r="P772" s="35">
        <f t="shared" si="57"/>
        <v>62.478972932580547</v>
      </c>
      <c r="Q772" s="35">
        <f>('Batt Capacity and Sys Weight'!$I$5) + (B772*$T$2)</f>
        <v>57.813752999999998</v>
      </c>
      <c r="R772" s="35">
        <f>'Batt Capacity and Sys Weight'!$H$5</f>
        <v>99.9</v>
      </c>
    </row>
    <row r="773" spans="1:18" x14ac:dyDescent="0.3">
      <c r="A773" s="35" t="s">
        <v>108</v>
      </c>
      <c r="B773" s="35">
        <v>13.12</v>
      </c>
      <c r="C773" s="35">
        <v>310</v>
      </c>
      <c r="D773" s="35" t="s">
        <v>24</v>
      </c>
      <c r="E773" s="36" t="str" cm="1">
        <f t="array" ref="E773">GetNumber(D773,1)</f>
        <v>18</v>
      </c>
      <c r="F773" s="36" t="str" cm="1">
        <f t="array" ref="F773">GetNumber(D773,2)</f>
        <v>8</v>
      </c>
      <c r="G773" s="35">
        <v>22.2</v>
      </c>
      <c r="H773" s="35">
        <v>6053</v>
      </c>
      <c r="I773" s="35">
        <f>35.26*($T$2)</f>
        <v>70.52</v>
      </c>
      <c r="J773" s="35">
        <f>782.7*($T$2)</f>
        <v>1565.4</v>
      </c>
      <c r="K773" s="35">
        <f t="shared" si="59"/>
        <v>3.8290532771176697</v>
      </c>
      <c r="L773" s="35">
        <f t="shared" si="60"/>
        <v>3.8287010777084518</v>
      </c>
      <c r="M773" s="35">
        <f>9.346875*($T$2)</f>
        <v>18.693750000000001</v>
      </c>
      <c r="N773" s="35">
        <f>45.9*(5280/3600)</f>
        <v>67.319999999999993</v>
      </c>
      <c r="O773" s="35">
        <f t="shared" si="58"/>
        <v>1.1941835952472213</v>
      </c>
      <c r="P773" s="35">
        <f t="shared" si="57"/>
        <v>71.579364699118443</v>
      </c>
      <c r="Q773" s="35">
        <f>('Batt Capacity and Sys Weight'!$I$5) + (B773*$T$2)</f>
        <v>57.813752999999998</v>
      </c>
      <c r="R773" s="35">
        <f>'Batt Capacity and Sys Weight'!$H$5</f>
        <v>99.9</v>
      </c>
    </row>
    <row r="774" spans="1:18" x14ac:dyDescent="0.3">
      <c r="A774" s="35" t="s">
        <v>108</v>
      </c>
      <c r="B774" s="35">
        <v>13.12</v>
      </c>
      <c r="C774" s="35">
        <v>310</v>
      </c>
      <c r="D774" s="35" t="s">
        <v>27</v>
      </c>
      <c r="E774" s="36" t="str" cm="1">
        <f t="array" ref="E774">GetNumber(D774,1)</f>
        <v>14</v>
      </c>
      <c r="F774" s="36" t="str" cm="1">
        <f t="array" ref="F774">GetNumber(D774,2)</f>
        <v>9</v>
      </c>
      <c r="G774" s="35">
        <v>22.2</v>
      </c>
      <c r="H774" s="35">
        <v>6413</v>
      </c>
      <c r="I774" s="35">
        <f>26.01*($T$2)</f>
        <v>52.02</v>
      </c>
      <c r="J774" s="35">
        <f>577.4*($T$2)</f>
        <v>1154.8</v>
      </c>
      <c r="K774" s="35">
        <f t="shared" si="59"/>
        <v>5.1905091790786289</v>
      </c>
      <c r="L774" s="35">
        <f t="shared" si="60"/>
        <v>5.1903114186851207</v>
      </c>
      <c r="M774" s="35">
        <f>6.83*($T$2)</f>
        <v>13.66</v>
      </c>
      <c r="N774" s="35">
        <f>54.7*(5280/3600)</f>
        <v>80.226666666666659</v>
      </c>
      <c r="O774" s="35">
        <f t="shared" si="58"/>
        <v>1.1828888119154832</v>
      </c>
      <c r="P774" s="35">
        <f t="shared" si="57"/>
        <v>70.902355386214069</v>
      </c>
      <c r="Q774" s="35">
        <f>('Batt Capacity and Sys Weight'!$I$5) + (B774*$T$2)</f>
        <v>57.813752999999998</v>
      </c>
      <c r="R774" s="35">
        <f>'Batt Capacity and Sys Weight'!$H$5</f>
        <v>99.9</v>
      </c>
    </row>
    <row r="775" spans="1:18" x14ac:dyDescent="0.3">
      <c r="A775" s="35" t="s">
        <v>108</v>
      </c>
      <c r="B775" s="35">
        <v>13.12</v>
      </c>
      <c r="C775" s="35">
        <v>310</v>
      </c>
      <c r="D775" s="35" t="s">
        <v>28</v>
      </c>
      <c r="E775" s="36" t="str" cm="1">
        <f t="array" ref="E775">GetNumber(D775,1)</f>
        <v>15</v>
      </c>
      <c r="F775" s="36" t="str" cm="1">
        <f t="array" ref="F775">GetNumber(D775,2)</f>
        <v>7</v>
      </c>
      <c r="G775" s="35">
        <v>22.2</v>
      </c>
      <c r="H775" s="35">
        <v>6375</v>
      </c>
      <c r="I775" s="35">
        <f>27.23*($T$2)</f>
        <v>54.46</v>
      </c>
      <c r="J775" s="35">
        <f>604.6*($T$2)</f>
        <v>1209.2</v>
      </c>
      <c r="K775" s="35">
        <f t="shared" si="59"/>
        <v>4.9569963612305656</v>
      </c>
      <c r="L775" s="35">
        <f t="shared" si="60"/>
        <v>4.9577671685640841</v>
      </c>
      <c r="M775" s="35">
        <f>7.34375*($T$2)</f>
        <v>14.6875</v>
      </c>
      <c r="N775" s="35">
        <f>42.3*(5280/3600)</f>
        <v>62.039999999999992</v>
      </c>
      <c r="O775" s="35">
        <f t="shared" si="58"/>
        <v>1.2146460469732052</v>
      </c>
      <c r="P775" s="35">
        <f t="shared" si="57"/>
        <v>72.805884055573927</v>
      </c>
      <c r="Q775" s="35">
        <f>('Batt Capacity and Sys Weight'!$I$5) + (B775*$T$2)</f>
        <v>57.813752999999998</v>
      </c>
      <c r="R775" s="35">
        <f>'Batt Capacity and Sys Weight'!$H$5</f>
        <v>99.9</v>
      </c>
    </row>
    <row r="776" spans="1:18" x14ac:dyDescent="0.3">
      <c r="A776" s="35" t="s">
        <v>108</v>
      </c>
      <c r="B776" s="35">
        <v>13.12</v>
      </c>
      <c r="C776" s="35">
        <v>310</v>
      </c>
      <c r="D776" s="35" t="s">
        <v>29</v>
      </c>
      <c r="E776" s="36" t="str" cm="1">
        <f t="array" ref="E776">GetNumber(D776,1)</f>
        <v>16</v>
      </c>
      <c r="F776" s="36" t="str" cm="1">
        <f t="array" ref="F776">GetNumber(D776,2)</f>
        <v>8</v>
      </c>
      <c r="G776" s="35">
        <v>22.2</v>
      </c>
      <c r="H776" s="35">
        <v>6233</v>
      </c>
      <c r="I776" s="35">
        <f>32.37*($T$2)</f>
        <v>64.739999999999995</v>
      </c>
      <c r="J776" s="35">
        <f>718.6*($T$2)</f>
        <v>1437.2</v>
      </c>
      <c r="K776" s="35">
        <f t="shared" si="59"/>
        <v>4.1706095185082104</v>
      </c>
      <c r="L776" s="35">
        <f t="shared" si="60"/>
        <v>4.1705282669138093</v>
      </c>
      <c r="M776" s="35">
        <f>8.5275*($T$2)</f>
        <v>17.055</v>
      </c>
      <c r="N776" s="35">
        <f>47.2*(5280/3600)</f>
        <v>69.226666666666659</v>
      </c>
      <c r="O776" s="35">
        <f t="shared" si="58"/>
        <v>1.1866824380740328</v>
      </c>
      <c r="P776" s="35">
        <f t="shared" si="57"/>
        <v>71.129745338157534</v>
      </c>
      <c r="Q776" s="35">
        <f>('Batt Capacity and Sys Weight'!$I$5) + (B776*$T$2)</f>
        <v>57.813752999999998</v>
      </c>
      <c r="R776" s="35">
        <f>'Batt Capacity and Sys Weight'!$H$5</f>
        <v>99.9</v>
      </c>
    </row>
    <row r="777" spans="1:18" x14ac:dyDescent="0.3">
      <c r="A777" s="35" t="s">
        <v>108</v>
      </c>
      <c r="B777" s="35">
        <v>13.12</v>
      </c>
      <c r="C777" s="35">
        <v>310</v>
      </c>
      <c r="D777" s="35" t="s">
        <v>30</v>
      </c>
      <c r="E777" s="36" t="str" cm="1">
        <f t="array" ref="E777">GetNumber(D777,1)</f>
        <v>16</v>
      </c>
      <c r="F777" s="36" t="str" cm="1">
        <f t="array" ref="F777">GetNumber(D777,2)</f>
        <v>10</v>
      </c>
      <c r="G777" s="35">
        <v>22.2</v>
      </c>
      <c r="H777" s="35">
        <v>5996</v>
      </c>
      <c r="I777" s="35">
        <f>41.41*($T$2)</f>
        <v>82.82</v>
      </c>
      <c r="J777" s="35">
        <f>919.2*($T$2)</f>
        <v>1838.4</v>
      </c>
      <c r="K777" s="35">
        <f t="shared" si="59"/>
        <v>3.2604438642297651</v>
      </c>
      <c r="L777" s="35">
        <f t="shared" si="60"/>
        <v>3.260082105771553</v>
      </c>
      <c r="M777" s="35">
        <f>9.91625*($T$2)</f>
        <v>19.8325</v>
      </c>
      <c r="N777" s="35">
        <f>56.8*(5280/3600)</f>
        <v>83.306666666666658</v>
      </c>
      <c r="O777" s="35">
        <f t="shared" si="58"/>
        <v>1.0787913402959095</v>
      </c>
      <c r="P777" s="35">
        <f t="shared" si="57"/>
        <v>64.662752937336819</v>
      </c>
      <c r="Q777" s="35">
        <f>('Batt Capacity and Sys Weight'!$I$5) + (B777*$T$2)</f>
        <v>57.813752999999998</v>
      </c>
      <c r="R777" s="35">
        <f>'Batt Capacity and Sys Weight'!$H$5</f>
        <v>99.9</v>
      </c>
    </row>
    <row r="778" spans="1:18" x14ac:dyDescent="0.3">
      <c r="A778" s="35" t="s">
        <v>108</v>
      </c>
      <c r="B778" s="35">
        <v>13.12</v>
      </c>
      <c r="C778" s="35">
        <v>310</v>
      </c>
      <c r="D778" s="35" t="s">
        <v>34</v>
      </c>
      <c r="E778" s="36" t="str" cm="1">
        <f t="array" ref="E778">GetNumber(D778,1)</f>
        <v>12</v>
      </c>
      <c r="F778" s="36" t="str" cm="1">
        <f t="array" ref="F778">GetNumber(D778,2)</f>
        <v>12</v>
      </c>
      <c r="G778" s="35">
        <v>29.6</v>
      </c>
      <c r="H778" s="35">
        <v>8530</v>
      </c>
      <c r="I778" s="35">
        <f>28.64*($T$2)</f>
        <v>57.28</v>
      </c>
      <c r="J778" s="35">
        <f>847.7*($T$2)</f>
        <v>1695.4</v>
      </c>
      <c r="K778" s="35">
        <f t="shared" si="59"/>
        <v>3.53898784947505</v>
      </c>
      <c r="L778" s="35">
        <f t="shared" si="60"/>
        <v>3.5388041672957868</v>
      </c>
      <c r="M778" s="35">
        <f>5.070625*($T$2)</f>
        <v>10.141249999999999</v>
      </c>
      <c r="N778" s="35">
        <f>96.9*(5280/3600)</f>
        <v>142.12</v>
      </c>
      <c r="O778" s="35">
        <f t="shared" si="58"/>
        <v>0.59816267547481405</v>
      </c>
      <c r="P778" s="35">
        <f t="shared" si="57"/>
        <v>35.88976052848885</v>
      </c>
      <c r="Q778" s="35">
        <v>0</v>
      </c>
      <c r="R778" s="35">
        <f t="shared" ref="R778:R810" si="61">$T$1</f>
        <v>100</v>
      </c>
    </row>
    <row r="779" spans="1:18" x14ac:dyDescent="0.3">
      <c r="A779" s="35" t="s">
        <v>108</v>
      </c>
      <c r="B779" s="35">
        <v>13.12</v>
      </c>
      <c r="C779" s="35">
        <v>310</v>
      </c>
      <c r="D779" s="35" t="s">
        <v>37</v>
      </c>
      <c r="E779" s="36" t="str" cm="1">
        <f t="array" ref="E779">GetNumber(D779,1)</f>
        <v>13</v>
      </c>
      <c r="F779" s="36" t="str" cm="1">
        <f t="array" ref="F779">GetNumber(D779,2)</f>
        <v>10</v>
      </c>
      <c r="G779" s="35">
        <v>29.6</v>
      </c>
      <c r="H779" s="35">
        <v>8334</v>
      </c>
      <c r="I779" s="35">
        <f>35.28*($T$2)</f>
        <v>70.56</v>
      </c>
      <c r="J779" s="35">
        <f>1044.1*($T$2)</f>
        <v>2088.1999999999998</v>
      </c>
      <c r="K779" s="35">
        <f t="shared" si="59"/>
        <v>2.8732879992337899</v>
      </c>
      <c r="L779" s="35">
        <f t="shared" si="60"/>
        <v>2.8727707299135865</v>
      </c>
      <c r="M779" s="35">
        <f>6.6625*($T$2)</f>
        <v>13.324999999999999</v>
      </c>
      <c r="N779" s="35">
        <f>78.9*(5280/3600)</f>
        <v>115.72</v>
      </c>
      <c r="O779" s="35">
        <f t="shared" si="58"/>
        <v>0.63810937649650423</v>
      </c>
      <c r="P779" s="35">
        <f t="shared" si="57"/>
        <v>38.28656258979025</v>
      </c>
      <c r="Q779" s="35">
        <v>0</v>
      </c>
      <c r="R779" s="35">
        <f t="shared" si="61"/>
        <v>100</v>
      </c>
    </row>
    <row r="780" spans="1:18" x14ac:dyDescent="0.3">
      <c r="A780" s="35" t="s">
        <v>108</v>
      </c>
      <c r="B780" s="35">
        <v>13.12</v>
      </c>
      <c r="C780" s="35">
        <v>310</v>
      </c>
      <c r="D780" s="35" t="s">
        <v>39</v>
      </c>
      <c r="E780" s="36" t="str" cm="1">
        <f t="array" ref="E780">GetNumber(D780,1)</f>
        <v>14</v>
      </c>
      <c r="F780" s="36" t="str" cm="1">
        <f t="array" ref="F780">GetNumber(D780,2)</f>
        <v>7</v>
      </c>
      <c r="G780" s="35">
        <v>29.6</v>
      </c>
      <c r="H780" s="35">
        <v>8474</v>
      </c>
      <c r="I780" s="35">
        <f>30.45*($T$2)</f>
        <v>60.9</v>
      </c>
      <c r="J780" s="35">
        <f>901.3*($T$2)</f>
        <v>1802.6</v>
      </c>
      <c r="K780" s="35">
        <f t="shared" si="59"/>
        <v>3.3285254632197936</v>
      </c>
      <c r="L780" s="35">
        <f t="shared" si="60"/>
        <v>3.3284516043136732</v>
      </c>
      <c r="M780" s="35">
        <f>8.32*($T$2)</f>
        <v>16.64</v>
      </c>
      <c r="N780" s="35">
        <f>56.2*(5280/3600)</f>
        <v>82.426666666666662</v>
      </c>
      <c r="O780" s="35">
        <f t="shared" si="58"/>
        <v>0.92311106179962277</v>
      </c>
      <c r="P780" s="35">
        <f t="shared" si="57"/>
        <v>55.38666370797737</v>
      </c>
      <c r="Q780" s="35">
        <v>0</v>
      </c>
      <c r="R780" s="35">
        <f t="shared" si="61"/>
        <v>100</v>
      </c>
    </row>
    <row r="781" spans="1:18" x14ac:dyDescent="0.3">
      <c r="A781" s="35" t="s">
        <v>108</v>
      </c>
      <c r="B781" s="35">
        <v>13.12</v>
      </c>
      <c r="C781" s="35">
        <v>310</v>
      </c>
      <c r="D781" s="35" t="s">
        <v>40</v>
      </c>
      <c r="E781" s="36" t="str" cm="1">
        <f t="array" ref="E781">GetNumber(D781,1)</f>
        <v>14</v>
      </c>
      <c r="F781" s="36" cm="1">
        <f t="array" ref="F781">GetNumber(D781,2)+(GetNumber(D781,3)/10)</f>
        <v>8.5</v>
      </c>
      <c r="G781" s="35">
        <v>29.6</v>
      </c>
      <c r="H781" s="35">
        <v>8432</v>
      </c>
      <c r="I781" s="35">
        <f>31.68*($T$2)</f>
        <v>63.36</v>
      </c>
      <c r="J781" s="35">
        <f>937.8*($T$2)</f>
        <v>1875.6</v>
      </c>
      <c r="K781" s="35">
        <f t="shared" si="59"/>
        <v>3.1989763275751764</v>
      </c>
      <c r="L781" s="35">
        <f t="shared" si="60"/>
        <v>3.1992219492219491</v>
      </c>
      <c r="M781" s="35">
        <f>8.483125*($T$2)</f>
        <v>16.966249999999999</v>
      </c>
      <c r="N781" s="35">
        <f>67.9*(5280/3600)</f>
        <v>99.586666666666673</v>
      </c>
      <c r="O781" s="35">
        <f t="shared" si="58"/>
        <v>0.90457720196203872</v>
      </c>
      <c r="P781" s="35">
        <f t="shared" si="57"/>
        <v>54.274632117722334</v>
      </c>
      <c r="Q781" s="35">
        <v>0</v>
      </c>
      <c r="R781" s="35">
        <f t="shared" si="61"/>
        <v>100</v>
      </c>
    </row>
    <row r="782" spans="1:18" x14ac:dyDescent="0.3">
      <c r="A782" s="35" t="s">
        <v>108</v>
      </c>
      <c r="B782" s="35">
        <v>13.12</v>
      </c>
      <c r="C782" s="35">
        <v>310</v>
      </c>
      <c r="D782" s="35" t="s">
        <v>41</v>
      </c>
      <c r="E782" s="36" t="str" cm="1">
        <f t="array" ref="E782">GetNumber(D782,1)</f>
        <v>14</v>
      </c>
      <c r="F782" s="36" t="str" cm="1">
        <f t="array" ref="F782">GetNumber(D782,2)</f>
        <v>10</v>
      </c>
      <c r="G782" s="35">
        <v>29.6</v>
      </c>
      <c r="H782" s="35">
        <v>8435</v>
      </c>
      <c r="I782" s="35">
        <f>31.6*($T$2)</f>
        <v>63.2</v>
      </c>
      <c r="J782" s="35">
        <f>935.2*($T$2)</f>
        <v>1870.4</v>
      </c>
      <c r="K782" s="35">
        <f t="shared" si="59"/>
        <v>3.20786997433704</v>
      </c>
      <c r="L782" s="35">
        <f t="shared" si="60"/>
        <v>3.2073212452959283</v>
      </c>
      <c r="M782" s="35">
        <f>8.364375*($T$2)</f>
        <v>16.728750000000002</v>
      </c>
      <c r="N782" s="35">
        <f>79.9*(5280/3600)</f>
        <v>117.18666666666667</v>
      </c>
      <c r="O782" s="35">
        <f t="shared" si="58"/>
        <v>0.89439424721984606</v>
      </c>
      <c r="P782" s="35">
        <f t="shared" si="57"/>
        <v>53.663654833190762</v>
      </c>
      <c r="Q782" s="35">
        <v>0</v>
      </c>
      <c r="R782" s="35">
        <f t="shared" si="61"/>
        <v>100</v>
      </c>
    </row>
    <row r="783" spans="1:18" x14ac:dyDescent="0.3">
      <c r="A783" s="35" t="s">
        <v>108</v>
      </c>
      <c r="B783" s="35">
        <v>13.12</v>
      </c>
      <c r="C783" s="35">
        <v>310</v>
      </c>
      <c r="D783" s="35" t="s">
        <v>43</v>
      </c>
      <c r="E783" s="36" t="str" cm="1">
        <f t="array" ref="E783">GetNumber(D783,1)</f>
        <v>15</v>
      </c>
      <c r="F783" s="36" t="str" cm="1">
        <f t="array" ref="F783">GetNumber(D783,2)</f>
        <v>6</v>
      </c>
      <c r="G783" s="35">
        <v>29.6</v>
      </c>
      <c r="H783" s="35">
        <v>8445</v>
      </c>
      <c r="I783" s="35">
        <f>31.53*($T$2)</f>
        <v>63.06</v>
      </c>
      <c r="J783" s="35">
        <f>933.3*($T$2)</f>
        <v>1866.6</v>
      </c>
      <c r="K783" s="35">
        <f t="shared" si="59"/>
        <v>3.2144005143040824</v>
      </c>
      <c r="L783" s="35">
        <f t="shared" si="60"/>
        <v>3.2144418443181522</v>
      </c>
      <c r="M783" s="35">
        <f>9.69125*($T$2)</f>
        <v>19.3825</v>
      </c>
      <c r="N783" s="35">
        <f>48*(5280/3600)</f>
        <v>70.399999999999991</v>
      </c>
      <c r="O783" s="35">
        <f t="shared" si="58"/>
        <v>1.0383852994749814</v>
      </c>
      <c r="P783" s="35">
        <f t="shared" si="57"/>
        <v>62.303117968498874</v>
      </c>
      <c r="Q783" s="35">
        <v>0</v>
      </c>
      <c r="R783" s="35">
        <f t="shared" si="61"/>
        <v>100</v>
      </c>
    </row>
    <row r="784" spans="1:18" x14ac:dyDescent="0.3">
      <c r="A784" s="35" t="s">
        <v>108</v>
      </c>
      <c r="B784" s="35">
        <v>13.12</v>
      </c>
      <c r="C784" s="35">
        <v>310</v>
      </c>
      <c r="D784" s="35" t="s">
        <v>44</v>
      </c>
      <c r="E784" s="36" t="str" cm="1">
        <f t="array" ref="E784">GetNumber(D784,1)</f>
        <v>15</v>
      </c>
      <c r="F784" s="36" t="str" cm="1">
        <f t="array" ref="F784">GetNumber(D784,2)</f>
        <v>7</v>
      </c>
      <c r="G784" s="35">
        <v>29.6</v>
      </c>
      <c r="H784" s="35">
        <v>8462</v>
      </c>
      <c r="I784" s="35">
        <f>30.95*($T$2)</f>
        <v>61.9</v>
      </c>
      <c r="J784" s="35">
        <f>916.1*($T$2)</f>
        <v>1832.2</v>
      </c>
      <c r="K784" s="35">
        <f t="shared" si="59"/>
        <v>3.2747516646654296</v>
      </c>
      <c r="L784" s="35">
        <f t="shared" si="60"/>
        <v>3.2746801729031128</v>
      </c>
      <c r="M784" s="35">
        <f>9.60125*($T$2)</f>
        <v>19.202500000000001</v>
      </c>
      <c r="N784" s="35">
        <f>56.1*(5280/3600)</f>
        <v>82.28</v>
      </c>
      <c r="O784" s="35">
        <f t="shared" si="58"/>
        <v>1.048056980678965</v>
      </c>
      <c r="P784" s="35">
        <f t="shared" si="57"/>
        <v>62.88341884073791</v>
      </c>
      <c r="Q784" s="35">
        <v>0</v>
      </c>
      <c r="R784" s="35">
        <f t="shared" si="61"/>
        <v>100</v>
      </c>
    </row>
    <row r="785" spans="1:18" x14ac:dyDescent="0.3">
      <c r="A785" s="35" t="s">
        <v>108</v>
      </c>
      <c r="B785" s="35">
        <v>13.12</v>
      </c>
      <c r="C785" s="35">
        <v>310</v>
      </c>
      <c r="D785" s="35" t="s">
        <v>0</v>
      </c>
      <c r="E785" s="36" t="str" cm="1">
        <f t="array" ref="E785">GetNumber(D785,1)</f>
        <v>15</v>
      </c>
      <c r="F785" s="36" t="str" cm="1">
        <f t="array" ref="F785">GetNumber(D785,2)</f>
        <v>8</v>
      </c>
      <c r="G785" s="35">
        <v>29.6</v>
      </c>
      <c r="H785" s="35">
        <v>8370</v>
      </c>
      <c r="I785" s="35">
        <f>34.06*($T$2)</f>
        <v>68.12</v>
      </c>
      <c r="J785" s="35">
        <f>1008.1*($T$2)</f>
        <v>2016.2</v>
      </c>
      <c r="K785" s="35">
        <f t="shared" si="59"/>
        <v>2.975895248487253</v>
      </c>
      <c r="L785" s="35">
        <f t="shared" si="60"/>
        <v>2.9756709146022118</v>
      </c>
      <c r="M785" s="35">
        <f>9.6075*($T$2)</f>
        <v>19.215</v>
      </c>
      <c r="N785" s="35">
        <f>63.4*(5280/3600)</f>
        <v>92.986666666666665</v>
      </c>
      <c r="O785" s="35">
        <f t="shared" si="58"/>
        <v>0.95303045332804281</v>
      </c>
      <c r="P785" s="35">
        <f t="shared" ref="P785:P848" si="62">M785*K785</f>
        <v>57.181827199682566</v>
      </c>
      <c r="Q785" s="35">
        <v>0</v>
      </c>
      <c r="R785" s="35">
        <f t="shared" si="61"/>
        <v>100</v>
      </c>
    </row>
    <row r="786" spans="1:18" x14ac:dyDescent="0.3">
      <c r="A786" s="35" t="s">
        <v>108</v>
      </c>
      <c r="B786" s="35">
        <v>13.12</v>
      </c>
      <c r="C786" s="35">
        <v>310</v>
      </c>
      <c r="D786" s="35" t="s">
        <v>2</v>
      </c>
      <c r="E786" s="36" t="str" cm="1">
        <f t="array" ref="E786">GetNumber(D786,1)</f>
        <v>16</v>
      </c>
      <c r="F786" s="36" t="str" cm="1">
        <f t="array" ref="F786">GetNumber(D786,2)</f>
        <v>7</v>
      </c>
      <c r="G786" s="35">
        <v>29.6</v>
      </c>
      <c r="H786" s="35">
        <v>8012</v>
      </c>
      <c r="I786" s="35">
        <f>40.41*($T$2)</f>
        <v>80.819999999999993</v>
      </c>
      <c r="J786" s="35">
        <f>1196.1*($T$2)</f>
        <v>2392.1999999999998</v>
      </c>
      <c r="K786" s="35">
        <f t="shared" si="59"/>
        <v>2.5081514923501382</v>
      </c>
      <c r="L786" s="35">
        <f t="shared" si="60"/>
        <v>2.5080760047352473</v>
      </c>
      <c r="M786" s="35">
        <f>11.874375*($T$2)</f>
        <v>23.748750000000001</v>
      </c>
      <c r="N786" s="35">
        <f>53.1*(5280/3600)</f>
        <v>77.88</v>
      </c>
      <c r="O786" s="35">
        <f t="shared" si="58"/>
        <v>0.99275771256583911</v>
      </c>
      <c r="P786" s="35">
        <f t="shared" si="62"/>
        <v>59.565462753950349</v>
      </c>
      <c r="Q786" s="35">
        <v>0</v>
      </c>
      <c r="R786" s="35">
        <f t="shared" si="61"/>
        <v>100</v>
      </c>
    </row>
    <row r="787" spans="1:18" x14ac:dyDescent="0.3">
      <c r="A787" s="35" t="s">
        <v>108</v>
      </c>
      <c r="B787" s="35">
        <v>13.12</v>
      </c>
      <c r="C787" s="35">
        <v>310</v>
      </c>
      <c r="D787" s="35" t="s">
        <v>46</v>
      </c>
      <c r="E787" s="36" t="str" cm="1">
        <f t="array" ref="E787">GetNumber(D787,1)</f>
        <v>13</v>
      </c>
      <c r="F787" s="36" t="str" cm="1">
        <f t="array" ref="F787">GetNumber(D787,2)</f>
        <v>10</v>
      </c>
      <c r="G787" s="35">
        <v>29.6</v>
      </c>
      <c r="H787" s="35">
        <v>8398</v>
      </c>
      <c r="I787" s="35">
        <f>33.99*($T$2)</f>
        <v>67.98</v>
      </c>
      <c r="J787" s="35">
        <f>1006.2*($T$2)</f>
        <v>2012.4</v>
      </c>
      <c r="K787" s="35">
        <f t="shared" si="59"/>
        <v>2.9815146094215859</v>
      </c>
      <c r="L787" s="35">
        <f t="shared" si="60"/>
        <v>2.9817990983039522</v>
      </c>
      <c r="M787" s="35">
        <f>6.310625*($T$2)</f>
        <v>12.62125</v>
      </c>
      <c r="N787" s="35">
        <f>79.5*(5280/3600)</f>
        <v>116.6</v>
      </c>
      <c r="O787" s="35">
        <f t="shared" si="58"/>
        <v>0.62717402106936992</v>
      </c>
      <c r="P787" s="35">
        <f t="shared" si="62"/>
        <v>37.630441264162187</v>
      </c>
      <c r="Q787" s="35">
        <v>0</v>
      </c>
      <c r="R787" s="35">
        <f t="shared" si="61"/>
        <v>100</v>
      </c>
    </row>
    <row r="788" spans="1:18" x14ac:dyDescent="0.3">
      <c r="A788" s="35" t="s">
        <v>108</v>
      </c>
      <c r="B788" s="35">
        <v>13.12</v>
      </c>
      <c r="C788" s="35">
        <v>310</v>
      </c>
      <c r="D788" s="35" t="s">
        <v>48</v>
      </c>
      <c r="E788" s="36" t="str" cm="1">
        <f t="array" ref="E788">GetNumber(D788,1)</f>
        <v>14</v>
      </c>
      <c r="F788" s="36" t="str" cm="1">
        <f t="array" ref="F788">GetNumber(D788,2)</f>
        <v>8</v>
      </c>
      <c r="G788" s="35">
        <v>29.6</v>
      </c>
      <c r="H788" s="35">
        <v>8519</v>
      </c>
      <c r="I788" s="35">
        <f>29.55*($T$2)</f>
        <v>59.1</v>
      </c>
      <c r="J788" s="35">
        <f>874.6*($T$2)</f>
        <v>1749.2</v>
      </c>
      <c r="K788" s="35">
        <f t="shared" si="59"/>
        <v>3.4301394923393551</v>
      </c>
      <c r="L788" s="35">
        <f t="shared" si="60"/>
        <v>3.4298257648511452</v>
      </c>
      <c r="M788" s="35">
        <f>8.20625*($T$2)</f>
        <v>16.412500000000001</v>
      </c>
      <c r="N788" s="35">
        <f>64.5*(5280/3600)</f>
        <v>94.6</v>
      </c>
      <c r="O788" s="35">
        <f t="shared" si="58"/>
        <v>0.93828607363366112</v>
      </c>
      <c r="P788" s="35">
        <f t="shared" si="62"/>
        <v>56.297164418019669</v>
      </c>
      <c r="Q788" s="35">
        <v>0</v>
      </c>
      <c r="R788" s="35">
        <f t="shared" si="61"/>
        <v>100</v>
      </c>
    </row>
    <row r="789" spans="1:18" x14ac:dyDescent="0.3">
      <c r="A789" s="35" t="s">
        <v>108</v>
      </c>
      <c r="B789" s="35">
        <v>13.12</v>
      </c>
      <c r="C789" s="35">
        <v>310</v>
      </c>
      <c r="D789" s="35" t="s">
        <v>49</v>
      </c>
      <c r="E789" s="36" t="str" cm="1">
        <f t="array" ref="E789">GetNumber(D789,1)</f>
        <v>14</v>
      </c>
      <c r="F789" s="36" t="str" cm="1">
        <f t="array" ref="F789">GetNumber(D789,2)</f>
        <v>10</v>
      </c>
      <c r="G789" s="35">
        <v>29.6</v>
      </c>
      <c r="H789" s="35">
        <v>8091</v>
      </c>
      <c r="I789" s="35">
        <f>40.01*($T$2)</f>
        <v>80.02</v>
      </c>
      <c r="J789" s="35">
        <f>1184.4*($T$2)</f>
        <v>2368.8000000000002</v>
      </c>
      <c r="K789" s="35">
        <f t="shared" si="59"/>
        <v>2.5329280648429582</v>
      </c>
      <c r="L789" s="35">
        <f t="shared" si="60"/>
        <v>2.533150496159744</v>
      </c>
      <c r="M789" s="35">
        <f>8.406875*($T$2)</f>
        <v>16.813749999999999</v>
      </c>
      <c r="N789" s="35">
        <f>76.6*(5280/3600)</f>
        <v>112.34666666666665</v>
      </c>
      <c r="O789" s="35">
        <f t="shared" si="58"/>
        <v>0.70980032083755484</v>
      </c>
      <c r="P789" s="35">
        <f t="shared" si="62"/>
        <v>42.588019250253282</v>
      </c>
      <c r="Q789" s="35">
        <v>0</v>
      </c>
      <c r="R789" s="35">
        <f t="shared" si="61"/>
        <v>100</v>
      </c>
    </row>
    <row r="790" spans="1:18" x14ac:dyDescent="0.3">
      <c r="A790" s="35" t="s">
        <v>108</v>
      </c>
      <c r="B790" s="35">
        <v>13.12</v>
      </c>
      <c r="C790" s="35">
        <v>310</v>
      </c>
      <c r="D790" s="35" t="s">
        <v>50</v>
      </c>
      <c r="E790" s="36" t="str" cm="1">
        <f t="array" ref="E790">GetNumber(D790,1)</f>
        <v>15</v>
      </c>
      <c r="F790" s="36" t="str" cm="1">
        <f t="array" ref="F790">GetNumber(D790,2)</f>
        <v>6</v>
      </c>
      <c r="G790" s="35">
        <v>29.6</v>
      </c>
      <c r="H790" s="35">
        <v>8445</v>
      </c>
      <c r="I790" s="35">
        <f>31.65*($T$2)</f>
        <v>63.3</v>
      </c>
      <c r="J790" s="35">
        <f>936.9*($T$2)</f>
        <v>1873.8</v>
      </c>
      <c r="K790" s="35">
        <f t="shared" si="59"/>
        <v>3.2020493115593984</v>
      </c>
      <c r="L790" s="35">
        <f t="shared" si="60"/>
        <v>3.2022543870885105</v>
      </c>
      <c r="M790" s="35">
        <f>9.30625*($T$2)</f>
        <v>18.612500000000001</v>
      </c>
      <c r="N790" s="35">
        <f>48*(5280/3600)</f>
        <v>70.399999999999991</v>
      </c>
      <c r="O790" s="35">
        <f t="shared" si="58"/>
        <v>0.99330238018998829</v>
      </c>
      <c r="P790" s="35">
        <f t="shared" si="62"/>
        <v>59.598142811399306</v>
      </c>
      <c r="Q790" s="35">
        <v>0</v>
      </c>
      <c r="R790" s="35">
        <f t="shared" si="61"/>
        <v>100</v>
      </c>
    </row>
    <row r="791" spans="1:18" x14ac:dyDescent="0.3">
      <c r="A791" s="35" t="s">
        <v>108</v>
      </c>
      <c r="B791" s="35">
        <v>13.12</v>
      </c>
      <c r="C791" s="35">
        <v>310</v>
      </c>
      <c r="D791" s="35" t="s">
        <v>51</v>
      </c>
      <c r="E791" s="36" t="str" cm="1">
        <f t="array" ref="E791">GetNumber(D791,1)</f>
        <v>15</v>
      </c>
      <c r="F791" s="36" t="str" cm="1">
        <f t="array" ref="F791">GetNumber(D791,2)</f>
        <v>7</v>
      </c>
      <c r="G791" s="35">
        <v>29.6</v>
      </c>
      <c r="H791" s="35">
        <v>8410</v>
      </c>
      <c r="I791" s="35">
        <f>32.17*($T$2)</f>
        <v>64.34</v>
      </c>
      <c r="J791" s="35">
        <f>952.1*($T$2)</f>
        <v>1904.2</v>
      </c>
      <c r="K791" s="35">
        <f t="shared" si="59"/>
        <v>3.1509295242096416</v>
      </c>
      <c r="L791" s="35">
        <f t="shared" si="60"/>
        <v>3.1504927370640763</v>
      </c>
      <c r="M791" s="35">
        <f>9.641875*($T$2)</f>
        <v>19.283750000000001</v>
      </c>
      <c r="N791" s="35">
        <f>55.8*(5280/3600)</f>
        <v>81.839999999999989</v>
      </c>
      <c r="O791" s="35">
        <f t="shared" si="58"/>
        <v>1.0126956202079616</v>
      </c>
      <c r="P791" s="35">
        <f t="shared" si="62"/>
        <v>60.761737212477676</v>
      </c>
      <c r="Q791" s="35">
        <v>0</v>
      </c>
      <c r="R791" s="35">
        <f t="shared" si="61"/>
        <v>100</v>
      </c>
    </row>
    <row r="792" spans="1:18" x14ac:dyDescent="0.3">
      <c r="A792" s="35" t="s">
        <v>108</v>
      </c>
      <c r="B792" s="35">
        <v>13.12</v>
      </c>
      <c r="C792" s="35">
        <v>310</v>
      </c>
      <c r="D792" s="35" t="s">
        <v>16</v>
      </c>
      <c r="E792" s="36" t="str" cm="1">
        <f t="array" ref="E792">GetNumber(D792,1)</f>
        <v>15</v>
      </c>
      <c r="F792" s="36" t="str" cm="1">
        <f t="array" ref="F792">GetNumber(D792,2)</f>
        <v>8</v>
      </c>
      <c r="G792" s="35">
        <v>29.6</v>
      </c>
      <c r="H792" s="35">
        <v>8301</v>
      </c>
      <c r="I792" s="35">
        <f>35.65*($T$2)</f>
        <v>71.3</v>
      </c>
      <c r="J792" s="35">
        <f>1055.3*($T$2)</f>
        <v>2110.6</v>
      </c>
      <c r="K792" s="35">
        <f t="shared" si="59"/>
        <v>2.8427935184307782</v>
      </c>
      <c r="L792" s="35">
        <f t="shared" si="60"/>
        <v>2.8429551571206546</v>
      </c>
      <c r="M792" s="35">
        <f>9.26125*($T$2)</f>
        <v>18.522500000000001</v>
      </c>
      <c r="N792" s="35">
        <f>62.9*(5280/3600)</f>
        <v>92.25333333333333</v>
      </c>
      <c r="O792" s="35">
        <f t="shared" si="58"/>
        <v>0.87759404908556815</v>
      </c>
      <c r="P792" s="35">
        <f t="shared" si="62"/>
        <v>52.65564294513409</v>
      </c>
      <c r="Q792" s="35">
        <v>0</v>
      </c>
      <c r="R792" s="35">
        <f t="shared" si="61"/>
        <v>100</v>
      </c>
    </row>
    <row r="793" spans="1:18" x14ac:dyDescent="0.3">
      <c r="A793" s="35" t="s">
        <v>108</v>
      </c>
      <c r="B793" s="35">
        <v>13.12</v>
      </c>
      <c r="C793" s="35">
        <v>310</v>
      </c>
      <c r="D793" s="35" t="s">
        <v>52</v>
      </c>
      <c r="E793" s="36" t="str" cm="1">
        <f t="array" ref="E793">GetNumber(D793,1)</f>
        <v>16</v>
      </c>
      <c r="F793" s="36" t="str" cm="1">
        <f t="array" ref="F793">GetNumber(D793,2)</f>
        <v>6</v>
      </c>
      <c r="G793" s="35">
        <v>29.6</v>
      </c>
      <c r="H793" s="35">
        <v>8218</v>
      </c>
      <c r="I793" s="35">
        <f>35.54*($T$2)</f>
        <v>71.08</v>
      </c>
      <c r="J793" s="35">
        <f>1051.9*($T$2)</f>
        <v>2103.8000000000002</v>
      </c>
      <c r="K793" s="35">
        <f t="shared" si="59"/>
        <v>2.8519821275786668</v>
      </c>
      <c r="L793" s="35">
        <f t="shared" si="60"/>
        <v>2.8517543993064534</v>
      </c>
      <c r="M793" s="35">
        <f>10.8125*($T$2)</f>
        <v>21.625</v>
      </c>
      <c r="N793" s="35">
        <f>46.7*(5280/3600)</f>
        <v>68.493333333333339</v>
      </c>
      <c r="O793" s="35">
        <f t="shared" si="58"/>
        <v>1.0279018918148113</v>
      </c>
      <c r="P793" s="35">
        <f t="shared" si="62"/>
        <v>61.674113508888667</v>
      </c>
      <c r="Q793" s="35">
        <v>0</v>
      </c>
      <c r="R793" s="35">
        <f t="shared" si="61"/>
        <v>100</v>
      </c>
    </row>
    <row r="794" spans="1:18" x14ac:dyDescent="0.3">
      <c r="A794" s="35" t="s">
        <v>108</v>
      </c>
      <c r="B794" s="35">
        <v>13.12</v>
      </c>
      <c r="C794" s="35">
        <v>310</v>
      </c>
      <c r="D794" s="35" t="s">
        <v>18</v>
      </c>
      <c r="E794" s="36" t="str" cm="1">
        <f t="array" ref="E794">GetNumber(D794,1)</f>
        <v>16</v>
      </c>
      <c r="F794" s="36" t="str" cm="1">
        <f t="array" ref="F794">GetNumber(D794,2)</f>
        <v>7</v>
      </c>
      <c r="G794" s="35">
        <v>29.6</v>
      </c>
      <c r="H794" s="35">
        <v>8055</v>
      </c>
      <c r="I794" s="35">
        <f>39.21*($T$2)</f>
        <v>78.42</v>
      </c>
      <c r="J794" s="35">
        <f>1160.6*($T$2)</f>
        <v>2321.1999999999998</v>
      </c>
      <c r="K794" s="35">
        <f t="shared" si="59"/>
        <v>2.5848698948819577</v>
      </c>
      <c r="L794" s="35">
        <f t="shared" si="60"/>
        <v>2.584834260427221</v>
      </c>
      <c r="M794" s="35">
        <f>11.148125*($T$2)</f>
        <v>22.296250000000001</v>
      </c>
      <c r="N794" s="35">
        <f>53.4*(5280/3600)</f>
        <v>78.319999999999993</v>
      </c>
      <c r="O794" s="35">
        <f t="shared" si="58"/>
        <v>0.96054842322936418</v>
      </c>
      <c r="P794" s="35">
        <f t="shared" si="62"/>
        <v>57.632905393761853</v>
      </c>
      <c r="Q794" s="35">
        <v>0</v>
      </c>
      <c r="R794" s="35">
        <f t="shared" si="61"/>
        <v>100</v>
      </c>
    </row>
    <row r="795" spans="1:18" x14ac:dyDescent="0.3">
      <c r="A795" s="35" t="s">
        <v>108</v>
      </c>
      <c r="B795" s="35">
        <v>13.12</v>
      </c>
      <c r="C795" s="35">
        <v>310</v>
      </c>
      <c r="D795" s="35" t="s">
        <v>25</v>
      </c>
      <c r="E795" s="36" t="str" cm="1">
        <f t="array" ref="E795">GetNumber(D795,1)</f>
        <v>13</v>
      </c>
      <c r="F795" s="36" t="str" cm="1">
        <f t="array" ref="F795">GetNumber(D795,2)</f>
        <v>8</v>
      </c>
      <c r="G795" s="35">
        <v>29.6</v>
      </c>
      <c r="H795" s="35">
        <v>8523</v>
      </c>
      <c r="I795" s="35">
        <f>28.93*($T$2)</f>
        <v>57.86</v>
      </c>
      <c r="J795" s="35">
        <f>856.4*($T$2)</f>
        <v>1712.8</v>
      </c>
      <c r="K795" s="35">
        <f t="shared" si="59"/>
        <v>3.503035964502569</v>
      </c>
      <c r="L795" s="35">
        <f t="shared" si="60"/>
        <v>3.503330499528218</v>
      </c>
      <c r="M795" s="35">
        <f>8.326875*($T$2)</f>
        <v>16.653749999999999</v>
      </c>
      <c r="N795" s="35">
        <f>64.6*(5280/3600)</f>
        <v>94.746666666666655</v>
      </c>
      <c r="O795" s="35">
        <f t="shared" si="58"/>
        <v>0.97231141989724423</v>
      </c>
      <c r="P795" s="35">
        <f t="shared" si="62"/>
        <v>58.338685193834657</v>
      </c>
      <c r="Q795" s="35">
        <v>0</v>
      </c>
      <c r="R795" s="35">
        <f t="shared" si="61"/>
        <v>100</v>
      </c>
    </row>
    <row r="796" spans="1:18" x14ac:dyDescent="0.3">
      <c r="A796" s="35" t="s">
        <v>108</v>
      </c>
      <c r="B796" s="35">
        <v>13.12</v>
      </c>
      <c r="C796" s="35">
        <v>310</v>
      </c>
      <c r="D796" s="35" t="s">
        <v>26</v>
      </c>
      <c r="E796" s="36" t="str" cm="1">
        <f t="array" ref="E796">GetNumber(D796,1)</f>
        <v>14</v>
      </c>
      <c r="F796" s="36" t="str" cm="1">
        <f t="array" ref="F796">GetNumber(D796,2)</f>
        <v>7</v>
      </c>
      <c r="G796" s="35">
        <v>29.6</v>
      </c>
      <c r="H796" s="35">
        <v>8367</v>
      </c>
      <c r="I796" s="35">
        <f>34.19*($T$2)</f>
        <v>68.38</v>
      </c>
      <c r="J796" s="35">
        <f>1012*($T$2)</f>
        <v>2024</v>
      </c>
      <c r="K796" s="35">
        <f t="shared" si="59"/>
        <v>2.9644268774703555</v>
      </c>
      <c r="L796" s="35">
        <f t="shared" si="60"/>
        <v>2.9643565765238771</v>
      </c>
      <c r="M796" s="35">
        <f>9.920625*($T$2)</f>
        <v>19.841249999999999</v>
      </c>
      <c r="N796" s="35">
        <f>55.5*(5280/3600)</f>
        <v>81.399999999999991</v>
      </c>
      <c r="O796" s="35">
        <f t="shared" si="58"/>
        <v>0.98029891304347827</v>
      </c>
      <c r="P796" s="35">
        <f t="shared" si="62"/>
        <v>58.817934782608688</v>
      </c>
      <c r="Q796" s="35">
        <v>0</v>
      </c>
      <c r="R796" s="35">
        <f t="shared" si="61"/>
        <v>100</v>
      </c>
    </row>
    <row r="797" spans="1:18" x14ac:dyDescent="0.3">
      <c r="A797" s="35" t="s">
        <v>108</v>
      </c>
      <c r="B797" s="35">
        <v>13.12</v>
      </c>
      <c r="C797" s="35">
        <v>310</v>
      </c>
      <c r="D797" s="35" t="s">
        <v>27</v>
      </c>
      <c r="E797" s="36" t="str" cm="1">
        <f t="array" ref="E797">GetNumber(D797,1)</f>
        <v>14</v>
      </c>
      <c r="F797" s="36" t="str" cm="1">
        <f t="array" ref="F797">GetNumber(D797,2)</f>
        <v>9</v>
      </c>
      <c r="G797" s="35">
        <v>29.6</v>
      </c>
      <c r="H797" s="35">
        <v>8033</v>
      </c>
      <c r="I797" s="35">
        <f>39.42*($T$2)</f>
        <v>78.84</v>
      </c>
      <c r="J797" s="35">
        <f>1166.8*($T$2)</f>
        <v>2333.6</v>
      </c>
      <c r="K797" s="35">
        <f t="shared" si="59"/>
        <v>2.5711347274597189</v>
      </c>
      <c r="L797" s="35">
        <f t="shared" si="60"/>
        <v>2.5710642148998311</v>
      </c>
      <c r="M797" s="35">
        <f>10.85125*($T$2)</f>
        <v>21.702500000000001</v>
      </c>
      <c r="N797" s="35">
        <f>68.5*(5280/3600)</f>
        <v>100.46666666666665</v>
      </c>
      <c r="O797" s="35">
        <f t="shared" si="58"/>
        <v>0.93000085704490931</v>
      </c>
      <c r="P797" s="35">
        <f t="shared" si="62"/>
        <v>55.800051422694551</v>
      </c>
      <c r="Q797" s="35">
        <v>0</v>
      </c>
      <c r="R797" s="35">
        <f t="shared" si="61"/>
        <v>100</v>
      </c>
    </row>
    <row r="798" spans="1:18" x14ac:dyDescent="0.3">
      <c r="A798" s="35" t="s">
        <v>108</v>
      </c>
      <c r="B798" s="35">
        <v>13.12</v>
      </c>
      <c r="C798" s="35">
        <v>310</v>
      </c>
      <c r="D798" s="35" t="s">
        <v>32</v>
      </c>
      <c r="E798" s="36" t="str" cm="1">
        <f t="array" ref="E798">GetNumber(D798,1)</f>
        <v>12</v>
      </c>
      <c r="F798" s="36" t="str" cm="1">
        <f t="array" ref="F798">GetNumber(D798,2)</f>
        <v>8</v>
      </c>
      <c r="G798" s="35">
        <v>37</v>
      </c>
      <c r="H798" s="35">
        <v>10475</v>
      </c>
      <c r="I798" s="35">
        <f>29.72*($T$2)</f>
        <v>59.44</v>
      </c>
      <c r="J798" s="35">
        <f>1099.8*($T$2)</f>
        <v>2199.6</v>
      </c>
      <c r="K798" s="35">
        <f t="shared" si="59"/>
        <v>2.7277686852154939</v>
      </c>
      <c r="L798" s="35">
        <f t="shared" si="60"/>
        <v>2.7281655814630241</v>
      </c>
      <c r="M798" s="35">
        <f>7.22*($T$2)</f>
        <v>14.44</v>
      </c>
      <c r="N798" s="35">
        <f>79.4*(5280/3600)</f>
        <v>116.45333333333333</v>
      </c>
      <c r="O798" s="35">
        <f t="shared" si="58"/>
        <v>0.65648299690852885</v>
      </c>
      <c r="P798" s="35">
        <f t="shared" si="62"/>
        <v>39.388979814511728</v>
      </c>
      <c r="Q798" s="35">
        <v>0</v>
      </c>
      <c r="R798" s="35">
        <f t="shared" si="61"/>
        <v>100</v>
      </c>
    </row>
    <row r="799" spans="1:18" x14ac:dyDescent="0.3">
      <c r="A799" s="35" t="s">
        <v>108</v>
      </c>
      <c r="B799" s="35">
        <v>13.12</v>
      </c>
      <c r="C799" s="35">
        <v>310</v>
      </c>
      <c r="D799" s="35" t="s">
        <v>33</v>
      </c>
      <c r="E799" s="36" t="str" cm="1">
        <f t="array" ref="E799">GetNumber(D799,1)</f>
        <v>12</v>
      </c>
      <c r="F799" s="36" t="str" cm="1">
        <f t="array" ref="F799">GetNumber(D799,2)</f>
        <v>10</v>
      </c>
      <c r="G799" s="35">
        <v>37</v>
      </c>
      <c r="H799" s="35">
        <v>10230</v>
      </c>
      <c r="I799" s="35">
        <f>37.57*($T$2)</f>
        <v>75.14</v>
      </c>
      <c r="J799" s="35">
        <f>1390.2*($T$2)</f>
        <v>2780.4</v>
      </c>
      <c r="K799" s="35">
        <f t="shared" si="59"/>
        <v>2.1579628830384117</v>
      </c>
      <c r="L799" s="35">
        <f t="shared" si="60"/>
        <v>2.1581336460229195</v>
      </c>
      <c r="M799" s="35">
        <f>7.648125*($T$2)</f>
        <v>15.296250000000001</v>
      </c>
      <c r="N799" s="35">
        <f>96.9*(5280/3600)</f>
        <v>142.12</v>
      </c>
      <c r="O799" s="35">
        <f t="shared" si="58"/>
        <v>0.55014566249460506</v>
      </c>
      <c r="P799" s="35">
        <f t="shared" si="62"/>
        <v>33.008739749676309</v>
      </c>
      <c r="Q799" s="35">
        <v>0</v>
      </c>
      <c r="R799" s="35">
        <f t="shared" si="61"/>
        <v>100</v>
      </c>
    </row>
    <row r="800" spans="1:18" x14ac:dyDescent="0.3">
      <c r="A800" s="35" t="s">
        <v>108</v>
      </c>
      <c r="B800" s="35">
        <v>13.12</v>
      </c>
      <c r="C800" s="35">
        <v>310</v>
      </c>
      <c r="D800" s="35" t="s">
        <v>34</v>
      </c>
      <c r="E800" s="36" t="str" cm="1">
        <f t="array" ref="E800">GetNumber(D800,1)</f>
        <v>12</v>
      </c>
      <c r="F800" s="36" t="str" cm="1">
        <f t="array" ref="F800">GetNumber(D800,2)</f>
        <v>12</v>
      </c>
      <c r="G800" s="35">
        <v>37</v>
      </c>
      <c r="H800" s="35">
        <v>10314</v>
      </c>
      <c r="I800" s="35">
        <f>41.52*($T$2)</f>
        <v>83.04</v>
      </c>
      <c r="J800" s="35">
        <f>1536.4*($T$2)</f>
        <v>3072.8</v>
      </c>
      <c r="K800" s="35">
        <f t="shared" si="59"/>
        <v>1.9526165061181981</v>
      </c>
      <c r="L800" s="35">
        <f t="shared" si="60"/>
        <v>1.9528198718950163</v>
      </c>
      <c r="M800" s="35">
        <f>7.495625*($T$2)</f>
        <v>14.991250000000001</v>
      </c>
      <c r="N800" s="35">
        <f>117.2*(5280/3600)</f>
        <v>171.89333333333332</v>
      </c>
      <c r="O800" s="35">
        <f t="shared" si="58"/>
        <v>0.48786936995574065</v>
      </c>
      <c r="P800" s="35">
        <f t="shared" si="62"/>
        <v>29.272162197344439</v>
      </c>
      <c r="Q800" s="35">
        <v>0</v>
      </c>
      <c r="R800" s="35">
        <f t="shared" si="61"/>
        <v>100</v>
      </c>
    </row>
    <row r="801" spans="1:18" x14ac:dyDescent="0.3">
      <c r="A801" s="35" t="s">
        <v>108</v>
      </c>
      <c r="B801" s="35">
        <v>13.12</v>
      </c>
      <c r="C801" s="35">
        <v>310</v>
      </c>
      <c r="D801" s="35" t="s">
        <v>35</v>
      </c>
      <c r="E801" s="36" t="str" cm="1">
        <f t="array" ref="E801">GetNumber(D801,1)</f>
        <v>13</v>
      </c>
      <c r="F801" s="36" cm="1">
        <f t="array" ref="F801">GetNumber(D801,2)+(GetNumber(D801,3)/10)</f>
        <v>6.5</v>
      </c>
      <c r="G801" s="35">
        <v>37</v>
      </c>
      <c r="H801" s="35">
        <v>10416</v>
      </c>
      <c r="I801" s="35">
        <f>38.12*($T$2)</f>
        <v>76.239999999999995</v>
      </c>
      <c r="J801" s="35">
        <f>1410.4*($T$2)</f>
        <v>2820.8</v>
      </c>
      <c r="K801" s="35">
        <f t="shared" si="59"/>
        <v>2.1270561542824726</v>
      </c>
      <c r="L801" s="35">
        <f t="shared" si="60"/>
        <v>2.1269958310881711</v>
      </c>
      <c r="M801" s="35">
        <f>9.484375*($T$2)</f>
        <v>18.96875</v>
      </c>
      <c r="N801" s="35">
        <f>64.1*(5280/3600)</f>
        <v>94.013333333333321</v>
      </c>
      <c r="O801" s="35">
        <f t="shared" si="58"/>
        <v>0.67245994044242763</v>
      </c>
      <c r="P801" s="35">
        <f t="shared" si="62"/>
        <v>40.34759642654565</v>
      </c>
      <c r="Q801" s="35">
        <v>0</v>
      </c>
      <c r="R801" s="35">
        <f t="shared" si="61"/>
        <v>100</v>
      </c>
    </row>
    <row r="802" spans="1:18" x14ac:dyDescent="0.3">
      <c r="A802" s="35" t="s">
        <v>108</v>
      </c>
      <c r="B802" s="35">
        <v>13.12</v>
      </c>
      <c r="C802" s="35">
        <v>310</v>
      </c>
      <c r="D802" s="35" t="s">
        <v>36</v>
      </c>
      <c r="E802" s="36" t="str" cm="1">
        <f t="array" ref="E802">GetNumber(D802,1)</f>
        <v>13</v>
      </c>
      <c r="F802" s="36" t="str" cm="1">
        <f t="array" ref="F802">GetNumber(D802,2)</f>
        <v>8</v>
      </c>
      <c r="G802" s="35">
        <v>37</v>
      </c>
      <c r="H802" s="35">
        <v>10343</v>
      </c>
      <c r="I802" s="35">
        <f>40.38*($T$2)</f>
        <v>80.760000000000005</v>
      </c>
      <c r="J802" s="35">
        <f>1494.2*($T$2)</f>
        <v>2988.4</v>
      </c>
      <c r="K802" s="35">
        <f t="shared" si="59"/>
        <v>2.0077633516262883</v>
      </c>
      <c r="L802" s="35">
        <f t="shared" si="60"/>
        <v>2.0079514878920524</v>
      </c>
      <c r="M802" s="35">
        <f>10.2425*($T$2)</f>
        <v>20.484999999999999</v>
      </c>
      <c r="N802" s="35">
        <f>78.4*(5280/3600)</f>
        <v>114.98666666666666</v>
      </c>
      <c r="O802" s="35">
        <f t="shared" si="58"/>
        <v>0.68548387096774188</v>
      </c>
      <c r="P802" s="35">
        <f t="shared" si="62"/>
        <v>41.129032258064512</v>
      </c>
      <c r="Q802" s="35">
        <v>0</v>
      </c>
      <c r="R802" s="35">
        <f t="shared" si="61"/>
        <v>100</v>
      </c>
    </row>
    <row r="803" spans="1:18" x14ac:dyDescent="0.3">
      <c r="A803" s="35" t="s">
        <v>108</v>
      </c>
      <c r="B803" s="35">
        <v>13.12</v>
      </c>
      <c r="C803" s="35">
        <v>310</v>
      </c>
      <c r="D803" s="35" t="s">
        <v>38</v>
      </c>
      <c r="E803" s="36" t="str" cm="1">
        <f t="array" ref="E803">GetNumber(D803,1)</f>
        <v>14</v>
      </c>
      <c r="F803" s="36" t="str" cm="1">
        <f t="array" ref="F803">GetNumber(D803,2)</f>
        <v>6</v>
      </c>
      <c r="G803" s="35">
        <v>37</v>
      </c>
      <c r="H803" s="35">
        <v>10590</v>
      </c>
      <c r="I803" s="35">
        <f>32.86*($T$2)</f>
        <v>65.72</v>
      </c>
      <c r="J803" s="35">
        <f>1215.9*($T$2)</f>
        <v>2431.8000000000002</v>
      </c>
      <c r="K803" s="35">
        <f t="shared" si="59"/>
        <v>2.4673081667900316</v>
      </c>
      <c r="L803" s="35">
        <f t="shared" si="60"/>
        <v>2.4674705137273607</v>
      </c>
      <c r="M803" s="35">
        <f>11.045*($T$2)</f>
        <v>22.09</v>
      </c>
      <c r="N803" s="35">
        <f>60.2*(5280/3600)</f>
        <v>88.293333333333337</v>
      </c>
      <c r="O803" s="35">
        <f t="shared" si="58"/>
        <v>0.90838062340653003</v>
      </c>
      <c r="P803" s="35">
        <f t="shared" si="62"/>
        <v>54.502837404391798</v>
      </c>
      <c r="Q803" s="35">
        <v>0</v>
      </c>
      <c r="R803" s="35">
        <f t="shared" si="61"/>
        <v>100</v>
      </c>
    </row>
    <row r="804" spans="1:18" x14ac:dyDescent="0.3">
      <c r="A804" s="35" t="s">
        <v>108</v>
      </c>
      <c r="B804" s="35">
        <v>13.12</v>
      </c>
      <c r="C804" s="35">
        <v>310</v>
      </c>
      <c r="D804" s="35" t="s">
        <v>60</v>
      </c>
      <c r="E804" s="36" t="str" cm="1">
        <f t="array" ref="E804">GetNumber(D804,1)</f>
        <v>15</v>
      </c>
      <c r="F804" s="36" t="str" cm="1">
        <f t="array" ref="F804">GetNumber(D804,2)</f>
        <v>4</v>
      </c>
      <c r="G804" s="35">
        <v>37</v>
      </c>
      <c r="H804" s="35">
        <v>10459</v>
      </c>
      <c r="I804" s="35">
        <f>36.91*($T$2)</f>
        <v>73.819999999999993</v>
      </c>
      <c r="J804" s="35">
        <f>1365.7*($T$2)</f>
        <v>2731.4</v>
      </c>
      <c r="K804" s="35">
        <f t="shared" si="59"/>
        <v>2.1966756974445336</v>
      </c>
      <c r="L804" s="35">
        <f t="shared" si="60"/>
        <v>2.1967239523457351</v>
      </c>
      <c r="M804" s="35">
        <f>12.4825*($T$2)</f>
        <v>24.965</v>
      </c>
      <c r="N804" s="35">
        <f>39.6*(5280/3600)</f>
        <v>58.08</v>
      </c>
      <c r="O804" s="35">
        <f t="shared" si="58"/>
        <v>0.91400014644504646</v>
      </c>
      <c r="P804" s="35">
        <f t="shared" si="62"/>
        <v>54.840008786702782</v>
      </c>
      <c r="Q804" s="35">
        <v>0</v>
      </c>
      <c r="R804" s="35">
        <f t="shared" si="61"/>
        <v>100</v>
      </c>
    </row>
    <row r="805" spans="1:18" x14ac:dyDescent="0.3">
      <c r="A805" s="35" t="s">
        <v>108</v>
      </c>
      <c r="B805" s="35">
        <v>13.12</v>
      </c>
      <c r="C805" s="35">
        <v>310</v>
      </c>
      <c r="D805" s="35" t="s">
        <v>64</v>
      </c>
      <c r="E805" s="36" t="str" cm="1">
        <f t="array" ref="E805">GetNumber(D805,1)</f>
        <v>12</v>
      </c>
      <c r="F805" s="36" t="str" cm="1">
        <f t="array" ref="F805">GetNumber(D805,2)</f>
        <v>8</v>
      </c>
      <c r="G805" s="35">
        <v>37</v>
      </c>
      <c r="H805" s="35">
        <v>10465</v>
      </c>
      <c r="I805" s="35">
        <f>29.99*($T$2)</f>
        <v>59.98</v>
      </c>
      <c r="J805" s="35">
        <f>1109.4*($T$2)</f>
        <v>2218.8000000000002</v>
      </c>
      <c r="K805" s="35">
        <f t="shared" si="59"/>
        <v>2.7041644131963225</v>
      </c>
      <c r="L805" s="35">
        <f t="shared" si="60"/>
        <v>2.7036039040040372</v>
      </c>
      <c r="M805" s="35">
        <f>6.428125*($T$2)</f>
        <v>12.856249999999999</v>
      </c>
      <c r="N805" s="35">
        <f>79.3*(5280/3600)</f>
        <v>116.30666666666666</v>
      </c>
      <c r="O805" s="35">
        <f t="shared" si="58"/>
        <v>0.57942356228592029</v>
      </c>
      <c r="P805" s="35">
        <f t="shared" si="62"/>
        <v>34.765413737155221</v>
      </c>
      <c r="Q805" s="35">
        <v>0</v>
      </c>
      <c r="R805" s="35">
        <f t="shared" si="61"/>
        <v>100</v>
      </c>
    </row>
    <row r="806" spans="1:18" x14ac:dyDescent="0.3">
      <c r="A806" s="35" t="s">
        <v>108</v>
      </c>
      <c r="B806" s="35">
        <v>13.12</v>
      </c>
      <c r="C806" s="35">
        <v>310</v>
      </c>
      <c r="D806" s="35" t="s">
        <v>65</v>
      </c>
      <c r="E806" s="36" t="str" cm="1">
        <f t="array" ref="E806">GetNumber(D806,1)</f>
        <v>13</v>
      </c>
      <c r="F806" s="36" t="str" cm="1">
        <f t="array" ref="F806">GetNumber(D806,2)</f>
        <v>6</v>
      </c>
      <c r="G806" s="35">
        <v>37</v>
      </c>
      <c r="H806" s="35">
        <v>10811</v>
      </c>
      <c r="I806" s="35">
        <f>26.02*($T$2)</f>
        <v>52.04</v>
      </c>
      <c r="J806" s="35">
        <f>962.8*($T$2)</f>
        <v>1925.6</v>
      </c>
      <c r="K806" s="35">
        <f t="shared" si="59"/>
        <v>3.1159119235562946</v>
      </c>
      <c r="L806" s="35">
        <f t="shared" si="60"/>
        <v>3.1161061138001953</v>
      </c>
      <c r="M806" s="35">
        <f>8.558125*($T$2)</f>
        <v>17.116250000000001</v>
      </c>
      <c r="N806" s="35">
        <f>61.4*(5280/3600)</f>
        <v>90.053333333333327</v>
      </c>
      <c r="O806" s="35">
        <f t="shared" si="58"/>
        <v>0.88887879102617384</v>
      </c>
      <c r="P806" s="35">
        <f t="shared" si="62"/>
        <v>53.332727461570428</v>
      </c>
      <c r="Q806" s="35">
        <v>0</v>
      </c>
      <c r="R806" s="35">
        <f t="shared" si="61"/>
        <v>100</v>
      </c>
    </row>
    <row r="807" spans="1:18" x14ac:dyDescent="0.3">
      <c r="A807" s="35" t="s">
        <v>108</v>
      </c>
      <c r="B807" s="35">
        <v>13.12</v>
      </c>
      <c r="C807" s="35">
        <v>310</v>
      </c>
      <c r="D807" s="35" t="s">
        <v>45</v>
      </c>
      <c r="E807" s="36" t="str" cm="1">
        <f t="array" ref="E807">GetNumber(D807,1)</f>
        <v>13</v>
      </c>
      <c r="F807" s="36" t="str" cm="1">
        <f t="array" ref="F807">GetNumber(D807,2)</f>
        <v>8</v>
      </c>
      <c r="G807" s="35">
        <v>37</v>
      </c>
      <c r="H807" s="35">
        <v>10380</v>
      </c>
      <c r="I807" s="35">
        <f>39.41*($T$2)</f>
        <v>78.819999999999993</v>
      </c>
      <c r="J807" s="35">
        <f>1458*($T$2)</f>
        <v>2916</v>
      </c>
      <c r="K807" s="35">
        <f t="shared" si="59"/>
        <v>2.0576131687242798</v>
      </c>
      <c r="L807" s="35">
        <f t="shared" si="60"/>
        <v>2.0573732829505476</v>
      </c>
      <c r="M807" s="35">
        <f>9.041875*($T$2)</f>
        <v>18.083749999999998</v>
      </c>
      <c r="N807" s="35">
        <f>78.6*(5280/3600)</f>
        <v>115.27999999999999</v>
      </c>
      <c r="O807" s="35">
        <f t="shared" si="58"/>
        <v>0.62015603566529487</v>
      </c>
      <c r="P807" s="35">
        <f t="shared" si="62"/>
        <v>37.209362139917694</v>
      </c>
      <c r="Q807" s="35">
        <v>0</v>
      </c>
      <c r="R807" s="35">
        <f t="shared" si="61"/>
        <v>100</v>
      </c>
    </row>
    <row r="808" spans="1:18" x14ac:dyDescent="0.3">
      <c r="A808" s="35" t="s">
        <v>108</v>
      </c>
      <c r="B808" s="35">
        <v>13.12</v>
      </c>
      <c r="C808" s="35">
        <v>310</v>
      </c>
      <c r="D808" s="35" t="s">
        <v>47</v>
      </c>
      <c r="E808" s="36" t="str" cm="1">
        <f t="array" ref="E808">GetNumber(D808,1)</f>
        <v>14</v>
      </c>
      <c r="F808" s="36" t="str" cm="1">
        <f t="array" ref="F808">GetNumber(D808,2)</f>
        <v>6</v>
      </c>
      <c r="G808" s="35">
        <v>37</v>
      </c>
      <c r="H808" s="35">
        <v>10427</v>
      </c>
      <c r="I808" s="35">
        <f>36.58*($T$2)</f>
        <v>73.16</v>
      </c>
      <c r="J808" s="35">
        <f>1353.5*($T$2)</f>
        <v>2707</v>
      </c>
      <c r="K808" s="35">
        <f t="shared" si="59"/>
        <v>2.2164758034724787</v>
      </c>
      <c r="L808" s="35">
        <f t="shared" si="60"/>
        <v>2.2165413089415278</v>
      </c>
      <c r="M808" s="35">
        <f>10.693125*($T$2)</f>
        <v>21.38625</v>
      </c>
      <c r="N808" s="35">
        <f>59.2*(5280/3600)</f>
        <v>86.826666666666668</v>
      </c>
      <c r="O808" s="35">
        <f t="shared" si="58"/>
        <v>0.79003509420022167</v>
      </c>
      <c r="P808" s="35">
        <f t="shared" si="62"/>
        <v>47.402105652013297</v>
      </c>
      <c r="Q808" s="35">
        <v>0</v>
      </c>
      <c r="R808" s="35">
        <f t="shared" si="61"/>
        <v>100</v>
      </c>
    </row>
    <row r="809" spans="1:18" x14ac:dyDescent="0.3">
      <c r="A809" s="35" t="s">
        <v>108</v>
      </c>
      <c r="B809" s="35">
        <v>13.12</v>
      </c>
      <c r="C809" s="35">
        <v>310</v>
      </c>
      <c r="D809" s="35" t="s">
        <v>54</v>
      </c>
      <c r="E809" s="36" t="str" cm="1">
        <f t="array" ref="E809">GetNumber(D809,1)</f>
        <v>12</v>
      </c>
      <c r="F809" s="36" t="str" cm="1">
        <f t="array" ref="F809">GetNumber(D809,2)</f>
        <v>8</v>
      </c>
      <c r="G809" s="35">
        <v>37</v>
      </c>
      <c r="H809" s="35">
        <v>10457</v>
      </c>
      <c r="I809" s="35">
        <f>36.92*($T$2)</f>
        <v>73.84</v>
      </c>
      <c r="J809" s="35">
        <f>1366*($T$2)</f>
        <v>2732</v>
      </c>
      <c r="K809" s="35">
        <f t="shared" si="59"/>
        <v>2.1961932650073206</v>
      </c>
      <c r="L809" s="35">
        <f t="shared" si="60"/>
        <v>2.1961289566923368</v>
      </c>
      <c r="M809" s="35">
        <f>10.8225*($T$2)</f>
        <v>21.645</v>
      </c>
      <c r="N809" s="35">
        <f>79.2*(5280/3600)</f>
        <v>116.16</v>
      </c>
      <c r="O809" s="35">
        <f t="shared" si="58"/>
        <v>0.79227672035139096</v>
      </c>
      <c r="P809" s="35">
        <f t="shared" si="62"/>
        <v>47.536603221083453</v>
      </c>
      <c r="Q809" s="35">
        <v>0</v>
      </c>
      <c r="R809" s="35">
        <f t="shared" si="61"/>
        <v>100</v>
      </c>
    </row>
    <row r="810" spans="1:18" x14ac:dyDescent="0.3">
      <c r="A810" s="35" t="s">
        <v>108</v>
      </c>
      <c r="B810" s="35">
        <v>13.12</v>
      </c>
      <c r="C810" s="35">
        <v>310</v>
      </c>
      <c r="D810" s="35" t="s">
        <v>25</v>
      </c>
      <c r="E810" s="36" t="str" cm="1">
        <f t="array" ref="E810">GetNumber(D810,1)</f>
        <v>13</v>
      </c>
      <c r="F810" s="36" t="str" cm="1">
        <f t="array" ref="F810">GetNumber(D810,2)</f>
        <v>8</v>
      </c>
      <c r="G810" s="35">
        <v>37</v>
      </c>
      <c r="H810" s="35">
        <v>10145</v>
      </c>
      <c r="I810" s="35">
        <f>40.15*($T$2)</f>
        <v>80.3</v>
      </c>
      <c r="J810" s="35">
        <f>1485.7*($T$2)</f>
        <v>2971.4</v>
      </c>
      <c r="K810" s="35">
        <f t="shared" si="59"/>
        <v>2.0192501850979334</v>
      </c>
      <c r="L810" s="35">
        <f t="shared" si="60"/>
        <v>2.0194540742485949</v>
      </c>
      <c r="M810" s="35">
        <f>11.91625*($T$2)</f>
        <v>23.8325</v>
      </c>
      <c r="N810" s="35">
        <f>76.9*(5280/3600)</f>
        <v>112.78666666666666</v>
      </c>
      <c r="O810" s="35">
        <f t="shared" si="58"/>
        <v>0.80206300060577507</v>
      </c>
      <c r="P810" s="35">
        <f t="shared" si="62"/>
        <v>48.123780036346496</v>
      </c>
      <c r="Q810" s="35">
        <v>0</v>
      </c>
      <c r="R810" s="35">
        <f t="shared" si="61"/>
        <v>100</v>
      </c>
    </row>
    <row r="811" spans="1:18" x14ac:dyDescent="0.3">
      <c r="A811" s="35" t="s">
        <v>110</v>
      </c>
      <c r="B811" s="35">
        <v>13.33</v>
      </c>
      <c r="C811" s="35">
        <v>400</v>
      </c>
      <c r="D811" s="35" t="s">
        <v>42</v>
      </c>
      <c r="E811" s="36" t="str" cm="1">
        <f t="array" ref="E811">GetNumber(D811,1)</f>
        <v>14</v>
      </c>
      <c r="F811" s="36" t="str" cm="1">
        <f t="array" ref="F811">GetNumber(D811,2)</f>
        <v>12</v>
      </c>
      <c r="G811" s="35">
        <v>18.5</v>
      </c>
      <c r="H811" s="35">
        <v>6625</v>
      </c>
      <c r="I811" s="35">
        <f>40.22*($T$2)</f>
        <v>80.44</v>
      </c>
      <c r="J811" s="35">
        <f>744*($T$2)</f>
        <v>1488</v>
      </c>
      <c r="K811" s="35">
        <f t="shared" si="59"/>
        <v>3.7298387096774195</v>
      </c>
      <c r="L811" s="35">
        <f t="shared" si="60"/>
        <v>3.7294878170064645</v>
      </c>
      <c r="M811" s="35">
        <f>5.205*($T$2)</f>
        <v>10.41</v>
      </c>
      <c r="N811" s="35">
        <f>75.3*(5280/3600)</f>
        <v>110.43999999999998</v>
      </c>
      <c r="O811" s="35">
        <f t="shared" si="58"/>
        <v>0.69959677419354838</v>
      </c>
      <c r="P811" s="35">
        <f t="shared" si="62"/>
        <v>38.827620967741936</v>
      </c>
      <c r="Q811" s="35">
        <f>('Batt Capacity and Sys Weight'!$I$4) + (B811*$T$2)</f>
        <v>53.824503</v>
      </c>
      <c r="R811" s="35">
        <f>'Batt Capacity and Sys Weight'!$H$4</f>
        <v>92.5</v>
      </c>
    </row>
    <row r="812" spans="1:18" x14ac:dyDescent="0.3">
      <c r="A812" s="35" t="s">
        <v>110</v>
      </c>
      <c r="B812" s="35">
        <v>13.33</v>
      </c>
      <c r="C812" s="35">
        <v>400</v>
      </c>
      <c r="D812" s="35" t="s">
        <v>1</v>
      </c>
      <c r="E812" s="36" t="str" cm="1">
        <f t="array" ref="E812">GetNumber(D812,1)</f>
        <v>15</v>
      </c>
      <c r="F812" s="36" t="str" cm="1">
        <f t="array" ref="F812">GetNumber(D812,2)</f>
        <v>10</v>
      </c>
      <c r="G812" s="35">
        <v>18.5</v>
      </c>
      <c r="H812" s="35">
        <v>6634</v>
      </c>
      <c r="I812" s="35">
        <f>40.07*($T$2)</f>
        <v>80.14</v>
      </c>
      <c r="J812" s="35">
        <f>741.3*($T$2)</f>
        <v>1482.6</v>
      </c>
      <c r="K812" s="35">
        <f t="shared" si="59"/>
        <v>3.7434237150951035</v>
      </c>
      <c r="L812" s="35">
        <f t="shared" si="60"/>
        <v>3.7434489643124529</v>
      </c>
      <c r="M812" s="35">
        <f>7.429375*($T$2)</f>
        <v>14.858750000000001</v>
      </c>
      <c r="N812" s="35">
        <f>62.8*(5280/3600)</f>
        <v>92.106666666666655</v>
      </c>
      <c r="O812" s="35">
        <f t="shared" si="58"/>
        <v>1.0022089572372859</v>
      </c>
      <c r="P812" s="35">
        <f t="shared" si="62"/>
        <v>55.622597126669369</v>
      </c>
      <c r="Q812" s="35">
        <f>('Batt Capacity and Sys Weight'!$I$4) + (B812*$T$2)</f>
        <v>53.824503</v>
      </c>
      <c r="R812" s="35">
        <f>'Batt Capacity and Sys Weight'!$H$4</f>
        <v>92.5</v>
      </c>
    </row>
    <row r="813" spans="1:18" x14ac:dyDescent="0.3">
      <c r="A813" s="35" t="s">
        <v>110</v>
      </c>
      <c r="B813" s="35">
        <v>13.33</v>
      </c>
      <c r="C813" s="35">
        <v>400</v>
      </c>
      <c r="D813" s="35" t="s">
        <v>2</v>
      </c>
      <c r="E813" s="36" t="str" cm="1">
        <f t="array" ref="E813">GetNumber(D813,1)</f>
        <v>16</v>
      </c>
      <c r="F813" s="36" t="str" cm="1">
        <f t="array" ref="F813">GetNumber(D813,2)</f>
        <v>7</v>
      </c>
      <c r="G813" s="35">
        <v>18.5</v>
      </c>
      <c r="H813" s="35">
        <v>6751</v>
      </c>
      <c r="I813" s="35">
        <f>34.93*($T$2)</f>
        <v>69.86</v>
      </c>
      <c r="J813" s="35">
        <f>646.2*($T$2)</f>
        <v>1292.4000000000001</v>
      </c>
      <c r="K813" s="35">
        <f t="shared" si="59"/>
        <v>4.2943361188486531</v>
      </c>
      <c r="L813" s="35">
        <f t="shared" si="60"/>
        <v>4.2943028914972805</v>
      </c>
      <c r="M813" s="35">
        <f>8.05125*($T$2)</f>
        <v>16.102499999999999</v>
      </c>
      <c r="N813" s="35">
        <f>44.8*(5280/3600)</f>
        <v>65.706666666666663</v>
      </c>
      <c r="O813" s="35">
        <f t="shared" si="58"/>
        <v>1.2459377901578457</v>
      </c>
      <c r="P813" s="35">
        <f t="shared" si="62"/>
        <v>69.149547353760425</v>
      </c>
      <c r="Q813" s="35">
        <f>('Batt Capacity and Sys Weight'!$I$4) + (B813*$T$2)</f>
        <v>53.824503</v>
      </c>
      <c r="R813" s="35">
        <f>'Batt Capacity and Sys Weight'!$H$4</f>
        <v>92.5</v>
      </c>
    </row>
    <row r="814" spans="1:18" x14ac:dyDescent="0.3">
      <c r="A814" s="35" t="s">
        <v>110</v>
      </c>
      <c r="B814" s="35">
        <v>13.33</v>
      </c>
      <c r="C814" s="35">
        <v>400</v>
      </c>
      <c r="D814" s="35" t="s">
        <v>3</v>
      </c>
      <c r="E814" s="36" t="str" cm="1">
        <f t="array" ref="E814">GetNumber(D814,1)</f>
        <v>16</v>
      </c>
      <c r="F814" s="36" t="str" cm="1">
        <f t="array" ref="F814">GetNumber(D814,2)</f>
        <v>8</v>
      </c>
      <c r="G814" s="35">
        <v>18.5</v>
      </c>
      <c r="H814" s="35">
        <v>6568</v>
      </c>
      <c r="I814" s="35">
        <f>43.02*($T$2)</f>
        <v>86.04</v>
      </c>
      <c r="J814" s="35">
        <f>795.8*($T$2)</f>
        <v>1591.6</v>
      </c>
      <c r="K814" s="35">
        <f t="shared" si="59"/>
        <v>3.4870570495099273</v>
      </c>
      <c r="L814" s="35">
        <f t="shared" si="60"/>
        <v>3.4867503486750344</v>
      </c>
      <c r="M814" s="35">
        <f>8.65125*($T$2)</f>
        <v>17.302499999999998</v>
      </c>
      <c r="N814" s="35">
        <f>49.8*(5280/3600)</f>
        <v>73.039999999999992</v>
      </c>
      <c r="O814" s="35">
        <f t="shared" si="58"/>
        <v>1.0871135963810004</v>
      </c>
      <c r="P814" s="35">
        <f t="shared" si="62"/>
        <v>60.334804599145514</v>
      </c>
      <c r="Q814" s="35">
        <f>('Batt Capacity and Sys Weight'!$I$4) + (B814*$T$2)</f>
        <v>53.824503</v>
      </c>
      <c r="R814" s="35">
        <f>'Batt Capacity and Sys Weight'!$H$4</f>
        <v>92.5</v>
      </c>
    </row>
    <row r="815" spans="1:18" x14ac:dyDescent="0.3">
      <c r="A815" s="35" t="s">
        <v>110</v>
      </c>
      <c r="B815" s="35">
        <v>13.33</v>
      </c>
      <c r="C815" s="35">
        <v>400</v>
      </c>
      <c r="D815" s="35" t="s">
        <v>4</v>
      </c>
      <c r="E815" s="36" t="str" cm="1">
        <f t="array" ref="E815">GetNumber(D815,1)</f>
        <v>16</v>
      </c>
      <c r="F815" s="36" t="str" cm="1">
        <f t="array" ref="F815">GetNumber(D815,2)</f>
        <v>10</v>
      </c>
      <c r="G815" s="35">
        <v>18.5</v>
      </c>
      <c r="H815" s="35">
        <v>6469</v>
      </c>
      <c r="I815" s="35">
        <f>47.8*($T$2)</f>
        <v>95.6</v>
      </c>
      <c r="J815" s="35">
        <f>884.3*($T$2)</f>
        <v>1768.6</v>
      </c>
      <c r="K815" s="35">
        <f t="shared" si="59"/>
        <v>3.1380753138075317</v>
      </c>
      <c r="L815" s="35">
        <f t="shared" si="60"/>
        <v>3.1380753138075317</v>
      </c>
      <c r="M815" s="35">
        <f>8.865*($T$2)</f>
        <v>17.73</v>
      </c>
      <c r="N815" s="35">
        <f>61.3*(5280/3600)</f>
        <v>89.906666666666652</v>
      </c>
      <c r="O815" s="35">
        <f t="shared" si="58"/>
        <v>1.0024878434920277</v>
      </c>
      <c r="P815" s="35">
        <f t="shared" si="62"/>
        <v>55.638075313807541</v>
      </c>
      <c r="Q815" s="35">
        <f>('Batt Capacity and Sys Weight'!$I$4) + (B815*$T$2)</f>
        <v>53.824503</v>
      </c>
      <c r="R815" s="35">
        <f>'Batt Capacity and Sys Weight'!$H$4</f>
        <v>92.5</v>
      </c>
    </row>
    <row r="816" spans="1:18" x14ac:dyDescent="0.3">
      <c r="A816" s="35" t="s">
        <v>110</v>
      </c>
      <c r="B816" s="35">
        <v>13.33</v>
      </c>
      <c r="C816" s="35">
        <v>400</v>
      </c>
      <c r="D816" s="35" t="s">
        <v>6</v>
      </c>
      <c r="E816" s="36" t="str" cm="1">
        <f t="array" ref="E816">GetNumber(D816,1)</f>
        <v>17</v>
      </c>
      <c r="F816" s="36" t="str" cm="1">
        <f t="array" ref="F816">GetNumber(D816,2)</f>
        <v>7</v>
      </c>
      <c r="G816" s="35">
        <v>18.5</v>
      </c>
      <c r="H816" s="35">
        <v>6663</v>
      </c>
      <c r="I816" s="35">
        <f>38.7*($T$2)</f>
        <v>77.400000000000006</v>
      </c>
      <c r="J816" s="35">
        <f>716*($T$2)</f>
        <v>1432</v>
      </c>
      <c r="K816" s="35">
        <f t="shared" si="59"/>
        <v>3.8756983240223466</v>
      </c>
      <c r="L816" s="35">
        <f t="shared" si="60"/>
        <v>3.8759689922480618</v>
      </c>
      <c r="M816" s="35">
        <f>8.999375*($T$2)</f>
        <v>17.998750000000001</v>
      </c>
      <c r="N816" s="35">
        <f>44.2*(5280/3600)</f>
        <v>64.826666666666668</v>
      </c>
      <c r="O816" s="35">
        <f t="shared" si="58"/>
        <v>1.2568959497206704</v>
      </c>
      <c r="P816" s="35">
        <f t="shared" si="62"/>
        <v>69.75772520949721</v>
      </c>
      <c r="Q816" s="35">
        <f>('Batt Capacity and Sys Weight'!$I$4) + (B816*$T$2)</f>
        <v>53.824503</v>
      </c>
      <c r="R816" s="35">
        <f>'Batt Capacity and Sys Weight'!$H$4</f>
        <v>92.5</v>
      </c>
    </row>
    <row r="817" spans="1:18" x14ac:dyDescent="0.3">
      <c r="A817" s="35" t="s">
        <v>110</v>
      </c>
      <c r="B817" s="35">
        <v>13.33</v>
      </c>
      <c r="C817" s="35">
        <v>400</v>
      </c>
      <c r="D817" s="35" t="s">
        <v>7</v>
      </c>
      <c r="E817" s="36" t="str" cm="1">
        <f t="array" ref="E817">GetNumber(D817,1)</f>
        <v>17</v>
      </c>
      <c r="F817" s="36" t="str" cm="1">
        <f t="array" ref="F817">GetNumber(D817,2)</f>
        <v>8</v>
      </c>
      <c r="G817" s="35">
        <v>18.5</v>
      </c>
      <c r="H817" s="35">
        <v>6479</v>
      </c>
      <c r="I817" s="35">
        <f>47.52*($T$2)</f>
        <v>95.04</v>
      </c>
      <c r="J817" s="35">
        <f>879.1*($T$2)</f>
        <v>1758.2</v>
      </c>
      <c r="K817" s="35">
        <f t="shared" si="59"/>
        <v>3.1566374701399158</v>
      </c>
      <c r="L817" s="35">
        <f t="shared" si="60"/>
        <v>3.1565656565656566</v>
      </c>
      <c r="M817" s="35">
        <f>9.770625*($T$2)</f>
        <v>19.541250000000002</v>
      </c>
      <c r="N817" s="35">
        <f>49.1*(5280/3600)</f>
        <v>72.013333333333335</v>
      </c>
      <c r="O817" s="35">
        <f t="shared" si="58"/>
        <v>1.1114349903310203</v>
      </c>
      <c r="P817" s="35">
        <f t="shared" si="62"/>
        <v>61.684641963371632</v>
      </c>
      <c r="Q817" s="35">
        <f>('Batt Capacity and Sys Weight'!$I$4) + (B817*$T$2)</f>
        <v>53.824503</v>
      </c>
      <c r="R817" s="35">
        <f>'Batt Capacity and Sys Weight'!$H$4</f>
        <v>92.5</v>
      </c>
    </row>
    <row r="818" spans="1:18" x14ac:dyDescent="0.3">
      <c r="A818" s="35" t="s">
        <v>110</v>
      </c>
      <c r="B818" s="35">
        <v>13.33</v>
      </c>
      <c r="C818" s="35">
        <v>400</v>
      </c>
      <c r="D818" s="35" t="s">
        <v>10</v>
      </c>
      <c r="E818" s="36" t="str" cm="1">
        <f t="array" ref="E818">GetNumber(D818,1)</f>
        <v>18</v>
      </c>
      <c r="F818" s="36" t="str" cm="1">
        <f t="array" ref="F818">GetNumber(D818,2)</f>
        <v>8</v>
      </c>
      <c r="G818" s="35">
        <v>18.5</v>
      </c>
      <c r="H818" s="35">
        <v>6384</v>
      </c>
      <c r="I818" s="35">
        <f>51.35*($T$2)</f>
        <v>102.7</v>
      </c>
      <c r="J818" s="35">
        <f>949.9*($T$2)</f>
        <v>1899.8</v>
      </c>
      <c r="K818" s="35">
        <f t="shared" si="59"/>
        <v>2.9213601431729654</v>
      </c>
      <c r="L818" s="35">
        <f t="shared" si="60"/>
        <v>2.9211295034079843</v>
      </c>
      <c r="M818" s="35">
        <f>11.109375*($T$2)</f>
        <v>22.21875</v>
      </c>
      <c r="N818" s="35">
        <f>48.4*(5280/3600)</f>
        <v>70.986666666666665</v>
      </c>
      <c r="O818" s="35">
        <f t="shared" si="58"/>
        <v>1.1695310032635016</v>
      </c>
      <c r="P818" s="35">
        <f t="shared" si="62"/>
        <v>64.90897068112433</v>
      </c>
      <c r="Q818" s="35">
        <f>('Batt Capacity and Sys Weight'!$I$4) + (B818*$T$2)</f>
        <v>53.824503</v>
      </c>
      <c r="R818" s="35">
        <f>'Batt Capacity and Sys Weight'!$H$4</f>
        <v>92.5</v>
      </c>
    </row>
    <row r="819" spans="1:18" x14ac:dyDescent="0.3">
      <c r="A819" s="35" t="s">
        <v>110</v>
      </c>
      <c r="B819" s="35">
        <v>13.33</v>
      </c>
      <c r="C819" s="35">
        <v>400</v>
      </c>
      <c r="D819" s="35" t="s">
        <v>17</v>
      </c>
      <c r="E819" s="36" t="str" cm="1">
        <f t="array" ref="E819">GetNumber(D819,1)</f>
        <v>15</v>
      </c>
      <c r="F819" s="36" t="str" cm="1">
        <f t="array" ref="F819">GetNumber(D819,2)</f>
        <v>10</v>
      </c>
      <c r="G819" s="35">
        <v>18.5</v>
      </c>
      <c r="H819" s="35">
        <v>6642</v>
      </c>
      <c r="I819" s="35">
        <f>39.96*($T$2)</f>
        <v>79.92</v>
      </c>
      <c r="J819" s="35">
        <f>739.3*($T$2)</f>
        <v>1478.6</v>
      </c>
      <c r="K819" s="35">
        <f t="shared" si="59"/>
        <v>3.753550656025971</v>
      </c>
      <c r="L819" s="35">
        <f t="shared" si="60"/>
        <v>3.7537537537537542</v>
      </c>
      <c r="M819" s="35">
        <f>6.6725*($T$2)</f>
        <v>13.345000000000001</v>
      </c>
      <c r="N819" s="35">
        <f>62.9*(5280/3600)</f>
        <v>92.25333333333333</v>
      </c>
      <c r="O819" s="35">
        <f t="shared" si="58"/>
        <v>0.90254294603002849</v>
      </c>
      <c r="P819" s="35">
        <f t="shared" si="62"/>
        <v>50.091133504666587</v>
      </c>
      <c r="Q819" s="35">
        <f>('Batt Capacity and Sys Weight'!$I$4) + (B819*$T$2)</f>
        <v>53.824503</v>
      </c>
      <c r="R819" s="35">
        <f>'Batt Capacity and Sys Weight'!$H$4</f>
        <v>92.5</v>
      </c>
    </row>
    <row r="820" spans="1:18" x14ac:dyDescent="0.3">
      <c r="A820" s="35" t="s">
        <v>110</v>
      </c>
      <c r="B820" s="35">
        <v>13.33</v>
      </c>
      <c r="C820" s="35">
        <v>400</v>
      </c>
      <c r="D820" s="35" t="s">
        <v>19</v>
      </c>
      <c r="E820" s="36" t="str" cm="1">
        <f t="array" ref="E820">GetNumber(D820,1)</f>
        <v>16</v>
      </c>
      <c r="F820" s="36" t="str" cm="1">
        <f t="array" ref="F820">GetNumber(D820,2)</f>
        <v>8</v>
      </c>
      <c r="G820" s="35">
        <v>18.5</v>
      </c>
      <c r="H820" s="35">
        <v>6687</v>
      </c>
      <c r="I820" s="35">
        <f>39.97*($T$2)</f>
        <v>79.94</v>
      </c>
      <c r="J820" s="35">
        <f>739.4*($T$2)</f>
        <v>1478.8</v>
      </c>
      <c r="K820" s="35">
        <f t="shared" si="59"/>
        <v>3.7530430078441981</v>
      </c>
      <c r="L820" s="35">
        <f t="shared" si="60"/>
        <v>3.752814610958219</v>
      </c>
      <c r="M820" s="35">
        <f>8.130625*($T$2)</f>
        <v>16.26125</v>
      </c>
      <c r="N820" s="35">
        <f>50.7*(5280/3600)</f>
        <v>74.36</v>
      </c>
      <c r="O820" s="35">
        <f t="shared" si="58"/>
        <v>1.0996246956992157</v>
      </c>
      <c r="P820" s="35">
        <f t="shared" si="62"/>
        <v>61.029170611306469</v>
      </c>
      <c r="Q820" s="35">
        <f>('Batt Capacity and Sys Weight'!$I$4) + (B820*$T$2)</f>
        <v>53.824503</v>
      </c>
      <c r="R820" s="35">
        <f>'Batt Capacity and Sys Weight'!$H$4</f>
        <v>92.5</v>
      </c>
    </row>
    <row r="821" spans="1:18" x14ac:dyDescent="0.3">
      <c r="A821" s="35" t="s">
        <v>110</v>
      </c>
      <c r="B821" s="35">
        <v>13.33</v>
      </c>
      <c r="C821" s="35">
        <v>400</v>
      </c>
      <c r="D821" s="35" t="s">
        <v>20</v>
      </c>
      <c r="E821" s="36" t="str" cm="1">
        <f t="array" ref="E821">GetNumber(D821,1)</f>
        <v>16</v>
      </c>
      <c r="F821" s="36" t="str" cm="1">
        <f t="array" ref="F821">GetNumber(D821,2)</f>
        <v>10</v>
      </c>
      <c r="G821" s="35">
        <v>18.5</v>
      </c>
      <c r="H821" s="35">
        <v>6579</v>
      </c>
      <c r="I821" s="35">
        <f>45.21*($T$2)</f>
        <v>90.42</v>
      </c>
      <c r="J821" s="35">
        <f>836.5*($T$2)</f>
        <v>1673</v>
      </c>
      <c r="K821" s="35">
        <f t="shared" si="59"/>
        <v>3.3173939031679613</v>
      </c>
      <c r="L821" s="35">
        <f t="shared" si="60"/>
        <v>3.3178500331785004</v>
      </c>
      <c r="M821" s="35">
        <f>8.825625*($T$2)</f>
        <v>17.651250000000001</v>
      </c>
      <c r="N821" s="35">
        <f>62.3*(5280/3600)</f>
        <v>91.373333333333321</v>
      </c>
      <c r="O821" s="35">
        <f t="shared" si="58"/>
        <v>1.055065750149432</v>
      </c>
      <c r="P821" s="35">
        <f t="shared" si="62"/>
        <v>58.556149133293481</v>
      </c>
      <c r="Q821" s="35">
        <f>('Batt Capacity and Sys Weight'!$I$4) + (B821*$T$2)</f>
        <v>53.824503</v>
      </c>
      <c r="R821" s="35">
        <f>'Batt Capacity and Sys Weight'!$H$4</f>
        <v>92.5</v>
      </c>
    </row>
    <row r="822" spans="1:18" x14ac:dyDescent="0.3">
      <c r="A822" s="35" t="s">
        <v>110</v>
      </c>
      <c r="B822" s="35">
        <v>13.33</v>
      </c>
      <c r="C822" s="35">
        <v>400</v>
      </c>
      <c r="D822" s="35" t="s">
        <v>21</v>
      </c>
      <c r="E822" s="36" t="str" cm="1">
        <f t="array" ref="E822">GetNumber(D822,1)</f>
        <v>17</v>
      </c>
      <c r="F822" s="36" t="str" cm="1">
        <f t="array" ref="F822">GetNumber(D822,2)</f>
        <v>6</v>
      </c>
      <c r="G822" s="35">
        <v>18.5</v>
      </c>
      <c r="H822" s="35">
        <v>6616</v>
      </c>
      <c r="I822" s="35">
        <f>39.92*($T$2)</f>
        <v>79.84</v>
      </c>
      <c r="J822" s="35">
        <f>738.5*($T$2)</f>
        <v>1477</v>
      </c>
      <c r="K822" s="35">
        <f t="shared" si="59"/>
        <v>3.7576167907921465</v>
      </c>
      <c r="L822" s="35">
        <f t="shared" si="60"/>
        <v>3.7575150300601199</v>
      </c>
      <c r="M822" s="35">
        <f>8.485625*($T$2)</f>
        <v>16.971250000000001</v>
      </c>
      <c r="N822" s="35">
        <f>37.6*(5280/3600)</f>
        <v>55.146666666666668</v>
      </c>
      <c r="O822" s="35">
        <f t="shared" si="58"/>
        <v>1.1490352064996616</v>
      </c>
      <c r="P822" s="35">
        <f t="shared" si="62"/>
        <v>63.771453960731222</v>
      </c>
      <c r="Q822" s="35">
        <f>('Batt Capacity and Sys Weight'!$I$4) + (B822*$T$2)</f>
        <v>53.824503</v>
      </c>
      <c r="R822" s="35">
        <f>'Batt Capacity and Sys Weight'!$H$4</f>
        <v>92.5</v>
      </c>
    </row>
    <row r="823" spans="1:18" x14ac:dyDescent="0.3">
      <c r="A823" s="35" t="s">
        <v>110</v>
      </c>
      <c r="B823" s="35">
        <v>13.33</v>
      </c>
      <c r="C823" s="35">
        <v>400</v>
      </c>
      <c r="D823" s="35" t="s">
        <v>22</v>
      </c>
      <c r="E823" s="36" t="str" cm="1">
        <f t="array" ref="E823">GetNumber(D823,1)</f>
        <v>17</v>
      </c>
      <c r="F823" s="36" t="str" cm="1">
        <f t="array" ref="F823">GetNumber(D823,2)</f>
        <v>8</v>
      </c>
      <c r="G823" s="35">
        <v>18.5</v>
      </c>
      <c r="H823" s="35">
        <v>6563</v>
      </c>
      <c r="I823" s="35">
        <f>45.63*($T$2)</f>
        <v>91.26</v>
      </c>
      <c r="J823" s="35">
        <f>844.2*($T$2)</f>
        <v>1688.4</v>
      </c>
      <c r="K823" s="35">
        <f t="shared" si="59"/>
        <v>3.2871357498223168</v>
      </c>
      <c r="L823" s="35">
        <f t="shared" si="60"/>
        <v>3.2873109796186717</v>
      </c>
      <c r="M823" s="35">
        <f>9.59*($T$2)</f>
        <v>19.18</v>
      </c>
      <c r="N823" s="35">
        <f>49.7*(5280/3600)</f>
        <v>72.893333333333331</v>
      </c>
      <c r="O823" s="35">
        <f t="shared" si="58"/>
        <v>1.1359867330016582</v>
      </c>
      <c r="P823" s="35">
        <f t="shared" si="62"/>
        <v>63.047263681592035</v>
      </c>
      <c r="Q823" s="35">
        <f>('Batt Capacity and Sys Weight'!$I$4) + (B823*$T$2)</f>
        <v>53.824503</v>
      </c>
      <c r="R823" s="35">
        <f>'Batt Capacity and Sys Weight'!$H$4</f>
        <v>92.5</v>
      </c>
    </row>
    <row r="824" spans="1:18" x14ac:dyDescent="0.3">
      <c r="A824" s="35" t="s">
        <v>110</v>
      </c>
      <c r="B824" s="35">
        <v>13.33</v>
      </c>
      <c r="C824" s="35">
        <v>400</v>
      </c>
      <c r="D824" s="35" t="s">
        <v>24</v>
      </c>
      <c r="E824" s="36" t="str" cm="1">
        <f t="array" ref="E824">GetNumber(D824,1)</f>
        <v>18</v>
      </c>
      <c r="F824" s="36" t="str" cm="1">
        <f t="array" ref="F824">GetNumber(D824,2)</f>
        <v>8</v>
      </c>
      <c r="G824" s="35">
        <v>18.5</v>
      </c>
      <c r="H824" s="35">
        <v>6403</v>
      </c>
      <c r="I824" s="35">
        <f>51.81*($T$2)</f>
        <v>103.62</v>
      </c>
      <c r="J824" s="35">
        <f>958.5*($T$2)</f>
        <v>1917</v>
      </c>
      <c r="K824" s="35">
        <f t="shared" si="59"/>
        <v>2.8951486697965572</v>
      </c>
      <c r="L824" s="35">
        <f t="shared" si="60"/>
        <v>2.8951939779965254</v>
      </c>
      <c r="M824" s="35">
        <f>10.71875*($T$2)</f>
        <v>21.4375</v>
      </c>
      <c r="N824" s="35">
        <f>48.5*(5280/3600)</f>
        <v>71.133333333333326</v>
      </c>
      <c r="O824" s="35">
        <f t="shared" si="58"/>
        <v>1.1182837767344811</v>
      </c>
      <c r="P824" s="35">
        <f t="shared" si="62"/>
        <v>62.064749608763691</v>
      </c>
      <c r="Q824" s="35">
        <f>('Batt Capacity and Sys Weight'!$I$4) + (B824*$T$2)</f>
        <v>53.824503</v>
      </c>
      <c r="R824" s="35">
        <f>'Batt Capacity and Sys Weight'!$H$4</f>
        <v>92.5</v>
      </c>
    </row>
    <row r="825" spans="1:18" x14ac:dyDescent="0.3">
      <c r="A825" s="35" t="s">
        <v>110</v>
      </c>
      <c r="B825" s="35">
        <v>13.33</v>
      </c>
      <c r="C825" s="35">
        <v>400</v>
      </c>
      <c r="D825" s="35" t="s">
        <v>27</v>
      </c>
      <c r="E825" s="36" t="str" cm="1">
        <f t="array" ref="E825">GetNumber(D825,1)</f>
        <v>14</v>
      </c>
      <c r="F825" s="36" t="str" cm="1">
        <f t="array" ref="F825">GetNumber(D825,2)</f>
        <v>9</v>
      </c>
      <c r="G825" s="35">
        <v>18.5</v>
      </c>
      <c r="H825" s="35">
        <v>6729</v>
      </c>
      <c r="I825" s="35">
        <f>36.24*($T$2)</f>
        <v>72.48</v>
      </c>
      <c r="J825" s="35">
        <f>670.4*($T$2)</f>
        <v>1340.8</v>
      </c>
      <c r="K825" s="35">
        <f t="shared" si="59"/>
        <v>4.139319809069212</v>
      </c>
      <c r="L825" s="35">
        <f t="shared" si="60"/>
        <v>4.1390728476821188</v>
      </c>
      <c r="M825" s="35">
        <f>7.595*($T$2)</f>
        <v>15.19</v>
      </c>
      <c r="N825" s="35">
        <f>57.3*(5280/3600)</f>
        <v>84.039999999999992</v>
      </c>
      <c r="O825" s="35">
        <f t="shared" si="58"/>
        <v>1.1329057279236276</v>
      </c>
      <c r="P825" s="35">
        <f t="shared" si="62"/>
        <v>62.876267899761331</v>
      </c>
      <c r="Q825" s="35">
        <f>('Batt Capacity and Sys Weight'!$I$4) + (B825*$T$2)</f>
        <v>53.824503</v>
      </c>
      <c r="R825" s="35">
        <f>'Batt Capacity and Sys Weight'!$H$4</f>
        <v>92.5</v>
      </c>
    </row>
    <row r="826" spans="1:18" x14ac:dyDescent="0.3">
      <c r="A826" s="35" t="s">
        <v>110</v>
      </c>
      <c r="B826" s="35">
        <v>13.33</v>
      </c>
      <c r="C826" s="35">
        <v>400</v>
      </c>
      <c r="D826" s="35" t="s">
        <v>28</v>
      </c>
      <c r="E826" s="36" t="str" cm="1">
        <f t="array" ref="E826">GetNumber(D826,1)</f>
        <v>15</v>
      </c>
      <c r="F826" s="36" t="str" cm="1">
        <f t="array" ref="F826">GetNumber(D826,2)</f>
        <v>7</v>
      </c>
      <c r="G826" s="35">
        <v>18.5</v>
      </c>
      <c r="H826" s="35">
        <v>6682</v>
      </c>
      <c r="I826" s="35">
        <f>38.2*($T$2)</f>
        <v>76.400000000000006</v>
      </c>
      <c r="J826" s="35">
        <f>706.7*($T$2)</f>
        <v>1413.4</v>
      </c>
      <c r="K826" s="35">
        <f t="shared" si="59"/>
        <v>3.9267015706806281</v>
      </c>
      <c r="L826" s="35">
        <f t="shared" si="60"/>
        <v>3.9267015706806281</v>
      </c>
      <c r="M826" s="35">
        <f>8.21*($T$2)</f>
        <v>16.420000000000002</v>
      </c>
      <c r="N826" s="35">
        <f>44.3*(5280/3600)</f>
        <v>64.973333333333329</v>
      </c>
      <c r="O826" s="35">
        <f t="shared" si="58"/>
        <v>1.1617376538842508</v>
      </c>
      <c r="P826" s="35">
        <f t="shared" si="62"/>
        <v>64.476439790575924</v>
      </c>
      <c r="Q826" s="35">
        <f>('Batt Capacity and Sys Weight'!$I$4) + (B826*$T$2)</f>
        <v>53.824503</v>
      </c>
      <c r="R826" s="35">
        <f>'Batt Capacity and Sys Weight'!$H$4</f>
        <v>92.5</v>
      </c>
    </row>
    <row r="827" spans="1:18" x14ac:dyDescent="0.3">
      <c r="A827" s="35" t="s">
        <v>110</v>
      </c>
      <c r="B827" s="35">
        <v>13.33</v>
      </c>
      <c r="C827" s="35">
        <v>400</v>
      </c>
      <c r="D827" s="35" t="s">
        <v>29</v>
      </c>
      <c r="E827" s="36" t="str" cm="1">
        <f t="array" ref="E827">GetNumber(D827,1)</f>
        <v>16</v>
      </c>
      <c r="F827" s="36" t="str" cm="1">
        <f t="array" ref="F827">GetNumber(D827,2)</f>
        <v>8</v>
      </c>
      <c r="G827" s="35">
        <v>18.5</v>
      </c>
      <c r="H827" s="35">
        <v>6533</v>
      </c>
      <c r="I827" s="35">
        <f>44.77*($T$2)</f>
        <v>89.54</v>
      </c>
      <c r="J827" s="35">
        <f>828.2*($T$2)</f>
        <v>1656.4</v>
      </c>
      <c r="K827" s="35">
        <f t="shared" si="59"/>
        <v>3.3506399420429842</v>
      </c>
      <c r="L827" s="35">
        <f t="shared" si="60"/>
        <v>3.3504578959124411</v>
      </c>
      <c r="M827" s="35">
        <f>9.41625*($T$2)</f>
        <v>18.8325</v>
      </c>
      <c r="N827" s="35">
        <f>49.5*(5280/3600)</f>
        <v>72.599999999999994</v>
      </c>
      <c r="O827" s="35">
        <f t="shared" si="58"/>
        <v>1.136953634387829</v>
      </c>
      <c r="P827" s="35">
        <f t="shared" si="62"/>
        <v>63.100926708524497</v>
      </c>
      <c r="Q827" s="35">
        <f>('Batt Capacity and Sys Weight'!$I$4) + (B827*$T$2)</f>
        <v>53.824503</v>
      </c>
      <c r="R827" s="35">
        <f>'Batt Capacity and Sys Weight'!$H$4</f>
        <v>92.5</v>
      </c>
    </row>
    <row r="828" spans="1:18" x14ac:dyDescent="0.3">
      <c r="A828" s="35" t="s">
        <v>110</v>
      </c>
      <c r="B828" s="35">
        <v>13.33</v>
      </c>
      <c r="C828" s="35">
        <v>400</v>
      </c>
      <c r="D828" s="35" t="s">
        <v>37</v>
      </c>
      <c r="E828" s="36" t="str" cm="1">
        <f t="array" ref="E828">GetNumber(D828,1)</f>
        <v>13</v>
      </c>
      <c r="F828" s="36" t="str" cm="1">
        <f t="array" ref="F828">GetNumber(D828,2)</f>
        <v>10</v>
      </c>
      <c r="G828" s="35">
        <v>22.2</v>
      </c>
      <c r="H828" s="35">
        <v>8021</v>
      </c>
      <c r="I828" s="35">
        <f>40.11*($T$2)</f>
        <v>80.22</v>
      </c>
      <c r="J828" s="35">
        <f>890.3*($T$2)</f>
        <v>1780.6</v>
      </c>
      <c r="K828" s="35">
        <f t="shared" si="59"/>
        <v>3.3662810288666747</v>
      </c>
      <c r="L828" s="35">
        <f t="shared" si="60"/>
        <v>3.3657442034405385</v>
      </c>
      <c r="M828" s="35">
        <f>6.181875*($T$2)</f>
        <v>12.36375</v>
      </c>
      <c r="N828" s="35">
        <f>76*(5280/3600)</f>
        <v>111.46666666666665</v>
      </c>
      <c r="O828" s="35">
        <f t="shared" si="58"/>
        <v>0.69435864315399298</v>
      </c>
      <c r="P828" s="35">
        <f t="shared" si="62"/>
        <v>41.619857070650347</v>
      </c>
      <c r="Q828" s="35">
        <f>('Batt Capacity and Sys Weight'!$I$5) + (B828*$T$2)</f>
        <v>58.233753</v>
      </c>
      <c r="R828" s="35">
        <f>'Batt Capacity and Sys Weight'!$H$5</f>
        <v>99.9</v>
      </c>
    </row>
    <row r="829" spans="1:18" x14ac:dyDescent="0.3">
      <c r="A829" s="35" t="s">
        <v>110</v>
      </c>
      <c r="B829" s="35">
        <v>13.33</v>
      </c>
      <c r="C829" s="35">
        <v>400</v>
      </c>
      <c r="D829" s="35" t="s">
        <v>39</v>
      </c>
      <c r="E829" s="36" t="str" cm="1">
        <f t="array" ref="E829">GetNumber(D829,1)</f>
        <v>14</v>
      </c>
      <c r="F829" s="36" t="str" cm="1">
        <f t="array" ref="F829">GetNumber(D829,2)</f>
        <v>7</v>
      </c>
      <c r="G829" s="35">
        <v>22.2</v>
      </c>
      <c r="H829" s="35">
        <v>8155</v>
      </c>
      <c r="I829" s="35">
        <f>34.52*($T$2)</f>
        <v>69.040000000000006</v>
      </c>
      <c r="J829" s="35">
        <f>766.2*($T$2)</f>
        <v>1532.4</v>
      </c>
      <c r="K829" s="35">
        <f t="shared" si="59"/>
        <v>3.9115113547376663</v>
      </c>
      <c r="L829" s="35">
        <f t="shared" si="60"/>
        <v>3.9107763615295474</v>
      </c>
      <c r="M829" s="35">
        <f>7.69625*($T$2)</f>
        <v>15.3925</v>
      </c>
      <c r="N829" s="35">
        <f>54.1*(5280/3600)</f>
        <v>79.346666666666664</v>
      </c>
      <c r="O829" s="35">
        <f t="shared" si="58"/>
        <v>1.0044701122422344</v>
      </c>
      <c r="P829" s="35">
        <f t="shared" si="62"/>
        <v>60.207938527799527</v>
      </c>
      <c r="Q829" s="35">
        <f>('Batt Capacity and Sys Weight'!$I$5) + (B829*$T$2)</f>
        <v>58.233753</v>
      </c>
      <c r="R829" s="35">
        <f>'Batt Capacity and Sys Weight'!$H$5</f>
        <v>99.9</v>
      </c>
    </row>
    <row r="830" spans="1:18" x14ac:dyDescent="0.3">
      <c r="A830" s="35" t="s">
        <v>110</v>
      </c>
      <c r="B830" s="35">
        <v>13.33</v>
      </c>
      <c r="C830" s="35">
        <v>400</v>
      </c>
      <c r="D830" s="35" t="s">
        <v>40</v>
      </c>
      <c r="E830" s="36" t="str" cm="1">
        <f t="array" ref="E830">GetNumber(D830,1)</f>
        <v>14</v>
      </c>
      <c r="F830" s="36" cm="1">
        <f t="array" ref="F830">GetNumber(D830,2)+(GetNumber(D830,3)/10)</f>
        <v>8.5</v>
      </c>
      <c r="G830" s="35">
        <v>22.2</v>
      </c>
      <c r="H830" s="35">
        <v>8110</v>
      </c>
      <c r="I830" s="35">
        <f>36.27*($T$2)</f>
        <v>72.540000000000006</v>
      </c>
      <c r="J830" s="35">
        <f>805.1*($T$2)</f>
        <v>1610.2</v>
      </c>
      <c r="K830" s="35">
        <f t="shared" si="59"/>
        <v>3.7225189417463671</v>
      </c>
      <c r="L830" s="35">
        <f t="shared" si="60"/>
        <v>3.7220843672456572</v>
      </c>
      <c r="M830" s="35">
        <f>7.895*($T$2)</f>
        <v>15.79</v>
      </c>
      <c r="N830" s="35">
        <f>65.3*(5280/3600)</f>
        <v>95.773333333333326</v>
      </c>
      <c r="O830" s="35">
        <f t="shared" si="58"/>
        <v>0.9806235250279467</v>
      </c>
      <c r="P830" s="35">
        <f t="shared" si="62"/>
        <v>58.778574090175134</v>
      </c>
      <c r="Q830" s="35">
        <f>('Batt Capacity and Sys Weight'!$I$5) + (B830*$T$2)</f>
        <v>58.233753</v>
      </c>
      <c r="R830" s="35">
        <f>'Batt Capacity and Sys Weight'!$H$5</f>
        <v>99.9</v>
      </c>
    </row>
    <row r="831" spans="1:18" x14ac:dyDescent="0.3">
      <c r="A831" s="35" t="s">
        <v>110</v>
      </c>
      <c r="B831" s="35">
        <v>13.33</v>
      </c>
      <c r="C831" s="35">
        <v>400</v>
      </c>
      <c r="D831" s="35" t="s">
        <v>41</v>
      </c>
      <c r="E831" s="36" t="str" cm="1">
        <f t="array" ref="E831">GetNumber(D831,1)</f>
        <v>14</v>
      </c>
      <c r="F831" s="36" t="str" cm="1">
        <f t="array" ref="F831">GetNumber(D831,2)</f>
        <v>10</v>
      </c>
      <c r="G831" s="35">
        <v>22.2</v>
      </c>
      <c r="H831" s="35">
        <v>8095</v>
      </c>
      <c r="I831" s="35">
        <f>35.67*($T$2)</f>
        <v>71.34</v>
      </c>
      <c r="J831" s="35">
        <f>791.8*($T$2)</f>
        <v>1583.6</v>
      </c>
      <c r="K831" s="35">
        <f t="shared" si="59"/>
        <v>3.7850467289719631</v>
      </c>
      <c r="L831" s="35">
        <f t="shared" si="60"/>
        <v>3.7846930193439867</v>
      </c>
      <c r="M831" s="35">
        <f>7.830625*($T$2)</f>
        <v>15.661250000000001</v>
      </c>
      <c r="N831" s="35">
        <f>76.7*(5280/3600)</f>
        <v>112.49333333333333</v>
      </c>
      <c r="O831" s="35">
        <f t="shared" si="58"/>
        <v>0.98896501641828749</v>
      </c>
      <c r="P831" s="35">
        <f t="shared" si="62"/>
        <v>59.278563084112157</v>
      </c>
      <c r="Q831" s="35">
        <f>('Batt Capacity and Sys Weight'!$I$5) + (B831*$T$2)</f>
        <v>58.233753</v>
      </c>
      <c r="R831" s="35">
        <f>'Batt Capacity and Sys Weight'!$H$5</f>
        <v>99.9</v>
      </c>
    </row>
    <row r="832" spans="1:18" x14ac:dyDescent="0.3">
      <c r="A832" s="35" t="s">
        <v>110</v>
      </c>
      <c r="B832" s="35">
        <v>13.33</v>
      </c>
      <c r="C832" s="35">
        <v>400</v>
      </c>
      <c r="D832" s="35" t="s">
        <v>43</v>
      </c>
      <c r="E832" s="36" t="str" cm="1">
        <f t="array" ref="E832">GetNumber(D832,1)</f>
        <v>15</v>
      </c>
      <c r="F832" s="36" t="str" cm="1">
        <f t="array" ref="F832">GetNumber(D832,2)</f>
        <v>6</v>
      </c>
      <c r="G832" s="35">
        <v>22.2</v>
      </c>
      <c r="H832" s="35">
        <v>8112</v>
      </c>
      <c r="I832" s="35">
        <f>35.99*($T$2)</f>
        <v>71.98</v>
      </c>
      <c r="J832" s="35">
        <f>798.9*($T$2)</f>
        <v>1597.8</v>
      </c>
      <c r="K832" s="35">
        <f t="shared" si="59"/>
        <v>3.7514081862561022</v>
      </c>
      <c r="L832" s="35">
        <f t="shared" si="60"/>
        <v>3.7510419560989159</v>
      </c>
      <c r="M832" s="35">
        <f>8.878125*($T$2)</f>
        <v>17.756250000000001</v>
      </c>
      <c r="N832" s="35">
        <f>46.1*(5280/3600)</f>
        <v>67.61333333333333</v>
      </c>
      <c r="O832" s="35">
        <f t="shared" si="58"/>
        <v>1.1112936537739393</v>
      </c>
      <c r="P832" s="35">
        <f t="shared" si="62"/>
        <v>66.610941607209924</v>
      </c>
      <c r="Q832" s="35">
        <f>('Batt Capacity and Sys Weight'!$I$5) + (B832*$T$2)</f>
        <v>58.233753</v>
      </c>
      <c r="R832" s="35">
        <f>'Batt Capacity and Sys Weight'!$H$5</f>
        <v>99.9</v>
      </c>
    </row>
    <row r="833" spans="1:18" x14ac:dyDescent="0.3">
      <c r="A833" s="35" t="s">
        <v>110</v>
      </c>
      <c r="B833" s="35">
        <v>13.33</v>
      </c>
      <c r="C833" s="35">
        <v>400</v>
      </c>
      <c r="D833" s="35" t="s">
        <v>44</v>
      </c>
      <c r="E833" s="36" t="str" cm="1">
        <f t="array" ref="E833">GetNumber(D833,1)</f>
        <v>15</v>
      </c>
      <c r="F833" s="36" t="str" cm="1">
        <f t="array" ref="F833">GetNumber(D833,2)</f>
        <v>7</v>
      </c>
      <c r="G833" s="35">
        <v>22.2</v>
      </c>
      <c r="H833" s="35">
        <v>8117</v>
      </c>
      <c r="I833" s="35">
        <f>35.72*($T$2)</f>
        <v>71.44</v>
      </c>
      <c r="J833" s="35">
        <f>792.9*($T$2)</f>
        <v>1585.8</v>
      </c>
      <c r="K833" s="35">
        <f t="shared" si="59"/>
        <v>3.7797956867196376</v>
      </c>
      <c r="L833" s="35">
        <f t="shared" si="60"/>
        <v>3.7793952967525195</v>
      </c>
      <c r="M833" s="35">
        <f>8.838125*($T$2)</f>
        <v>17.67625</v>
      </c>
      <c r="N833" s="35">
        <f>53.8*(5280/3600)</f>
        <v>78.906666666666652</v>
      </c>
      <c r="O833" s="35">
        <f t="shared" si="58"/>
        <v>1.1146582166729726</v>
      </c>
      <c r="P833" s="35">
        <f t="shared" si="62"/>
        <v>66.812613507377989</v>
      </c>
      <c r="Q833" s="35">
        <f>('Batt Capacity and Sys Weight'!$I$5) + (B833*$T$2)</f>
        <v>58.233753</v>
      </c>
      <c r="R833" s="35">
        <f>'Batt Capacity and Sys Weight'!$H$5</f>
        <v>99.9</v>
      </c>
    </row>
    <row r="834" spans="1:18" x14ac:dyDescent="0.3">
      <c r="A834" s="35" t="s">
        <v>110</v>
      </c>
      <c r="B834" s="35">
        <v>13.33</v>
      </c>
      <c r="C834" s="35">
        <v>400</v>
      </c>
      <c r="D834" s="35" t="s">
        <v>0</v>
      </c>
      <c r="E834" s="36" t="str" cm="1">
        <f t="array" ref="E834">GetNumber(D834,1)</f>
        <v>15</v>
      </c>
      <c r="F834" s="36" t="str" cm="1">
        <f t="array" ref="F834">GetNumber(D834,2)</f>
        <v>8</v>
      </c>
      <c r="G834" s="35">
        <v>22.2</v>
      </c>
      <c r="H834" s="35">
        <v>8040</v>
      </c>
      <c r="I834" s="35">
        <f>39.34*($T$2)</f>
        <v>78.680000000000007</v>
      </c>
      <c r="J834" s="35">
        <f>873.4*($T$2)</f>
        <v>1746.8</v>
      </c>
      <c r="K834" s="35">
        <f t="shared" si="59"/>
        <v>3.4314174490496914</v>
      </c>
      <c r="L834" s="35">
        <f t="shared" si="60"/>
        <v>3.4316217590238938</v>
      </c>
      <c r="M834" s="35">
        <f>8.811875*($T$2)</f>
        <v>17.623750000000001</v>
      </c>
      <c r="N834" s="35">
        <f>60.9*(5280/3600)</f>
        <v>89.32</v>
      </c>
      <c r="O834" s="35">
        <f t="shared" ref="O834:O897" si="63" xml:space="preserve"> (M834/J834)*100</f>
        <v>1.0089163040989237</v>
      </c>
      <c r="P834" s="35">
        <f t="shared" si="62"/>
        <v>60.474443267689502</v>
      </c>
      <c r="Q834" s="35">
        <f>('Batt Capacity and Sys Weight'!$I$5) + (B834*$T$2)</f>
        <v>58.233753</v>
      </c>
      <c r="R834" s="35">
        <f>'Batt Capacity and Sys Weight'!$H$5</f>
        <v>99.9</v>
      </c>
    </row>
    <row r="835" spans="1:18" x14ac:dyDescent="0.3">
      <c r="A835" s="35" t="s">
        <v>110</v>
      </c>
      <c r="B835" s="35">
        <v>13.33</v>
      </c>
      <c r="C835" s="35">
        <v>400</v>
      </c>
      <c r="D835" s="35" t="s">
        <v>2</v>
      </c>
      <c r="E835" s="36" t="str" cm="1">
        <f t="array" ref="E835">GetNumber(D835,1)</f>
        <v>16</v>
      </c>
      <c r="F835" s="36" t="str" cm="1">
        <f t="array" ref="F835">GetNumber(D835,2)</f>
        <v>7</v>
      </c>
      <c r="G835" s="35">
        <v>22.2</v>
      </c>
      <c r="H835" s="35">
        <v>7847</v>
      </c>
      <c r="I835" s="35">
        <f>49.42*($T$2)</f>
        <v>98.84</v>
      </c>
      <c r="J835" s="35">
        <f>1097.1*($T$2)</f>
        <v>2194.1999999999998</v>
      </c>
      <c r="K835" s="35">
        <f t="shared" ref="K835:K898" si="64" xml:space="preserve"> (R835/J835)*60</f>
        <v>2.7317473338802301</v>
      </c>
      <c r="L835" s="35">
        <f t="shared" ref="L835:L898" si="65">( (R835/G835)/I835)*60</f>
        <v>2.7316875758802102</v>
      </c>
      <c r="M835" s="35">
        <f>11.2725*($T$2)</f>
        <v>22.545000000000002</v>
      </c>
      <c r="N835" s="35">
        <f>52*(5280/3600)</f>
        <v>76.266666666666666</v>
      </c>
      <c r="O835" s="35">
        <f t="shared" si="63"/>
        <v>1.0274815422477441</v>
      </c>
      <c r="P835" s="35">
        <f t="shared" si="62"/>
        <v>61.587243642329788</v>
      </c>
      <c r="Q835" s="35">
        <f>('Batt Capacity and Sys Weight'!$I$5) + (B835*$T$2)</f>
        <v>58.233753</v>
      </c>
      <c r="R835" s="35">
        <f>'Batt Capacity and Sys Weight'!$H$5</f>
        <v>99.9</v>
      </c>
    </row>
    <row r="836" spans="1:18" x14ac:dyDescent="0.3">
      <c r="A836" s="35" t="s">
        <v>110</v>
      </c>
      <c r="B836" s="35">
        <v>13.33</v>
      </c>
      <c r="C836" s="35">
        <v>400</v>
      </c>
      <c r="D836" s="35" t="s">
        <v>6</v>
      </c>
      <c r="E836" s="36" t="str" cm="1">
        <f t="array" ref="E836">GetNumber(D836,1)</f>
        <v>17</v>
      </c>
      <c r="F836" s="36" t="str" cm="1">
        <f t="array" ref="F836">GetNumber(D836,2)</f>
        <v>7</v>
      </c>
      <c r="G836" s="35">
        <v>22.2</v>
      </c>
      <c r="H836" s="35">
        <v>7790</v>
      </c>
      <c r="I836" s="35">
        <f>53.97*($T$2)</f>
        <v>107.94</v>
      </c>
      <c r="J836" s="35">
        <f>1198.2*($T$2)</f>
        <v>2396.4</v>
      </c>
      <c r="K836" s="35">
        <f t="shared" si="64"/>
        <v>2.501251877816725</v>
      </c>
      <c r="L836" s="35">
        <f t="shared" si="65"/>
        <v>2.5013896609227348</v>
      </c>
      <c r="M836" s="35">
        <f>12.54625*($T$2)</f>
        <v>25.092500000000001</v>
      </c>
      <c r="N836" s="35">
        <f>51.6*(5280/3600)</f>
        <v>75.679999999999993</v>
      </c>
      <c r="O836" s="35">
        <f t="shared" si="63"/>
        <v>1.0470914705391421</v>
      </c>
      <c r="P836" s="35">
        <f t="shared" si="62"/>
        <v>62.762662744116177</v>
      </c>
      <c r="Q836" s="35">
        <f>('Batt Capacity and Sys Weight'!$I$5) + (B836*$T$2)</f>
        <v>58.233753</v>
      </c>
      <c r="R836" s="35">
        <f>'Batt Capacity and Sys Weight'!$H$5</f>
        <v>99.9</v>
      </c>
    </row>
    <row r="837" spans="1:18" x14ac:dyDescent="0.3">
      <c r="A837" s="35" t="s">
        <v>110</v>
      </c>
      <c r="B837" s="35">
        <v>13.33</v>
      </c>
      <c r="C837" s="35">
        <v>400</v>
      </c>
      <c r="D837" s="35" t="s">
        <v>46</v>
      </c>
      <c r="E837" s="36" t="str" cm="1">
        <f t="array" ref="E837">GetNumber(D837,1)</f>
        <v>13</v>
      </c>
      <c r="F837" s="36" t="str" cm="1">
        <f t="array" ref="F837">GetNumber(D837,2)</f>
        <v>10</v>
      </c>
      <c r="G837" s="35">
        <v>22.2</v>
      </c>
      <c r="H837" s="35">
        <v>8083</v>
      </c>
      <c r="I837" s="35">
        <f>38.65*($T$2)</f>
        <v>77.3</v>
      </c>
      <c r="J837" s="35">
        <f>858*($T$2)</f>
        <v>1716</v>
      </c>
      <c r="K837" s="35">
        <f t="shared" si="64"/>
        <v>3.4930069930069929</v>
      </c>
      <c r="L837" s="35">
        <f t="shared" si="65"/>
        <v>3.492884864165589</v>
      </c>
      <c r="M837" s="35">
        <f>5.855625*($T$2)</f>
        <v>11.71125</v>
      </c>
      <c r="N837" s="35">
        <f>76.5*(5280/3600)</f>
        <v>112.19999999999999</v>
      </c>
      <c r="O837" s="35">
        <f t="shared" si="63"/>
        <v>0.68247377622377625</v>
      </c>
      <c r="P837" s="35">
        <f t="shared" si="62"/>
        <v>40.907478146853144</v>
      </c>
      <c r="Q837" s="35">
        <f>('Batt Capacity and Sys Weight'!$I$5) + (B837*$T$2)</f>
        <v>58.233753</v>
      </c>
      <c r="R837" s="35">
        <f>'Batt Capacity and Sys Weight'!$H$5</f>
        <v>99.9</v>
      </c>
    </row>
    <row r="838" spans="1:18" x14ac:dyDescent="0.3">
      <c r="A838" s="35" t="s">
        <v>110</v>
      </c>
      <c r="B838" s="35">
        <v>13.33</v>
      </c>
      <c r="C838" s="35">
        <v>400</v>
      </c>
      <c r="D838" s="35" t="s">
        <v>49</v>
      </c>
      <c r="E838" s="36" t="str" cm="1">
        <f t="array" ref="E838">GetNumber(D838,1)</f>
        <v>14</v>
      </c>
      <c r="F838" s="36" t="str" cm="1">
        <f t="array" ref="F838">GetNumber(D838,2)</f>
        <v>10</v>
      </c>
      <c r="G838" s="35">
        <v>22.2</v>
      </c>
      <c r="H838" s="35">
        <v>7765</v>
      </c>
      <c r="I838" s="35">
        <f>45.17*($T$2)</f>
        <v>90.34</v>
      </c>
      <c r="J838" s="35">
        <f>1002.7*($T$2)</f>
        <v>2005.4</v>
      </c>
      <c r="K838" s="35">
        <f t="shared" si="64"/>
        <v>2.9889298892988929</v>
      </c>
      <c r="L838" s="35">
        <f t="shared" si="65"/>
        <v>2.9887093203453619</v>
      </c>
      <c r="M838" s="35">
        <f>7.870625*($T$2)</f>
        <v>15.741250000000001</v>
      </c>
      <c r="N838" s="35">
        <f>73.5*(5280/3600)</f>
        <v>107.8</v>
      </c>
      <c r="O838" s="35">
        <f t="shared" si="63"/>
        <v>0.78494315348558896</v>
      </c>
      <c r="P838" s="35">
        <f t="shared" si="62"/>
        <v>47.049492619926198</v>
      </c>
      <c r="Q838" s="35">
        <f>('Batt Capacity and Sys Weight'!$I$5) + (B838*$T$2)</f>
        <v>58.233753</v>
      </c>
      <c r="R838" s="35">
        <f>'Batt Capacity and Sys Weight'!$H$5</f>
        <v>99.9</v>
      </c>
    </row>
    <row r="839" spans="1:18" x14ac:dyDescent="0.3">
      <c r="A839" s="35" t="s">
        <v>110</v>
      </c>
      <c r="B839" s="35">
        <v>13.33</v>
      </c>
      <c r="C839" s="35">
        <v>400</v>
      </c>
      <c r="D839" s="35" t="s">
        <v>50</v>
      </c>
      <c r="E839" s="36" t="str" cm="1">
        <f t="array" ref="E839">GetNumber(D839,1)</f>
        <v>15</v>
      </c>
      <c r="F839" s="36" t="str" cm="1">
        <f t="array" ref="F839">GetNumber(D839,2)</f>
        <v>6</v>
      </c>
      <c r="G839" s="35">
        <v>22.2</v>
      </c>
      <c r="H839" s="35">
        <v>8112</v>
      </c>
      <c r="I839" s="35">
        <f>36.12*($T$2)</f>
        <v>72.239999999999995</v>
      </c>
      <c r="J839" s="35">
        <f>801.9*($T$2)</f>
        <v>1603.8</v>
      </c>
      <c r="K839" s="35">
        <f t="shared" si="64"/>
        <v>3.7373737373737379</v>
      </c>
      <c r="L839" s="35">
        <f t="shared" si="65"/>
        <v>3.7375415282392028</v>
      </c>
      <c r="M839" s="35">
        <f>8.525*($T$2)</f>
        <v>17.05</v>
      </c>
      <c r="N839" s="35">
        <f>46.1*(5280/3600)</f>
        <v>67.61333333333333</v>
      </c>
      <c r="O839" s="35">
        <f t="shared" si="63"/>
        <v>1.0631001371742115</v>
      </c>
      <c r="P839" s="35">
        <f t="shared" si="62"/>
        <v>63.722222222222236</v>
      </c>
      <c r="Q839" s="35">
        <f>('Batt Capacity and Sys Weight'!$I$5) + (B839*$T$2)</f>
        <v>58.233753</v>
      </c>
      <c r="R839" s="35">
        <f>'Batt Capacity and Sys Weight'!$H$5</f>
        <v>99.9</v>
      </c>
    </row>
    <row r="840" spans="1:18" x14ac:dyDescent="0.3">
      <c r="A840" s="35" t="s">
        <v>110</v>
      </c>
      <c r="B840" s="35">
        <v>13.33</v>
      </c>
      <c r="C840" s="35">
        <v>400</v>
      </c>
      <c r="D840" s="35" t="s">
        <v>51</v>
      </c>
      <c r="E840" s="36" t="str" cm="1">
        <f t="array" ref="E840">GetNumber(D840,1)</f>
        <v>15</v>
      </c>
      <c r="F840" s="36" t="str" cm="1">
        <f t="array" ref="F840">GetNumber(D840,2)</f>
        <v>7</v>
      </c>
      <c r="G840" s="35">
        <v>22.2</v>
      </c>
      <c r="H840" s="35">
        <v>8068</v>
      </c>
      <c r="I840" s="35">
        <f>37.12*($T$2)</f>
        <v>74.239999999999995</v>
      </c>
      <c r="J840" s="35">
        <f>824*($T$2)</f>
        <v>1648</v>
      </c>
      <c r="K840" s="35">
        <f t="shared" si="64"/>
        <v>3.6371359223300974</v>
      </c>
      <c r="L840" s="35">
        <f t="shared" si="65"/>
        <v>3.6368534482758621</v>
      </c>
      <c r="M840" s="35">
        <f>8.875625*($T$2)</f>
        <v>17.751249999999999</v>
      </c>
      <c r="N840" s="35">
        <f>53.5*(5280/3600)</f>
        <v>78.466666666666654</v>
      </c>
      <c r="O840" s="35">
        <f t="shared" si="63"/>
        <v>1.0771389563106795</v>
      </c>
      <c r="P840" s="35">
        <f t="shared" si="62"/>
        <v>64.563709041262143</v>
      </c>
      <c r="Q840" s="35">
        <f>('Batt Capacity and Sys Weight'!$I$5) + (B840*$T$2)</f>
        <v>58.233753</v>
      </c>
      <c r="R840" s="35">
        <f>'Batt Capacity and Sys Weight'!$H$5</f>
        <v>99.9</v>
      </c>
    </row>
    <row r="841" spans="1:18" x14ac:dyDescent="0.3">
      <c r="A841" s="35" t="s">
        <v>110</v>
      </c>
      <c r="B841" s="35">
        <v>13.33</v>
      </c>
      <c r="C841" s="35">
        <v>400</v>
      </c>
      <c r="D841" s="35" t="s">
        <v>16</v>
      </c>
      <c r="E841" s="36" t="str" cm="1">
        <f t="array" ref="E841">GetNumber(D841,1)</f>
        <v>15</v>
      </c>
      <c r="F841" s="36" t="str" cm="1">
        <f t="array" ref="F841">GetNumber(D841,2)</f>
        <v>8</v>
      </c>
      <c r="G841" s="35">
        <v>22.2</v>
      </c>
      <c r="H841" s="35">
        <v>7973</v>
      </c>
      <c r="I841" s="35">
        <f>41.18*($T$2)</f>
        <v>82.36</v>
      </c>
      <c r="J841" s="35">
        <f>914.3*($T$2)</f>
        <v>1828.6</v>
      </c>
      <c r="K841" s="35">
        <f t="shared" si="64"/>
        <v>3.2779175325385546</v>
      </c>
      <c r="L841" s="35">
        <f t="shared" si="65"/>
        <v>3.2782904322486646</v>
      </c>
      <c r="M841" s="35">
        <f>8.49375*($T$2)</f>
        <v>16.987500000000001</v>
      </c>
      <c r="N841" s="35">
        <f>60.4*(5280/3600)</f>
        <v>88.586666666666659</v>
      </c>
      <c r="O841" s="35">
        <f t="shared" si="63"/>
        <v>0.92898939079076903</v>
      </c>
      <c r="P841" s="35">
        <f t="shared" si="62"/>
        <v>55.683624083998701</v>
      </c>
      <c r="Q841" s="35">
        <f>('Batt Capacity and Sys Weight'!$I$5) + (B841*$T$2)</f>
        <v>58.233753</v>
      </c>
      <c r="R841" s="35">
        <f>'Batt Capacity and Sys Weight'!$H$5</f>
        <v>99.9</v>
      </c>
    </row>
    <row r="842" spans="1:18" x14ac:dyDescent="0.3">
      <c r="A842" s="35" t="s">
        <v>110</v>
      </c>
      <c r="B842" s="35">
        <v>13.33</v>
      </c>
      <c r="C842" s="35">
        <v>400</v>
      </c>
      <c r="D842" s="35" t="s">
        <v>52</v>
      </c>
      <c r="E842" s="36" t="str" cm="1">
        <f t="array" ref="E842">GetNumber(D842,1)</f>
        <v>16</v>
      </c>
      <c r="F842" s="36" t="str" cm="1">
        <f t="array" ref="F842">GetNumber(D842,2)</f>
        <v>6</v>
      </c>
      <c r="G842" s="35">
        <v>22.2</v>
      </c>
      <c r="H842" s="35">
        <v>8048</v>
      </c>
      <c r="I842" s="35">
        <f>43.46*($T$2)</f>
        <v>86.92</v>
      </c>
      <c r="J842" s="35">
        <f>964.8*($T$2)</f>
        <v>1929.6</v>
      </c>
      <c r="K842" s="35">
        <f t="shared" si="64"/>
        <v>3.1063432835820897</v>
      </c>
      <c r="L842" s="35">
        <f t="shared" si="65"/>
        <v>3.1063046479521397</v>
      </c>
      <c r="M842" s="35">
        <f>10.264375*($T$2)</f>
        <v>20.528749999999999</v>
      </c>
      <c r="N842" s="35">
        <f>45.7*(5280/3600)</f>
        <v>67.026666666666671</v>
      </c>
      <c r="O842" s="35">
        <f t="shared" si="63"/>
        <v>1.0638862976782753</v>
      </c>
      <c r="P842" s="35">
        <f t="shared" si="62"/>
        <v>63.769344682835822</v>
      </c>
      <c r="Q842" s="35">
        <f>('Batt Capacity and Sys Weight'!$I$5) + (B842*$T$2)</f>
        <v>58.233753</v>
      </c>
      <c r="R842" s="35">
        <f>'Batt Capacity and Sys Weight'!$H$5</f>
        <v>99.9</v>
      </c>
    </row>
    <row r="843" spans="1:18" x14ac:dyDescent="0.3">
      <c r="A843" s="35" t="s">
        <v>110</v>
      </c>
      <c r="B843" s="35">
        <v>13.33</v>
      </c>
      <c r="C843" s="35">
        <v>400</v>
      </c>
      <c r="D843" s="35" t="s">
        <v>18</v>
      </c>
      <c r="E843" s="36" t="str" cm="1">
        <f t="array" ref="E843">GetNumber(D843,1)</f>
        <v>16</v>
      </c>
      <c r="F843" s="36" t="str" cm="1">
        <f t="array" ref="F843">GetNumber(D843,2)</f>
        <v>7</v>
      </c>
      <c r="G843" s="35">
        <v>22.2</v>
      </c>
      <c r="H843" s="35">
        <v>7890</v>
      </c>
      <c r="I843" s="35">
        <f>47.95*($T$2)</f>
        <v>95.9</v>
      </c>
      <c r="J843" s="35">
        <f>1064.5*($T$2)</f>
        <v>2129</v>
      </c>
      <c r="K843" s="35">
        <f t="shared" si="64"/>
        <v>2.8154062940347582</v>
      </c>
      <c r="L843" s="35">
        <f t="shared" si="65"/>
        <v>2.8154327424400414</v>
      </c>
      <c r="M843" s="35">
        <f>10.583125*($T$2)</f>
        <v>21.166250000000002</v>
      </c>
      <c r="N843" s="35">
        <f>52.3*(5280/3600)</f>
        <v>76.706666666666663</v>
      </c>
      <c r="O843" s="35">
        <f t="shared" si="63"/>
        <v>0.99418741193048388</v>
      </c>
      <c r="P843" s="35">
        <f t="shared" si="62"/>
        <v>59.591593471113207</v>
      </c>
      <c r="Q843" s="35">
        <f>('Batt Capacity and Sys Weight'!$I$5) + (B843*$T$2)</f>
        <v>58.233753</v>
      </c>
      <c r="R843" s="35">
        <f>'Batt Capacity and Sys Weight'!$H$5</f>
        <v>99.9</v>
      </c>
    </row>
    <row r="844" spans="1:18" x14ac:dyDescent="0.3">
      <c r="A844" s="35" t="s">
        <v>110</v>
      </c>
      <c r="B844" s="35">
        <v>13.33</v>
      </c>
      <c r="C844" s="35">
        <v>400</v>
      </c>
      <c r="D844" s="35" t="s">
        <v>26</v>
      </c>
      <c r="E844" s="36" t="str" cm="1">
        <f t="array" ref="E844">GetNumber(D844,1)</f>
        <v>14</v>
      </c>
      <c r="F844" s="36" t="str" cm="1">
        <f t="array" ref="F844">GetNumber(D844,2)</f>
        <v>7</v>
      </c>
      <c r="G844" s="35">
        <v>22.2</v>
      </c>
      <c r="H844" s="35">
        <v>8023</v>
      </c>
      <c r="I844" s="35">
        <f>40.19*($T$2)</f>
        <v>80.38</v>
      </c>
      <c r="J844" s="35">
        <f>892.2*($T$2)</f>
        <v>1784.4</v>
      </c>
      <c r="K844" s="35">
        <f t="shared" si="64"/>
        <v>3.3591123066576998</v>
      </c>
      <c r="L844" s="35">
        <f t="shared" si="65"/>
        <v>3.359044538442399</v>
      </c>
      <c r="M844" s="35">
        <f>9.195625*($T$2)</f>
        <v>18.391249999999999</v>
      </c>
      <c r="N844" s="35">
        <f>53.2*(5280/3600)</f>
        <v>78.026666666666671</v>
      </c>
      <c r="O844" s="35">
        <f t="shared" si="63"/>
        <v>1.0306685720690427</v>
      </c>
      <c r="P844" s="35">
        <f t="shared" si="62"/>
        <v>61.77827420981842</v>
      </c>
      <c r="Q844" s="35">
        <f>('Batt Capacity and Sys Weight'!$I$5) + (B844*$T$2)</f>
        <v>58.233753</v>
      </c>
      <c r="R844" s="35">
        <f>'Batt Capacity and Sys Weight'!$H$5</f>
        <v>99.9</v>
      </c>
    </row>
    <row r="845" spans="1:18" x14ac:dyDescent="0.3">
      <c r="A845" s="35" t="s">
        <v>110</v>
      </c>
      <c r="B845" s="35">
        <v>13.33</v>
      </c>
      <c r="C845" s="35">
        <v>400</v>
      </c>
      <c r="D845" s="35" t="s">
        <v>27</v>
      </c>
      <c r="E845" s="36" t="str" cm="1">
        <f t="array" ref="E845">GetNumber(D845,1)</f>
        <v>14</v>
      </c>
      <c r="F845" s="36" t="str" cm="1">
        <f t="array" ref="F845">GetNumber(D845,2)</f>
        <v>9</v>
      </c>
      <c r="G845" s="35">
        <v>22.2</v>
      </c>
      <c r="H845" s="35">
        <v>7860</v>
      </c>
      <c r="I845" s="35">
        <f>49.34*($T$2)</f>
        <v>98.68</v>
      </c>
      <c r="J845" s="35">
        <f>1095.3*($T$2)</f>
        <v>2190.6</v>
      </c>
      <c r="K845" s="35">
        <f t="shared" si="64"/>
        <v>2.7362366474938375</v>
      </c>
      <c r="L845" s="35">
        <f t="shared" si="65"/>
        <v>2.7361167409809486</v>
      </c>
      <c r="M845" s="35">
        <f>10.500625*($T$2)</f>
        <v>21.001249999999999</v>
      </c>
      <c r="N845" s="35">
        <f>67*(5280/3600)</f>
        <v>98.266666666666666</v>
      </c>
      <c r="O845" s="35">
        <f t="shared" si="63"/>
        <v>0.95869853008308226</v>
      </c>
      <c r="P845" s="35">
        <f t="shared" si="62"/>
        <v>57.464389893179955</v>
      </c>
      <c r="Q845" s="35">
        <f>('Batt Capacity and Sys Weight'!$I$5) + (B845*$T$2)</f>
        <v>58.233753</v>
      </c>
      <c r="R845" s="35">
        <f>'Batt Capacity and Sys Weight'!$H$5</f>
        <v>99.9</v>
      </c>
    </row>
    <row r="846" spans="1:18" x14ac:dyDescent="0.3">
      <c r="A846" s="35" t="s">
        <v>110</v>
      </c>
      <c r="B846" s="35">
        <v>13.33</v>
      </c>
      <c r="C846" s="35">
        <v>400</v>
      </c>
      <c r="D846" s="35" t="s">
        <v>28</v>
      </c>
      <c r="E846" s="36" t="str" cm="1">
        <f t="array" ref="E846">GetNumber(D846,1)</f>
        <v>15</v>
      </c>
      <c r="F846" s="36" t="str" cm="1">
        <f t="array" ref="F846">GetNumber(D846,2)</f>
        <v>7</v>
      </c>
      <c r="G846" s="35">
        <v>22.2</v>
      </c>
      <c r="H846" s="35">
        <v>7794</v>
      </c>
      <c r="I846" s="35">
        <f>51.81*($T$2)</f>
        <v>103.62</v>
      </c>
      <c r="J846" s="35">
        <f>1150.2*($T$2)</f>
        <v>2300.4</v>
      </c>
      <c r="K846" s="35">
        <f t="shared" si="64"/>
        <v>2.6056338028169015</v>
      </c>
      <c r="L846" s="35">
        <f t="shared" si="65"/>
        <v>2.6056745801968728</v>
      </c>
      <c r="M846" s="35">
        <f>11.305*($T$2)</f>
        <v>22.61</v>
      </c>
      <c r="N846" s="35">
        <f>51.7*(5280/3600)</f>
        <v>75.826666666666668</v>
      </c>
      <c r="O846" s="35">
        <f t="shared" si="63"/>
        <v>0.98287254390540779</v>
      </c>
      <c r="P846" s="35">
        <f t="shared" si="62"/>
        <v>58.913380281690138</v>
      </c>
      <c r="Q846" s="35">
        <f>('Batt Capacity and Sys Weight'!$I$5) + (B846*$T$2)</f>
        <v>58.233753</v>
      </c>
      <c r="R846" s="35">
        <f>'Batt Capacity and Sys Weight'!$H$5</f>
        <v>99.9</v>
      </c>
    </row>
    <row r="847" spans="1:18" x14ac:dyDescent="0.3">
      <c r="A847" s="35" t="s">
        <v>110</v>
      </c>
      <c r="B847" s="35">
        <v>13.33</v>
      </c>
      <c r="C847" s="35">
        <v>400</v>
      </c>
      <c r="D847" s="35" t="s">
        <v>32</v>
      </c>
      <c r="E847" s="36" t="str" cm="1">
        <f t="array" ref="E847">GetNumber(D847,1)</f>
        <v>12</v>
      </c>
      <c r="F847" s="36" t="str" cm="1">
        <f t="array" ref="F847">GetNumber(D847,2)</f>
        <v>8</v>
      </c>
      <c r="G847" s="35">
        <v>29.6</v>
      </c>
      <c r="H847" s="35">
        <v>10840</v>
      </c>
      <c r="I847" s="35">
        <f>41.27*($T$2)</f>
        <v>82.54</v>
      </c>
      <c r="J847" s="35">
        <f>1221.6*($T$2)</f>
        <v>2443.1999999999998</v>
      </c>
      <c r="K847" s="35">
        <f t="shared" si="64"/>
        <v>2.4557956777996068</v>
      </c>
      <c r="L847" s="35">
        <f t="shared" si="65"/>
        <v>2.4558117603913581</v>
      </c>
      <c r="M847" s="35">
        <f>7.76*($T$2)</f>
        <v>15.52</v>
      </c>
      <c r="N847" s="35">
        <f>82.1*(5280/3600)</f>
        <v>120.41333333333331</v>
      </c>
      <c r="O847" s="35">
        <f t="shared" si="63"/>
        <v>0.63523248199083171</v>
      </c>
      <c r="P847" s="35">
        <f t="shared" si="62"/>
        <v>38.113948919449896</v>
      </c>
      <c r="Q847" s="35">
        <v>0</v>
      </c>
      <c r="R847" s="35">
        <f t="shared" ref="R847:R861" si="66">$T$1</f>
        <v>100</v>
      </c>
    </row>
    <row r="848" spans="1:18" x14ac:dyDescent="0.3">
      <c r="A848" s="35" t="s">
        <v>110</v>
      </c>
      <c r="B848" s="35">
        <v>13.33</v>
      </c>
      <c r="C848" s="35">
        <v>400</v>
      </c>
      <c r="D848" s="35" t="s">
        <v>33</v>
      </c>
      <c r="E848" s="36" t="str" cm="1">
        <f t="array" ref="E848">GetNumber(D848,1)</f>
        <v>12</v>
      </c>
      <c r="F848" s="36" t="str" cm="1">
        <f t="array" ref="F848">GetNumber(D848,2)</f>
        <v>10</v>
      </c>
      <c r="G848" s="35">
        <v>29.6</v>
      </c>
      <c r="H848" s="35">
        <v>10562</v>
      </c>
      <c r="I848" s="35">
        <f>51.96*($T$2)</f>
        <v>103.92</v>
      </c>
      <c r="J848" s="35">
        <f>1538*($T$2)</f>
        <v>3076</v>
      </c>
      <c r="K848" s="35">
        <f t="shared" si="64"/>
        <v>1.950585175552666</v>
      </c>
      <c r="L848" s="35">
        <f t="shared" si="65"/>
        <v>1.9505648835902876</v>
      </c>
      <c r="M848" s="35">
        <f>8.18375*($T$2)</f>
        <v>16.3675</v>
      </c>
      <c r="N848" s="35">
        <f>100*(5280/3600)</f>
        <v>146.66666666666666</v>
      </c>
      <c r="O848" s="35">
        <f t="shared" si="63"/>
        <v>0.53210338101430432</v>
      </c>
      <c r="P848" s="35">
        <f t="shared" si="62"/>
        <v>31.926202860858261</v>
      </c>
      <c r="Q848" s="35">
        <v>0</v>
      </c>
      <c r="R848" s="35">
        <f t="shared" si="66"/>
        <v>100</v>
      </c>
    </row>
    <row r="849" spans="1:18" x14ac:dyDescent="0.3">
      <c r="A849" s="35" t="s">
        <v>110</v>
      </c>
      <c r="B849" s="35">
        <v>13.33</v>
      </c>
      <c r="C849" s="35">
        <v>400</v>
      </c>
      <c r="D849" s="35" t="s">
        <v>59</v>
      </c>
      <c r="E849" s="36" t="str" cm="1">
        <f t="array" ref="E849">GetNumber(D849,1)</f>
        <v>13</v>
      </c>
      <c r="F849" s="36" cm="1">
        <f t="array" ref="F849">GetNumber(D849,2)+(GetNumber(D849,3)/10)</f>
        <v>5.5</v>
      </c>
      <c r="G849" s="35">
        <v>29.6</v>
      </c>
      <c r="H849" s="35">
        <v>11016</v>
      </c>
      <c r="I849" s="35">
        <f>34.56*($T$2)</f>
        <v>69.12</v>
      </c>
      <c r="J849" s="35">
        <f>1022.9*($T$2)</f>
        <v>2045.8</v>
      </c>
      <c r="K849" s="35">
        <f t="shared" si="64"/>
        <v>2.9328380095806041</v>
      </c>
      <c r="L849" s="35">
        <f t="shared" si="65"/>
        <v>2.9326201201201196</v>
      </c>
      <c r="M849" s="35">
        <f>9.398125*($T$2)</f>
        <v>18.796250000000001</v>
      </c>
      <c r="N849" s="35">
        <f>57.4*(5280/3600)</f>
        <v>84.186666666666653</v>
      </c>
      <c r="O849" s="35">
        <f t="shared" si="63"/>
        <v>0.91877260729299048</v>
      </c>
      <c r="P849" s="35">
        <f t="shared" ref="P849:P912" si="67">M849*K849</f>
        <v>55.126356437579432</v>
      </c>
      <c r="Q849" s="35">
        <v>0</v>
      </c>
      <c r="R849" s="35">
        <f t="shared" si="66"/>
        <v>100</v>
      </c>
    </row>
    <row r="850" spans="1:18" x14ac:dyDescent="0.3">
      <c r="A850" s="35" t="s">
        <v>110</v>
      </c>
      <c r="B850" s="35">
        <v>13.33</v>
      </c>
      <c r="C850" s="35">
        <v>400</v>
      </c>
      <c r="D850" s="35" t="s">
        <v>35</v>
      </c>
      <c r="E850" s="36" t="str" cm="1">
        <f t="array" ref="E850">GetNumber(D850,1)</f>
        <v>13</v>
      </c>
      <c r="F850" s="36" cm="1">
        <f t="array" ref="F850">GetNumber(D850,2)+(GetNumber(D850,3)/10)</f>
        <v>6.5</v>
      </c>
      <c r="G850" s="35">
        <v>29.6</v>
      </c>
      <c r="H850" s="35">
        <v>10605</v>
      </c>
      <c r="I850" s="35">
        <f>50.61*($T$2)</f>
        <v>101.22</v>
      </c>
      <c r="J850" s="35">
        <f>1498*($T$2)</f>
        <v>2996</v>
      </c>
      <c r="K850" s="35">
        <f t="shared" si="64"/>
        <v>2.0026702269692924</v>
      </c>
      <c r="L850" s="35">
        <f t="shared" si="65"/>
        <v>2.0025953635912139</v>
      </c>
      <c r="M850" s="35">
        <f>9.874375*($T$2)</f>
        <v>19.748750000000001</v>
      </c>
      <c r="N850" s="35">
        <f>65.3*(5280/3600)</f>
        <v>95.773333333333326</v>
      </c>
      <c r="O850" s="35">
        <f t="shared" si="63"/>
        <v>0.65917056074766356</v>
      </c>
      <c r="P850" s="35">
        <f t="shared" si="67"/>
        <v>39.550233644859816</v>
      </c>
      <c r="Q850" s="35">
        <v>0</v>
      </c>
      <c r="R850" s="35">
        <f t="shared" si="66"/>
        <v>100</v>
      </c>
    </row>
    <row r="851" spans="1:18" x14ac:dyDescent="0.3">
      <c r="A851" s="35" t="s">
        <v>110</v>
      </c>
      <c r="B851" s="35">
        <v>13.33</v>
      </c>
      <c r="C851" s="35">
        <v>400</v>
      </c>
      <c r="D851" s="35" t="s">
        <v>36</v>
      </c>
      <c r="E851" s="36" t="str" cm="1">
        <f t="array" ref="E851">GetNumber(D851,1)</f>
        <v>13</v>
      </c>
      <c r="F851" s="36" t="str" cm="1">
        <f t="array" ref="F851">GetNumber(D851,2)</f>
        <v>8</v>
      </c>
      <c r="G851" s="35">
        <v>29.6</v>
      </c>
      <c r="H851" s="35">
        <v>10538</v>
      </c>
      <c r="I851" s="35">
        <f>53.24*($T$2)</f>
        <v>106.48</v>
      </c>
      <c r="J851" s="35">
        <f>1576*($T$2)</f>
        <v>3152</v>
      </c>
      <c r="K851" s="35">
        <f t="shared" si="64"/>
        <v>1.9035532994923856</v>
      </c>
      <c r="L851" s="35">
        <f t="shared" si="65"/>
        <v>1.9036692590411597</v>
      </c>
      <c r="M851" s="35">
        <f>10.655*($T$2)</f>
        <v>21.31</v>
      </c>
      <c r="N851" s="35">
        <f>79.8*(5280/3600)</f>
        <v>117.03999999999999</v>
      </c>
      <c r="O851" s="35">
        <f t="shared" si="63"/>
        <v>0.67607868020304562</v>
      </c>
      <c r="P851" s="35">
        <f t="shared" si="67"/>
        <v>40.564720812182735</v>
      </c>
      <c r="Q851" s="35">
        <v>0</v>
      </c>
      <c r="R851" s="35">
        <f t="shared" si="66"/>
        <v>100</v>
      </c>
    </row>
    <row r="852" spans="1:18" x14ac:dyDescent="0.3">
      <c r="A852" s="35" t="s">
        <v>110</v>
      </c>
      <c r="B852" s="35">
        <v>13.33</v>
      </c>
      <c r="C852" s="35">
        <v>400</v>
      </c>
      <c r="D852" s="35" t="s">
        <v>38</v>
      </c>
      <c r="E852" s="36" t="str" cm="1">
        <f t="array" ref="E852">GetNumber(D852,1)</f>
        <v>14</v>
      </c>
      <c r="F852" s="36" t="str" cm="1">
        <f t="array" ref="F852">GetNumber(D852,2)</f>
        <v>6</v>
      </c>
      <c r="G852" s="35">
        <v>29.6</v>
      </c>
      <c r="H852" s="35">
        <v>10789</v>
      </c>
      <c r="I852" s="35">
        <f>43.23*($T$2)</f>
        <v>86.46</v>
      </c>
      <c r="J852" s="35">
        <f>1279.6*($T$2)</f>
        <v>2559.1999999999998</v>
      </c>
      <c r="K852" s="35">
        <f t="shared" si="64"/>
        <v>2.3444826508283838</v>
      </c>
      <c r="L852" s="35">
        <f t="shared" si="65"/>
        <v>2.3444679933229549</v>
      </c>
      <c r="M852" s="35">
        <f>11.48375*($T$2)</f>
        <v>22.967500000000001</v>
      </c>
      <c r="N852" s="35">
        <f>61.3*(5280/3600)</f>
        <v>89.906666666666652</v>
      </c>
      <c r="O852" s="35">
        <f t="shared" si="63"/>
        <v>0.89744842138168179</v>
      </c>
      <c r="P852" s="35">
        <f t="shared" si="67"/>
        <v>53.846905282900906</v>
      </c>
      <c r="Q852" s="35">
        <v>0</v>
      </c>
      <c r="R852" s="35">
        <f t="shared" si="66"/>
        <v>100</v>
      </c>
    </row>
    <row r="853" spans="1:18" x14ac:dyDescent="0.3">
      <c r="A853" s="35" t="s">
        <v>110</v>
      </c>
      <c r="B853" s="35">
        <v>13.33</v>
      </c>
      <c r="C853" s="35">
        <v>400</v>
      </c>
      <c r="D853" s="35" t="s">
        <v>60</v>
      </c>
      <c r="E853" s="36" t="str" cm="1">
        <f t="array" ref="E853">GetNumber(D853,1)</f>
        <v>15</v>
      </c>
      <c r="F853" s="36" t="str" cm="1">
        <f t="array" ref="F853">GetNumber(D853,2)</f>
        <v>4</v>
      </c>
      <c r="G853" s="35">
        <v>29.6</v>
      </c>
      <c r="H853" s="35">
        <v>10653</v>
      </c>
      <c r="I853" s="35">
        <f>49.03*($T$2)</f>
        <v>98.06</v>
      </c>
      <c r="J853" s="35">
        <f>1451.2*($T$2)</f>
        <v>2902.4</v>
      </c>
      <c r="K853" s="35">
        <f t="shared" si="64"/>
        <v>2.0672546857772875</v>
      </c>
      <c r="L853" s="35">
        <f t="shared" si="65"/>
        <v>2.0671293361483039</v>
      </c>
      <c r="M853" s="35">
        <f>13.05125*($T$2)</f>
        <v>26.102499999999999</v>
      </c>
      <c r="N853" s="35">
        <f>40.4*(5280/3600)</f>
        <v>59.25333333333333</v>
      </c>
      <c r="O853" s="35">
        <f t="shared" si="63"/>
        <v>0.89934192392502754</v>
      </c>
      <c r="P853" s="35">
        <f t="shared" si="67"/>
        <v>53.960515435501648</v>
      </c>
      <c r="Q853" s="35">
        <v>0</v>
      </c>
      <c r="R853" s="35">
        <f t="shared" si="66"/>
        <v>100</v>
      </c>
    </row>
    <row r="854" spans="1:18" x14ac:dyDescent="0.3">
      <c r="A854" s="35" t="s">
        <v>110</v>
      </c>
      <c r="B854" s="35">
        <v>13.33</v>
      </c>
      <c r="C854" s="35">
        <v>400</v>
      </c>
      <c r="D854" s="35" t="s">
        <v>62</v>
      </c>
      <c r="E854" s="36" t="str" cm="1">
        <f t="array" ref="E854">GetNumber(D854,1)</f>
        <v>12</v>
      </c>
      <c r="F854" s="36" t="str" cm="1">
        <f t="array" ref="F854">GetNumber(D854,2)</f>
        <v>6</v>
      </c>
      <c r="G854" s="35">
        <v>29.6</v>
      </c>
      <c r="H854" s="35">
        <v>11299</v>
      </c>
      <c r="I854" s="35">
        <f>28.04*($T$2)</f>
        <v>56.08</v>
      </c>
      <c r="J854" s="35">
        <f>830*($T$2)</f>
        <v>1660</v>
      </c>
      <c r="K854" s="35">
        <f t="shared" si="64"/>
        <v>3.6144578313253013</v>
      </c>
      <c r="L854" s="35">
        <f t="shared" si="65"/>
        <v>3.6145275089640281</v>
      </c>
      <c r="M854" s="35">
        <f>6.98625*($T$2)</f>
        <v>13.9725</v>
      </c>
      <c r="N854" s="35">
        <f>64.2*(5280/3600)</f>
        <v>94.16</v>
      </c>
      <c r="O854" s="35">
        <f t="shared" si="63"/>
        <v>0.84171686746987961</v>
      </c>
      <c r="P854" s="35">
        <f t="shared" si="67"/>
        <v>50.503012048192772</v>
      </c>
      <c r="Q854" s="35">
        <v>0</v>
      </c>
      <c r="R854" s="35">
        <f t="shared" si="66"/>
        <v>100</v>
      </c>
    </row>
    <row r="855" spans="1:18" x14ac:dyDescent="0.3">
      <c r="A855" s="35" t="s">
        <v>110</v>
      </c>
      <c r="B855" s="35">
        <v>13.33</v>
      </c>
      <c r="C855" s="35">
        <v>400</v>
      </c>
      <c r="D855" s="35" t="s">
        <v>63</v>
      </c>
      <c r="E855" s="36" t="str" cm="1">
        <f t="array" ref="E855">GetNumber(D855,1)</f>
        <v>12</v>
      </c>
      <c r="F855" s="36" t="str" cm="1">
        <f t="array" ref="F855">GetNumber(D855,2)</f>
        <v>7</v>
      </c>
      <c r="G855" s="35">
        <v>29.6</v>
      </c>
      <c r="H855" s="35">
        <v>11020</v>
      </c>
      <c r="I855" s="35">
        <f>34.04*($T$2)</f>
        <v>68.08</v>
      </c>
      <c r="J855" s="35">
        <f>1007.7*($T$2)</f>
        <v>2015.4</v>
      </c>
      <c r="K855" s="35">
        <f t="shared" si="64"/>
        <v>2.9770765108663291</v>
      </c>
      <c r="L855" s="35">
        <f t="shared" si="65"/>
        <v>2.977419252389875</v>
      </c>
      <c r="M855" s="35">
        <f>7.53*($T$2)</f>
        <v>15.06</v>
      </c>
      <c r="N855" s="35">
        <f>73*(5280/3600)</f>
        <v>107.06666666666666</v>
      </c>
      <c r="O855" s="35">
        <f t="shared" si="63"/>
        <v>0.74724620422744858</v>
      </c>
      <c r="P855" s="35">
        <f t="shared" si="67"/>
        <v>44.834772253646918</v>
      </c>
      <c r="Q855" s="35">
        <v>0</v>
      </c>
      <c r="R855" s="35">
        <f t="shared" si="66"/>
        <v>100</v>
      </c>
    </row>
    <row r="856" spans="1:18" x14ac:dyDescent="0.3">
      <c r="A856" s="35" t="s">
        <v>110</v>
      </c>
      <c r="B856" s="35">
        <v>13.33</v>
      </c>
      <c r="C856" s="35">
        <v>400</v>
      </c>
      <c r="D856" s="35" t="s">
        <v>64</v>
      </c>
      <c r="E856" s="36" t="str" cm="1">
        <f t="array" ref="E856">GetNumber(D856,1)</f>
        <v>12</v>
      </c>
      <c r="F856" s="36" t="str" cm="1">
        <f t="array" ref="F856">GetNumber(D856,2)</f>
        <v>8</v>
      </c>
      <c r="G856" s="35">
        <v>29.6</v>
      </c>
      <c r="H856" s="35">
        <v>10829</v>
      </c>
      <c r="I856" s="35">
        <f>41.63*($T$2)</f>
        <v>83.26</v>
      </c>
      <c r="J856" s="35">
        <f>1232.3*($T$2)</f>
        <v>2464.6</v>
      </c>
      <c r="K856" s="35">
        <f t="shared" si="64"/>
        <v>2.4344721252941657</v>
      </c>
      <c r="L856" s="35">
        <f t="shared" si="65"/>
        <v>2.4345748583077431</v>
      </c>
      <c r="M856" s="35">
        <f>6.90875*($T$2)</f>
        <v>13.817500000000001</v>
      </c>
      <c r="N856" s="35">
        <f>82*(5280/3600)</f>
        <v>120.26666666666665</v>
      </c>
      <c r="O856" s="35">
        <f t="shared" si="63"/>
        <v>0.56063864318753553</v>
      </c>
      <c r="P856" s="35">
        <f t="shared" si="67"/>
        <v>33.638318591252137</v>
      </c>
      <c r="Q856" s="35">
        <v>0</v>
      </c>
      <c r="R856" s="35">
        <f t="shared" si="66"/>
        <v>100</v>
      </c>
    </row>
    <row r="857" spans="1:18" x14ac:dyDescent="0.3">
      <c r="A857" s="35" t="s">
        <v>110</v>
      </c>
      <c r="B857" s="35">
        <v>13.33</v>
      </c>
      <c r="C857" s="35">
        <v>400</v>
      </c>
      <c r="D857" s="35" t="s">
        <v>65</v>
      </c>
      <c r="E857" s="36" t="str" cm="1">
        <f t="array" ref="E857">GetNumber(D857,1)</f>
        <v>13</v>
      </c>
      <c r="F857" s="36" t="str" cm="1">
        <f t="array" ref="F857">GetNumber(D857,2)</f>
        <v>6</v>
      </c>
      <c r="G857" s="35">
        <v>29.6</v>
      </c>
      <c r="H857" s="35">
        <v>11031</v>
      </c>
      <c r="I857" s="35">
        <f>34.6*($T$2)</f>
        <v>69.2</v>
      </c>
      <c r="J857" s="35">
        <f>1024.3*($T$2)</f>
        <v>2048.6</v>
      </c>
      <c r="K857" s="35">
        <f t="shared" si="64"/>
        <v>2.9288294444986822</v>
      </c>
      <c r="L857" s="35">
        <f t="shared" si="65"/>
        <v>2.9292298078425243</v>
      </c>
      <c r="M857" s="35">
        <f>8.9425*($T$2)</f>
        <v>17.885000000000002</v>
      </c>
      <c r="N857" s="35">
        <f>62.7*(5280/3600)</f>
        <v>91.96</v>
      </c>
      <c r="O857" s="35">
        <f t="shared" si="63"/>
        <v>0.87303524358098228</v>
      </c>
      <c r="P857" s="35">
        <f t="shared" si="67"/>
        <v>52.382114614858935</v>
      </c>
      <c r="Q857" s="35">
        <v>0</v>
      </c>
      <c r="R857" s="35">
        <f t="shared" si="66"/>
        <v>100</v>
      </c>
    </row>
    <row r="858" spans="1:18" x14ac:dyDescent="0.3">
      <c r="A858" s="35" t="s">
        <v>110</v>
      </c>
      <c r="B858" s="35">
        <v>13.33</v>
      </c>
      <c r="C858" s="35">
        <v>400</v>
      </c>
      <c r="D858" s="35" t="s">
        <v>45</v>
      </c>
      <c r="E858" s="36" t="str" cm="1">
        <f t="array" ref="E858">GetNumber(D858,1)</f>
        <v>13</v>
      </c>
      <c r="F858" s="36" t="str" cm="1">
        <f t="array" ref="F858">GetNumber(D858,2)</f>
        <v>8</v>
      </c>
      <c r="G858" s="35">
        <v>29.6</v>
      </c>
      <c r="H858" s="35">
        <v>10576</v>
      </c>
      <c r="I858" s="35">
        <f>51.95*($T$2)</f>
        <v>103.9</v>
      </c>
      <c r="J858" s="35">
        <f>1537.8*($T$2)</f>
        <v>3075.6</v>
      </c>
      <c r="K858" s="35">
        <f t="shared" si="64"/>
        <v>1.9508388607101055</v>
      </c>
      <c r="L858" s="35">
        <f t="shared" si="65"/>
        <v>1.9509403532502665</v>
      </c>
      <c r="M858" s="35">
        <f>9.405625*($T$2)</f>
        <v>18.811250000000001</v>
      </c>
      <c r="N858" s="35">
        <f>80.1*(5280/3600)</f>
        <v>117.47999999999999</v>
      </c>
      <c r="O858" s="35">
        <f t="shared" si="63"/>
        <v>0.61162862530888285</v>
      </c>
      <c r="P858" s="35">
        <f t="shared" si="67"/>
        <v>36.697717518532976</v>
      </c>
      <c r="Q858" s="35">
        <v>0</v>
      </c>
      <c r="R858" s="35">
        <f t="shared" si="66"/>
        <v>100</v>
      </c>
    </row>
    <row r="859" spans="1:18" x14ac:dyDescent="0.3">
      <c r="A859" s="35" t="s">
        <v>110</v>
      </c>
      <c r="B859" s="35">
        <v>13.33</v>
      </c>
      <c r="C859" s="35">
        <v>400</v>
      </c>
      <c r="D859" s="35" t="s">
        <v>47</v>
      </c>
      <c r="E859" s="36" t="str" cm="1">
        <f t="array" ref="E859">GetNumber(D859,1)</f>
        <v>14</v>
      </c>
      <c r="F859" s="36" t="str" cm="1">
        <f t="array" ref="F859">GetNumber(D859,2)</f>
        <v>6</v>
      </c>
      <c r="G859" s="35">
        <v>29.6</v>
      </c>
      <c r="H859" s="35">
        <v>10623</v>
      </c>
      <c r="I859" s="35">
        <f>48.12*($T$2)</f>
        <v>96.24</v>
      </c>
      <c r="J859" s="35">
        <f>1424.4*($T$2)</f>
        <v>2848.8</v>
      </c>
      <c r="K859" s="35">
        <f t="shared" si="64"/>
        <v>2.1061499578770007</v>
      </c>
      <c r="L859" s="35">
        <f t="shared" si="65"/>
        <v>2.1062209341511084</v>
      </c>
      <c r="M859" s="35">
        <f>11.118125*($T$2)</f>
        <v>22.236249999999998</v>
      </c>
      <c r="N859" s="35">
        <f>60.4*(5280/3600)</f>
        <v>88.586666666666659</v>
      </c>
      <c r="O859" s="35">
        <f t="shared" si="63"/>
        <v>0.78054795001404087</v>
      </c>
      <c r="P859" s="35">
        <f t="shared" si="67"/>
        <v>46.832877000842451</v>
      </c>
      <c r="Q859" s="35">
        <v>0</v>
      </c>
      <c r="R859" s="35">
        <f t="shared" si="66"/>
        <v>100</v>
      </c>
    </row>
    <row r="860" spans="1:18" x14ac:dyDescent="0.3">
      <c r="A860" s="35" t="s">
        <v>110</v>
      </c>
      <c r="B860" s="35">
        <v>13.33</v>
      </c>
      <c r="C860" s="35">
        <v>400</v>
      </c>
      <c r="D860" s="35" t="s">
        <v>53</v>
      </c>
      <c r="E860" s="36" t="str" cm="1">
        <f t="array" ref="E860">GetNumber(D860,1)</f>
        <v>12</v>
      </c>
      <c r="F860" s="36" t="str" cm="1">
        <f t="array" ref="F860">GetNumber(D860,2)</f>
        <v>6</v>
      </c>
      <c r="G860" s="35">
        <v>29.6</v>
      </c>
      <c r="H860" s="35">
        <v>11038</v>
      </c>
      <c r="I860" s="35">
        <f>34.11*($T$2)</f>
        <v>68.22</v>
      </c>
      <c r="J860" s="35">
        <f>1009.6*($T$2)</f>
        <v>2019.2</v>
      </c>
      <c r="K860" s="35">
        <f t="shared" si="64"/>
        <v>2.9714738510301109</v>
      </c>
      <c r="L860" s="35">
        <f t="shared" si="65"/>
        <v>2.971309039910623</v>
      </c>
      <c r="M860" s="35">
        <f>8.809375*($T$2)</f>
        <v>17.618749999999999</v>
      </c>
      <c r="N860" s="35">
        <f>62.7*(5280/3600)</f>
        <v>91.96</v>
      </c>
      <c r="O860" s="35">
        <f t="shared" si="63"/>
        <v>0.87256091521394596</v>
      </c>
      <c r="P860" s="35">
        <f t="shared" si="67"/>
        <v>52.35365491283676</v>
      </c>
      <c r="Q860" s="35">
        <v>0</v>
      </c>
      <c r="R860" s="35">
        <f t="shared" si="66"/>
        <v>100</v>
      </c>
    </row>
    <row r="861" spans="1:18" x14ac:dyDescent="0.3">
      <c r="A861" s="35" t="s">
        <v>110</v>
      </c>
      <c r="B861" s="35">
        <v>13.33</v>
      </c>
      <c r="C861" s="35">
        <v>400</v>
      </c>
      <c r="D861" s="35" t="s">
        <v>54</v>
      </c>
      <c r="E861" s="36" t="str" cm="1">
        <f t="array" ref="E861">GetNumber(D861,1)</f>
        <v>12</v>
      </c>
      <c r="F861" s="36" t="str" cm="1">
        <f t="array" ref="F861">GetNumber(D861,2)</f>
        <v>8</v>
      </c>
      <c r="G861" s="35">
        <v>29.6</v>
      </c>
      <c r="H861" s="35">
        <v>10622</v>
      </c>
      <c r="I861" s="35">
        <f>49.5*($T$2)</f>
        <v>99</v>
      </c>
      <c r="J861" s="35">
        <f>1465.1*($T$2)</f>
        <v>2930.2</v>
      </c>
      <c r="K861" s="35">
        <f t="shared" si="64"/>
        <v>2.0476417991945941</v>
      </c>
      <c r="L861" s="35">
        <f t="shared" si="65"/>
        <v>2.0475020475020473</v>
      </c>
      <c r="M861" s="35">
        <f>11.426875*($T$2)</f>
        <v>22.853750000000002</v>
      </c>
      <c r="N861" s="35">
        <f>80.5*(5280/3600)</f>
        <v>118.06666666666666</v>
      </c>
      <c r="O861" s="35">
        <f t="shared" si="63"/>
        <v>0.77993822947239111</v>
      </c>
      <c r="P861" s="35">
        <f t="shared" si="67"/>
        <v>46.79629376834346</v>
      </c>
      <c r="Q861" s="35">
        <v>0</v>
      </c>
      <c r="R861" s="35">
        <f t="shared" si="66"/>
        <v>100</v>
      </c>
    </row>
    <row r="862" spans="1:18" x14ac:dyDescent="0.3">
      <c r="A862" s="35" t="s">
        <v>111</v>
      </c>
      <c r="B862" s="35">
        <v>13.47</v>
      </c>
      <c r="C862" s="35">
        <v>460</v>
      </c>
      <c r="D862" s="35" t="s">
        <v>42</v>
      </c>
      <c r="E862" s="36" t="str" cm="1">
        <f t="array" ref="E862">GetNumber(D862,1)</f>
        <v>14</v>
      </c>
      <c r="F862" s="36" t="str" cm="1">
        <f t="array" ref="F862">GetNumber(D862,2)</f>
        <v>12</v>
      </c>
      <c r="G862" s="35">
        <v>14.8</v>
      </c>
      <c r="H862" s="35">
        <v>6205</v>
      </c>
      <c r="I862" s="35">
        <f>40.32*($T$2)</f>
        <v>80.64</v>
      </c>
      <c r="J862" s="35">
        <f>596.8*($T$2)</f>
        <v>1193.5999999999999</v>
      </c>
      <c r="K862" s="35">
        <f t="shared" si="64"/>
        <v>4.9101876675603222</v>
      </c>
      <c r="L862" s="35">
        <f t="shared" si="65"/>
        <v>4.9107142857142856</v>
      </c>
      <c r="M862" s="35">
        <f>4.50875*($T$2)</f>
        <v>9.0175000000000001</v>
      </c>
      <c r="N862" s="35">
        <f>70.5*(5280/3600)</f>
        <v>103.39999999999999</v>
      </c>
      <c r="O862" s="35">
        <f t="shared" si="63"/>
        <v>0.75548760053619313</v>
      </c>
      <c r="P862" s="35">
        <f t="shared" si="67"/>
        <v>44.277617292225209</v>
      </c>
      <c r="Q862" s="35">
        <f>('Batt Capacity and Sys Weight'!$I$3) + (B862*$T$2)</f>
        <v>53.328474999999997</v>
      </c>
      <c r="R862" s="35">
        <f>'Batt Capacity and Sys Weight'!$H$3</f>
        <v>97.68</v>
      </c>
    </row>
    <row r="863" spans="1:18" x14ac:dyDescent="0.3">
      <c r="A863" s="35" t="s">
        <v>111</v>
      </c>
      <c r="B863" s="35">
        <v>13.47</v>
      </c>
      <c r="C863" s="35">
        <v>460</v>
      </c>
      <c r="D863" s="35" t="s">
        <v>1</v>
      </c>
      <c r="E863" s="36" t="str" cm="1">
        <f t="array" ref="E863">GetNumber(D863,1)</f>
        <v>15</v>
      </c>
      <c r="F863" s="36" t="str" cm="1">
        <f t="array" ref="F863">GetNumber(D863,2)</f>
        <v>10</v>
      </c>
      <c r="G863" s="35">
        <v>14.8</v>
      </c>
      <c r="H863" s="35">
        <v>6200</v>
      </c>
      <c r="I863" s="35">
        <f>39.59*($T$2)</f>
        <v>79.180000000000007</v>
      </c>
      <c r="J863" s="35">
        <f>585.9*($T$2)</f>
        <v>1171.8</v>
      </c>
      <c r="K863" s="35">
        <f t="shared" si="64"/>
        <v>5.0015360983102921</v>
      </c>
      <c r="L863" s="35">
        <f t="shared" si="65"/>
        <v>5.0012629451881789</v>
      </c>
      <c r="M863" s="35">
        <f>6.340625*($T$2)</f>
        <v>12.68125</v>
      </c>
      <c r="N863" s="35">
        <f>58.7*(5280/3600)</f>
        <v>86.093333333333334</v>
      </c>
      <c r="O863" s="35">
        <f t="shared" si="63"/>
        <v>1.0822025942993685</v>
      </c>
      <c r="P863" s="35">
        <f t="shared" si="67"/>
        <v>63.425729646697391</v>
      </c>
      <c r="Q863" s="35">
        <f>('Batt Capacity and Sys Weight'!$I$3) + (B863*$T$2)</f>
        <v>53.328474999999997</v>
      </c>
      <c r="R863" s="35">
        <f>'Batt Capacity and Sys Weight'!$H$3</f>
        <v>97.68</v>
      </c>
    </row>
    <row r="864" spans="1:18" x14ac:dyDescent="0.3">
      <c r="A864" s="35" t="s">
        <v>111</v>
      </c>
      <c r="B864" s="35">
        <v>13.47</v>
      </c>
      <c r="C864" s="35">
        <v>460</v>
      </c>
      <c r="D864" s="35" t="s">
        <v>3</v>
      </c>
      <c r="E864" s="36" t="str" cm="1">
        <f t="array" ref="E864">GetNumber(D864,1)</f>
        <v>16</v>
      </c>
      <c r="F864" s="36" t="str" cm="1">
        <f t="array" ref="F864">GetNumber(D864,2)</f>
        <v>8</v>
      </c>
      <c r="G864" s="35">
        <v>14.8</v>
      </c>
      <c r="H864" s="35">
        <v>6156</v>
      </c>
      <c r="I864" s="35">
        <f>42.49*($T$2)</f>
        <v>84.98</v>
      </c>
      <c r="J864" s="35">
        <f>628.8*($T$2)</f>
        <v>1257.5999999999999</v>
      </c>
      <c r="K864" s="35">
        <f t="shared" si="64"/>
        <v>4.6603053435114505</v>
      </c>
      <c r="L864" s="35">
        <f t="shared" si="65"/>
        <v>4.6599199811720409</v>
      </c>
      <c r="M864" s="35">
        <f>7.41875*($T$2)</f>
        <v>14.8375</v>
      </c>
      <c r="N864" s="35">
        <f>46.6*(5280/3600)</f>
        <v>68.346666666666664</v>
      </c>
      <c r="O864" s="35">
        <f t="shared" si="63"/>
        <v>1.1798266539440205</v>
      </c>
      <c r="P864" s="35">
        <f t="shared" si="67"/>
        <v>69.147280534351154</v>
      </c>
      <c r="Q864" s="35">
        <f>('Batt Capacity and Sys Weight'!$I$3) + (B864*$T$2)</f>
        <v>53.328474999999997</v>
      </c>
      <c r="R864" s="35">
        <f>'Batt Capacity and Sys Weight'!$H$3</f>
        <v>97.68</v>
      </c>
    </row>
    <row r="865" spans="1:18" x14ac:dyDescent="0.3">
      <c r="A865" s="35" t="s">
        <v>111</v>
      </c>
      <c r="B865" s="35">
        <v>13.47</v>
      </c>
      <c r="C865" s="35">
        <v>460</v>
      </c>
      <c r="D865" s="35" t="s">
        <v>4</v>
      </c>
      <c r="E865" s="36" t="str" cm="1">
        <f t="array" ref="E865">GetNumber(D865,1)</f>
        <v>16</v>
      </c>
      <c r="F865" s="36" t="str" cm="1">
        <f t="array" ref="F865">GetNumber(D865,2)</f>
        <v>10</v>
      </c>
      <c r="G865" s="35">
        <v>14.8</v>
      </c>
      <c r="H865" s="35">
        <v>6061</v>
      </c>
      <c r="I865" s="35">
        <f>47.89*($T$2)</f>
        <v>95.78</v>
      </c>
      <c r="J865" s="35">
        <f>708.7*($T$2)</f>
        <v>1417.4</v>
      </c>
      <c r="K865" s="35">
        <f t="shared" si="64"/>
        <v>4.1348948779455341</v>
      </c>
      <c r="L865" s="35">
        <f t="shared" si="65"/>
        <v>4.1344748381708083</v>
      </c>
      <c r="M865" s="35">
        <f>7.615*($T$2)</f>
        <v>15.23</v>
      </c>
      <c r="N865" s="35">
        <f>57.4*(5280/3600)</f>
        <v>84.186666666666653</v>
      </c>
      <c r="O865" s="35">
        <f t="shared" si="63"/>
        <v>1.074502610413433</v>
      </c>
      <c r="P865" s="35">
        <f t="shared" si="67"/>
        <v>62.974448991110485</v>
      </c>
      <c r="Q865" s="35">
        <f>('Batt Capacity and Sys Weight'!$I$3) + (B865*$T$2)</f>
        <v>53.328474999999997</v>
      </c>
      <c r="R865" s="35">
        <f>'Batt Capacity and Sys Weight'!$H$3</f>
        <v>97.68</v>
      </c>
    </row>
    <row r="866" spans="1:18" x14ac:dyDescent="0.3">
      <c r="A866" s="35" t="s">
        <v>111</v>
      </c>
      <c r="B866" s="35">
        <v>13.47</v>
      </c>
      <c r="C866" s="35">
        <v>460</v>
      </c>
      <c r="D866" s="35" t="s">
        <v>5</v>
      </c>
      <c r="E866" s="36" t="str" cm="1">
        <f t="array" ref="E866">GetNumber(D866,1)</f>
        <v>16</v>
      </c>
      <c r="F866" s="36" t="str" cm="1">
        <f t="array" ref="F866">GetNumber(D866,2)</f>
        <v>12</v>
      </c>
      <c r="G866" s="35">
        <v>14.8</v>
      </c>
      <c r="H866" s="35">
        <v>5832</v>
      </c>
      <c r="I866" s="35">
        <f>60.01*($T$2)</f>
        <v>120.02</v>
      </c>
      <c r="J866" s="35">
        <f>888.2*($T$2)</f>
        <v>1776.4</v>
      </c>
      <c r="K866" s="35">
        <f t="shared" si="64"/>
        <v>3.29925692411619</v>
      </c>
      <c r="L866" s="35">
        <f t="shared" si="65"/>
        <v>3.2994500916513916</v>
      </c>
      <c r="M866" s="35">
        <f>6.756875*($T$2)</f>
        <v>13.51375</v>
      </c>
      <c r="N866" s="35">
        <f>66.3*(5280/3600)</f>
        <v>97.24</v>
      </c>
      <c r="O866" s="35">
        <f t="shared" si="63"/>
        <v>0.76073800945732939</v>
      </c>
      <c r="P866" s="35">
        <f t="shared" si="67"/>
        <v>44.585333258275163</v>
      </c>
      <c r="Q866" s="35">
        <f>('Batt Capacity and Sys Weight'!$I$3) + (B866*$T$2)</f>
        <v>53.328474999999997</v>
      </c>
      <c r="R866" s="35">
        <f>'Batt Capacity and Sys Weight'!$H$3</f>
        <v>97.68</v>
      </c>
    </row>
    <row r="867" spans="1:18" x14ac:dyDescent="0.3">
      <c r="A867" s="35" t="s">
        <v>111</v>
      </c>
      <c r="B867" s="35">
        <v>13.47</v>
      </c>
      <c r="C867" s="35">
        <v>460</v>
      </c>
      <c r="D867" s="35" t="s">
        <v>6</v>
      </c>
      <c r="E867" s="36" t="str" cm="1">
        <f t="array" ref="E867">GetNumber(D867,1)</f>
        <v>17</v>
      </c>
      <c r="F867" s="36" t="str" cm="1">
        <f t="array" ref="F867">GetNumber(D867,2)</f>
        <v>7</v>
      </c>
      <c r="G867" s="35">
        <v>14.8</v>
      </c>
      <c r="H867" s="35">
        <v>6234</v>
      </c>
      <c r="I867" s="35">
        <f>39.14*($T$2)</f>
        <v>78.28</v>
      </c>
      <c r="J867" s="35">
        <f>579.2*($T$2)</f>
        <v>1158.4000000000001</v>
      </c>
      <c r="K867" s="35">
        <f t="shared" si="64"/>
        <v>5.0593922651933703</v>
      </c>
      <c r="L867" s="35">
        <f t="shared" si="65"/>
        <v>5.0587634133878385</v>
      </c>
      <c r="M867" s="35">
        <f>7.63875*($T$2)</f>
        <v>15.2775</v>
      </c>
      <c r="N867" s="35">
        <f>41.3*(5280/3600)</f>
        <v>60.573333333333323</v>
      </c>
      <c r="O867" s="35">
        <f t="shared" si="63"/>
        <v>1.3188449585635358</v>
      </c>
      <c r="P867" s="35">
        <f t="shared" si="67"/>
        <v>77.294865331491707</v>
      </c>
      <c r="Q867" s="35">
        <f>('Batt Capacity and Sys Weight'!$I$3) + (B867*$T$2)</f>
        <v>53.328474999999997</v>
      </c>
      <c r="R867" s="35">
        <f>'Batt Capacity and Sys Weight'!$H$3</f>
        <v>97.68</v>
      </c>
    </row>
    <row r="868" spans="1:18" x14ac:dyDescent="0.3">
      <c r="A868" s="35" t="s">
        <v>111</v>
      </c>
      <c r="B868" s="35">
        <v>13.47</v>
      </c>
      <c r="C868" s="35">
        <v>460</v>
      </c>
      <c r="D868" s="35" t="s">
        <v>7</v>
      </c>
      <c r="E868" s="36" t="str" cm="1">
        <f t="array" ref="E868">GetNumber(D868,1)</f>
        <v>17</v>
      </c>
      <c r="F868" s="36" t="str" cm="1">
        <f t="array" ref="F868">GetNumber(D868,2)</f>
        <v>8</v>
      </c>
      <c r="G868" s="35">
        <v>14.8</v>
      </c>
      <c r="H868" s="35">
        <v>6066</v>
      </c>
      <c r="I868" s="35">
        <f>47.49*($T$2)</f>
        <v>94.98</v>
      </c>
      <c r="J868" s="35">
        <f>702.9*($T$2)</f>
        <v>1405.8</v>
      </c>
      <c r="K868" s="35">
        <f t="shared" si="64"/>
        <v>4.1690140845070429</v>
      </c>
      <c r="L868" s="35">
        <f t="shared" si="65"/>
        <v>4.169298799747315</v>
      </c>
      <c r="M868" s="35">
        <f>8.393125*($T$2)</f>
        <v>16.786249999999999</v>
      </c>
      <c r="N868" s="35">
        <f>46*(5280/3600)</f>
        <v>67.466666666666669</v>
      </c>
      <c r="O868" s="35">
        <f t="shared" si="63"/>
        <v>1.1940709916062029</v>
      </c>
      <c r="P868" s="35">
        <f t="shared" si="67"/>
        <v>69.982112676056346</v>
      </c>
      <c r="Q868" s="35">
        <f>('Batt Capacity and Sys Weight'!$I$3) + (B868*$T$2)</f>
        <v>53.328474999999997</v>
      </c>
      <c r="R868" s="35">
        <f>'Batt Capacity and Sys Weight'!$H$3</f>
        <v>97.68</v>
      </c>
    </row>
    <row r="869" spans="1:18" x14ac:dyDescent="0.3">
      <c r="A869" s="35" t="s">
        <v>111</v>
      </c>
      <c r="B869" s="35">
        <v>13.47</v>
      </c>
      <c r="C869" s="35">
        <v>460</v>
      </c>
      <c r="D869" s="35" t="s">
        <v>8</v>
      </c>
      <c r="E869" s="36" t="str" cm="1">
        <f t="array" ref="E869">GetNumber(D869,1)</f>
        <v>17</v>
      </c>
      <c r="F869" s="36" t="str" cm="1">
        <f t="array" ref="F869">GetNumber(D869,2)</f>
        <v>10</v>
      </c>
      <c r="G869" s="35">
        <v>14.8</v>
      </c>
      <c r="H869" s="35">
        <v>5865</v>
      </c>
      <c r="I869" s="35">
        <f>57.76*($T$2)</f>
        <v>115.52</v>
      </c>
      <c r="J869" s="35">
        <f>854.9*($T$2)</f>
        <v>1709.8</v>
      </c>
      <c r="K869" s="35">
        <f t="shared" si="64"/>
        <v>3.4277693297461695</v>
      </c>
      <c r="L869" s="35">
        <f t="shared" si="65"/>
        <v>3.4279778393351807</v>
      </c>
      <c r="M869" s="35">
        <f>8.7125*($T$2)</f>
        <v>17.425000000000001</v>
      </c>
      <c r="N869" s="35">
        <f>55.5*(5280/3600)</f>
        <v>81.399999999999991</v>
      </c>
      <c r="O869" s="35">
        <f t="shared" si="63"/>
        <v>1.0191250438647796</v>
      </c>
      <c r="P869" s="35">
        <f t="shared" si="67"/>
        <v>59.728880570827009</v>
      </c>
      <c r="Q869" s="35">
        <f>('Batt Capacity and Sys Weight'!$I$3) + (B869*$T$2)</f>
        <v>53.328474999999997</v>
      </c>
      <c r="R869" s="35">
        <f>'Batt Capacity and Sys Weight'!$H$3</f>
        <v>97.68</v>
      </c>
    </row>
    <row r="870" spans="1:18" x14ac:dyDescent="0.3">
      <c r="A870" s="35" t="s">
        <v>111</v>
      </c>
      <c r="B870" s="35">
        <v>13.47</v>
      </c>
      <c r="C870" s="35">
        <v>460</v>
      </c>
      <c r="D870" s="35" t="s">
        <v>10</v>
      </c>
      <c r="E870" s="36" t="str" cm="1">
        <f t="array" ref="E870">GetNumber(D870,1)</f>
        <v>18</v>
      </c>
      <c r="F870" s="36" t="str" cm="1">
        <f t="array" ref="F870">GetNumber(D870,2)</f>
        <v>8</v>
      </c>
      <c r="G870" s="35">
        <v>14.8</v>
      </c>
      <c r="H870" s="35">
        <v>5996</v>
      </c>
      <c r="I870" s="35">
        <f>53.43*($T$2)</f>
        <v>106.86</v>
      </c>
      <c r="J870" s="35">
        <f>790.7*($T$2)</f>
        <v>1581.4</v>
      </c>
      <c r="K870" s="35">
        <f t="shared" si="64"/>
        <v>3.706083217402302</v>
      </c>
      <c r="L870" s="35">
        <f t="shared" si="65"/>
        <v>3.7057832678270639</v>
      </c>
      <c r="M870" s="35">
        <f>9.493125*($T$2)</f>
        <v>18.986249999999998</v>
      </c>
      <c r="N870" s="35">
        <f>45.4*(5280/3600)</f>
        <v>66.586666666666659</v>
      </c>
      <c r="O870" s="35">
        <f t="shared" si="63"/>
        <v>1.2005975717718476</v>
      </c>
      <c r="P870" s="35">
        <f t="shared" si="67"/>
        <v>70.364622486404443</v>
      </c>
      <c r="Q870" s="35">
        <f>('Batt Capacity and Sys Weight'!$I$3) + (B870*$T$2)</f>
        <v>53.328474999999997</v>
      </c>
      <c r="R870" s="35">
        <f>'Batt Capacity and Sys Weight'!$H$3</f>
        <v>97.68</v>
      </c>
    </row>
    <row r="871" spans="1:18" x14ac:dyDescent="0.3">
      <c r="A871" s="35" t="s">
        <v>111</v>
      </c>
      <c r="B871" s="35">
        <v>13.47</v>
      </c>
      <c r="C871" s="35">
        <v>460</v>
      </c>
      <c r="D871" s="35" t="s">
        <v>11</v>
      </c>
      <c r="E871" s="36" t="str" cm="1">
        <f t="array" ref="E871">GetNumber(D871,1)</f>
        <v>18</v>
      </c>
      <c r="F871" s="36" t="str" cm="1">
        <f t="array" ref="F871">GetNumber(D871,2)</f>
        <v>10</v>
      </c>
      <c r="G871" s="35">
        <v>14.8</v>
      </c>
      <c r="H871" s="35">
        <v>5829</v>
      </c>
      <c r="I871" s="35">
        <f>59.94*($T$2)</f>
        <v>119.88</v>
      </c>
      <c r="J871" s="35">
        <f>887*($T$2)</f>
        <v>1774</v>
      </c>
      <c r="K871" s="35">
        <f t="shared" si="64"/>
        <v>3.3037204058624576</v>
      </c>
      <c r="L871" s="35">
        <f t="shared" si="65"/>
        <v>3.3033033033033039</v>
      </c>
      <c r="M871" s="35">
        <f>9.9475*($T$2)</f>
        <v>19.895</v>
      </c>
      <c r="N871" s="35">
        <f>55.2*(5280/3600)</f>
        <v>80.959999999999994</v>
      </c>
      <c r="O871" s="35">
        <f t="shared" si="63"/>
        <v>1.1214768883878241</v>
      </c>
      <c r="P871" s="35">
        <f t="shared" si="67"/>
        <v>65.727517474633586</v>
      </c>
      <c r="Q871" s="35">
        <f>('Batt Capacity and Sys Weight'!$I$3) + (B871*$T$2)</f>
        <v>53.328474999999997</v>
      </c>
      <c r="R871" s="35">
        <f>'Batt Capacity and Sys Weight'!$H$3</f>
        <v>97.68</v>
      </c>
    </row>
    <row r="872" spans="1:18" x14ac:dyDescent="0.3">
      <c r="A872" s="35" t="s">
        <v>111</v>
      </c>
      <c r="B872" s="35">
        <v>13.47</v>
      </c>
      <c r="C872" s="35">
        <v>460</v>
      </c>
      <c r="D872" s="35" t="s">
        <v>17</v>
      </c>
      <c r="E872" s="36" t="str" cm="1">
        <f t="array" ref="E872">GetNumber(D872,1)</f>
        <v>15</v>
      </c>
      <c r="F872" s="36" t="str" cm="1">
        <f t="array" ref="F872">GetNumber(D872,2)</f>
        <v>10</v>
      </c>
      <c r="G872" s="35">
        <v>14.8</v>
      </c>
      <c r="H872" s="35">
        <v>6207</v>
      </c>
      <c r="I872" s="35">
        <f>39.48*($T$2)</f>
        <v>78.959999999999994</v>
      </c>
      <c r="J872" s="35">
        <f>584.4*($T$2)</f>
        <v>1168.8</v>
      </c>
      <c r="K872" s="35">
        <f t="shared" si="64"/>
        <v>5.014373716632444</v>
      </c>
      <c r="L872" s="35">
        <f t="shared" si="65"/>
        <v>5.0151975683890582</v>
      </c>
      <c r="M872" s="35">
        <f>5.694375*($T$2)</f>
        <v>11.38875</v>
      </c>
      <c r="N872" s="35">
        <f>58.8*(5280/3600)</f>
        <v>86.24</v>
      </c>
      <c r="O872" s="35">
        <f t="shared" si="63"/>
        <v>0.97439681724845995</v>
      </c>
      <c r="P872" s="35">
        <f t="shared" si="67"/>
        <v>57.107448665297746</v>
      </c>
      <c r="Q872" s="35">
        <f>('Batt Capacity and Sys Weight'!$I$3) + (B872*$T$2)</f>
        <v>53.328474999999997</v>
      </c>
      <c r="R872" s="35">
        <f>'Batt Capacity and Sys Weight'!$H$3</f>
        <v>97.68</v>
      </c>
    </row>
    <row r="873" spans="1:18" x14ac:dyDescent="0.3">
      <c r="A873" s="35" t="s">
        <v>111</v>
      </c>
      <c r="B873" s="35">
        <v>13.47</v>
      </c>
      <c r="C873" s="35">
        <v>460</v>
      </c>
      <c r="D873" s="35" t="s">
        <v>19</v>
      </c>
      <c r="E873" s="36" t="str" cm="1">
        <f t="array" ref="E873">GetNumber(D873,1)</f>
        <v>16</v>
      </c>
      <c r="F873" s="36" t="str" cm="1">
        <f t="array" ref="F873">GetNumber(D873,2)</f>
        <v>8</v>
      </c>
      <c r="G873" s="35">
        <v>14.8</v>
      </c>
      <c r="H873" s="35">
        <v>6267</v>
      </c>
      <c r="I873" s="35">
        <f>39.47*($T$2)</f>
        <v>78.94</v>
      </c>
      <c r="J873" s="35">
        <f>584.2*($T$2)</f>
        <v>1168.4000000000001</v>
      </c>
      <c r="K873" s="35">
        <f t="shared" si="64"/>
        <v>5.0160903800068466</v>
      </c>
      <c r="L873" s="35">
        <f t="shared" si="65"/>
        <v>5.016468203699012</v>
      </c>
      <c r="M873" s="35">
        <f>6.9725*($T$2)</f>
        <v>13.945</v>
      </c>
      <c r="N873" s="35">
        <f>47.5*(5280/3600)</f>
        <v>69.666666666666657</v>
      </c>
      <c r="O873" s="35">
        <f t="shared" si="63"/>
        <v>1.1935124957206436</v>
      </c>
      <c r="P873" s="35">
        <f t="shared" si="67"/>
        <v>69.949380349195479</v>
      </c>
      <c r="Q873" s="35">
        <f>('Batt Capacity and Sys Weight'!$I$3) + (B873*$T$2)</f>
        <v>53.328474999999997</v>
      </c>
      <c r="R873" s="35">
        <f>'Batt Capacity and Sys Weight'!$H$3</f>
        <v>97.68</v>
      </c>
    </row>
    <row r="874" spans="1:18" x14ac:dyDescent="0.3">
      <c r="A874" s="35" t="s">
        <v>111</v>
      </c>
      <c r="B874" s="35">
        <v>13.47</v>
      </c>
      <c r="C874" s="35">
        <v>460</v>
      </c>
      <c r="D874" s="35" t="s">
        <v>20</v>
      </c>
      <c r="E874" s="36" t="str" cm="1">
        <f t="array" ref="E874">GetNumber(D874,1)</f>
        <v>16</v>
      </c>
      <c r="F874" s="36" t="str" cm="1">
        <f t="array" ref="F874">GetNumber(D874,2)</f>
        <v>10</v>
      </c>
      <c r="G874" s="35">
        <v>14.8</v>
      </c>
      <c r="H874" s="35">
        <v>6164</v>
      </c>
      <c r="I874" s="35">
        <f>45.3*($T$2)</f>
        <v>90.6</v>
      </c>
      <c r="J874" s="35">
        <f>670.4*($T$2)</f>
        <v>1340.8</v>
      </c>
      <c r="K874" s="35">
        <f t="shared" si="64"/>
        <v>4.371121718377089</v>
      </c>
      <c r="L874" s="35">
        <f t="shared" si="65"/>
        <v>4.3708609271523189</v>
      </c>
      <c r="M874" s="35">
        <f>7.58125*($T$2)</f>
        <v>15.1625</v>
      </c>
      <c r="N874" s="35">
        <f>58.4*(5280/3600)</f>
        <v>85.653333333333322</v>
      </c>
      <c r="O874" s="35">
        <f t="shared" si="63"/>
        <v>1.1308547136038187</v>
      </c>
      <c r="P874" s="35">
        <f t="shared" si="67"/>
        <v>66.277133054892616</v>
      </c>
      <c r="Q874" s="35">
        <f>('Batt Capacity and Sys Weight'!$I$3) + (B874*$T$2)</f>
        <v>53.328474999999997</v>
      </c>
      <c r="R874" s="35">
        <f>'Batt Capacity and Sys Weight'!$H$3</f>
        <v>97.68</v>
      </c>
    </row>
    <row r="875" spans="1:18" x14ac:dyDescent="0.3">
      <c r="A875" s="35" t="s">
        <v>111</v>
      </c>
      <c r="B875" s="35">
        <v>13.47</v>
      </c>
      <c r="C875" s="35">
        <v>460</v>
      </c>
      <c r="D875" s="35" t="s">
        <v>21</v>
      </c>
      <c r="E875" s="36" t="str" cm="1">
        <f t="array" ref="E875">GetNumber(D875,1)</f>
        <v>17</v>
      </c>
      <c r="F875" s="36" t="str" cm="1">
        <f t="array" ref="F875">GetNumber(D875,2)</f>
        <v>6</v>
      </c>
      <c r="G875" s="35">
        <v>14.8</v>
      </c>
      <c r="H875" s="35">
        <v>6190</v>
      </c>
      <c r="I875" s="35">
        <f>40.37*($T$2)</f>
        <v>80.739999999999995</v>
      </c>
      <c r="J875" s="35">
        <f>597.5*($T$2)</f>
        <v>1195</v>
      </c>
      <c r="K875" s="35">
        <f t="shared" si="64"/>
        <v>4.9044351464435154</v>
      </c>
      <c r="L875" s="35">
        <f t="shared" si="65"/>
        <v>4.9046321525885563</v>
      </c>
      <c r="M875" s="35">
        <f>7.203125*($T$2)</f>
        <v>14.40625</v>
      </c>
      <c r="N875" s="35">
        <f>35.2*(5280/3600)</f>
        <v>51.626666666666665</v>
      </c>
      <c r="O875" s="35">
        <f t="shared" si="63"/>
        <v>1.2055439330543933</v>
      </c>
      <c r="P875" s="35">
        <f t="shared" si="67"/>
        <v>70.654518828451899</v>
      </c>
      <c r="Q875" s="35">
        <f>('Batt Capacity and Sys Weight'!$I$3) + (B875*$T$2)</f>
        <v>53.328474999999997</v>
      </c>
      <c r="R875" s="35">
        <f>'Batt Capacity and Sys Weight'!$H$3</f>
        <v>97.68</v>
      </c>
    </row>
    <row r="876" spans="1:18" x14ac:dyDescent="0.3">
      <c r="A876" s="35" t="s">
        <v>111</v>
      </c>
      <c r="B876" s="35">
        <v>13.47</v>
      </c>
      <c r="C876" s="35">
        <v>460</v>
      </c>
      <c r="D876" s="35" t="s">
        <v>22</v>
      </c>
      <c r="E876" s="36" t="str" cm="1">
        <f t="array" ref="E876">GetNumber(D876,1)</f>
        <v>17</v>
      </c>
      <c r="F876" s="36" t="str" cm="1">
        <f t="array" ref="F876">GetNumber(D876,2)</f>
        <v>8</v>
      </c>
      <c r="G876" s="35">
        <v>14.8</v>
      </c>
      <c r="H876" s="35">
        <v>6145</v>
      </c>
      <c r="I876" s="35">
        <f>45.61*($T$2)</f>
        <v>91.22</v>
      </c>
      <c r="J876" s="35">
        <f>675*($T$2)</f>
        <v>1350</v>
      </c>
      <c r="K876" s="35">
        <f t="shared" si="64"/>
        <v>4.3413333333333339</v>
      </c>
      <c r="L876" s="35">
        <f t="shared" si="65"/>
        <v>4.3411532558649428</v>
      </c>
      <c r="M876" s="35">
        <f>8.2375*($T$2)</f>
        <v>16.475000000000001</v>
      </c>
      <c r="N876" s="35">
        <f>46.6*(5280/3600)</f>
        <v>68.346666666666664</v>
      </c>
      <c r="O876" s="35">
        <f t="shared" si="63"/>
        <v>1.2203703703703705</v>
      </c>
      <c r="P876" s="35">
        <f t="shared" si="67"/>
        <v>71.523466666666678</v>
      </c>
      <c r="Q876" s="35">
        <f>('Batt Capacity and Sys Weight'!$I$3) + (B876*$T$2)</f>
        <v>53.328474999999997</v>
      </c>
      <c r="R876" s="35">
        <f>'Batt Capacity and Sys Weight'!$H$3</f>
        <v>97.68</v>
      </c>
    </row>
    <row r="877" spans="1:18" x14ac:dyDescent="0.3">
      <c r="A877" s="35" t="s">
        <v>111</v>
      </c>
      <c r="B877" s="35">
        <v>13.47</v>
      </c>
      <c r="C877" s="35">
        <v>460</v>
      </c>
      <c r="D877" s="35" t="s">
        <v>23</v>
      </c>
      <c r="E877" s="36" t="str" cm="1">
        <f t="array" ref="E877">GetNumber(D877,1)</f>
        <v>17</v>
      </c>
      <c r="F877" s="36" t="str" cm="1">
        <f t="array" ref="F877">GetNumber(D877,2)</f>
        <v>10</v>
      </c>
      <c r="G877" s="35">
        <v>14.8</v>
      </c>
      <c r="H877" s="35">
        <v>5899</v>
      </c>
      <c r="I877" s="35">
        <f>56.52*($T$2)</f>
        <v>113.04</v>
      </c>
      <c r="J877" s="35">
        <f>836.5*($T$2)</f>
        <v>1673</v>
      </c>
      <c r="K877" s="35">
        <f t="shared" si="64"/>
        <v>3.5031679617453682</v>
      </c>
      <c r="L877" s="35">
        <f t="shared" si="65"/>
        <v>3.5031847133757963</v>
      </c>
      <c r="M877" s="35">
        <f>8.868125*($T$2)</f>
        <v>17.736249999999998</v>
      </c>
      <c r="N877" s="35">
        <f>55.9*(5280/3600)</f>
        <v>81.986666666666665</v>
      </c>
      <c r="O877" s="35">
        <f t="shared" si="63"/>
        <v>1.0601464435146444</v>
      </c>
      <c r="P877" s="35">
        <f t="shared" si="67"/>
        <v>62.133062761506281</v>
      </c>
      <c r="Q877" s="35">
        <f>('Batt Capacity and Sys Weight'!$I$3) + (B877*$T$2)</f>
        <v>53.328474999999997</v>
      </c>
      <c r="R877" s="35">
        <f>'Batt Capacity and Sys Weight'!$H$3</f>
        <v>97.68</v>
      </c>
    </row>
    <row r="878" spans="1:18" x14ac:dyDescent="0.3">
      <c r="A878" s="35" t="s">
        <v>111</v>
      </c>
      <c r="B878" s="35">
        <v>13.47</v>
      </c>
      <c r="C878" s="35">
        <v>460</v>
      </c>
      <c r="D878" s="35" t="s">
        <v>24</v>
      </c>
      <c r="E878" s="36" t="str" cm="1">
        <f t="array" ref="E878">GetNumber(D878,1)</f>
        <v>18</v>
      </c>
      <c r="F878" s="36" t="str" cm="1">
        <f t="array" ref="F878">GetNumber(D878,2)</f>
        <v>8</v>
      </c>
      <c r="G878" s="35">
        <v>14.8</v>
      </c>
      <c r="H878" s="35">
        <v>6014</v>
      </c>
      <c r="I878" s="35">
        <f>53.91*($T$2)</f>
        <v>107.82</v>
      </c>
      <c r="J878" s="35">
        <f>797.8*($T$2)</f>
        <v>1595.6</v>
      </c>
      <c r="K878" s="35">
        <f t="shared" si="64"/>
        <v>3.6731010278265233</v>
      </c>
      <c r="L878" s="35">
        <f t="shared" si="65"/>
        <v>3.6727879799666114</v>
      </c>
      <c r="M878" s="35">
        <f>9.159375*($T$2)</f>
        <v>18.318750000000001</v>
      </c>
      <c r="N878" s="35">
        <f>45.6*(5280/3600)</f>
        <v>66.88</v>
      </c>
      <c r="O878" s="35">
        <f t="shared" si="63"/>
        <v>1.1480790925043873</v>
      </c>
      <c r="P878" s="35">
        <f t="shared" si="67"/>
        <v>67.286619453497124</v>
      </c>
      <c r="Q878" s="35">
        <f>('Batt Capacity and Sys Weight'!$I$3) + (B878*$T$2)</f>
        <v>53.328474999999997</v>
      </c>
      <c r="R878" s="35">
        <f>'Batt Capacity and Sys Weight'!$H$3</f>
        <v>97.68</v>
      </c>
    </row>
    <row r="879" spans="1:18" x14ac:dyDescent="0.3">
      <c r="A879" s="35" t="s">
        <v>111</v>
      </c>
      <c r="B879" s="35">
        <v>13.47</v>
      </c>
      <c r="C879" s="35">
        <v>460</v>
      </c>
      <c r="D879" s="35" t="s">
        <v>28</v>
      </c>
      <c r="E879" s="36" t="str" cm="1">
        <f t="array" ref="E879">GetNumber(D879,1)</f>
        <v>15</v>
      </c>
      <c r="F879" s="36" t="str" cm="1">
        <f t="array" ref="F879">GetNumber(D879,2)</f>
        <v>7</v>
      </c>
      <c r="G879" s="35">
        <v>14.8</v>
      </c>
      <c r="H879" s="35">
        <v>6243</v>
      </c>
      <c r="I879" s="35">
        <f>39.01*($T$2)</f>
        <v>78.02</v>
      </c>
      <c r="J879" s="35">
        <f>577.3*($T$2)</f>
        <v>1154.5999999999999</v>
      </c>
      <c r="K879" s="35">
        <f t="shared" si="64"/>
        <v>5.076043651481033</v>
      </c>
      <c r="L879" s="35">
        <f t="shared" si="65"/>
        <v>5.0756216354780825</v>
      </c>
      <c r="M879" s="35">
        <f>7.001875*($T$2)</f>
        <v>14.00375</v>
      </c>
      <c r="N879" s="35">
        <f>41.4*(5280/3600)</f>
        <v>60.719999999999992</v>
      </c>
      <c r="O879" s="35">
        <f t="shared" si="63"/>
        <v>1.2128659275939722</v>
      </c>
      <c r="P879" s="35">
        <f t="shared" si="67"/>
        <v>71.083646284427516</v>
      </c>
      <c r="Q879" s="35">
        <f>('Batt Capacity and Sys Weight'!$I$3) + (B879*$T$2)</f>
        <v>53.328474999999997</v>
      </c>
      <c r="R879" s="35">
        <f>'Batt Capacity and Sys Weight'!$H$3</f>
        <v>97.68</v>
      </c>
    </row>
    <row r="880" spans="1:18" x14ac:dyDescent="0.3">
      <c r="A880" s="35" t="s">
        <v>111</v>
      </c>
      <c r="B880" s="35">
        <v>13.47</v>
      </c>
      <c r="C880" s="35">
        <v>460</v>
      </c>
      <c r="D880" s="35" t="s">
        <v>29</v>
      </c>
      <c r="E880" s="36" t="str" cm="1">
        <f t="array" ref="E880">GetNumber(D880,1)</f>
        <v>16</v>
      </c>
      <c r="F880" s="36" t="str" cm="1">
        <f t="array" ref="F880">GetNumber(D880,2)</f>
        <v>8</v>
      </c>
      <c r="G880" s="35">
        <v>14.8</v>
      </c>
      <c r="H880" s="35">
        <v>6094</v>
      </c>
      <c r="I880" s="35">
        <f>45.75*($T$2)</f>
        <v>91.5</v>
      </c>
      <c r="J880" s="35">
        <f>677*($T$2)</f>
        <v>1354</v>
      </c>
      <c r="K880" s="35">
        <f t="shared" si="64"/>
        <v>4.3285081240768104</v>
      </c>
      <c r="L880" s="35">
        <f t="shared" si="65"/>
        <v>4.3278688524590168</v>
      </c>
      <c r="M880" s="35">
        <f>8.0625*($T$2)</f>
        <v>16.125</v>
      </c>
      <c r="N880" s="35">
        <f>46.2*(5280/3600)</f>
        <v>67.760000000000005</v>
      </c>
      <c r="O880" s="35">
        <f t="shared" si="63"/>
        <v>1.1909158050221567</v>
      </c>
      <c r="P880" s="35">
        <f t="shared" si="67"/>
        <v>69.797193500738572</v>
      </c>
      <c r="Q880" s="35">
        <f>('Batt Capacity and Sys Weight'!$I$3) + (B880*$T$2)</f>
        <v>53.328474999999997</v>
      </c>
      <c r="R880" s="35">
        <f>'Batt Capacity and Sys Weight'!$H$3</f>
        <v>97.68</v>
      </c>
    </row>
    <row r="881" spans="1:18" x14ac:dyDescent="0.3">
      <c r="A881" s="35" t="s">
        <v>111</v>
      </c>
      <c r="B881" s="35">
        <v>13.47</v>
      </c>
      <c r="C881" s="35">
        <v>460</v>
      </c>
      <c r="D881" s="35" t="s">
        <v>30</v>
      </c>
      <c r="E881" s="36" t="str" cm="1">
        <f t="array" ref="E881">GetNumber(D881,1)</f>
        <v>16</v>
      </c>
      <c r="F881" s="36" t="str" cm="1">
        <f t="array" ref="F881">GetNumber(D881,2)</f>
        <v>10</v>
      </c>
      <c r="G881" s="35">
        <v>14.8</v>
      </c>
      <c r="H881" s="35">
        <v>5854</v>
      </c>
      <c r="I881" s="35">
        <f>58.82*($T$2)</f>
        <v>117.64</v>
      </c>
      <c r="J881" s="35">
        <f>870.5*($T$2)</f>
        <v>1741</v>
      </c>
      <c r="K881" s="35">
        <f t="shared" si="64"/>
        <v>3.3663411832280299</v>
      </c>
      <c r="L881" s="35">
        <f t="shared" si="65"/>
        <v>3.3662019721183274</v>
      </c>
      <c r="M881" s="35">
        <f>9.383125*($T$2)</f>
        <v>18.766249999999999</v>
      </c>
      <c r="N881" s="35">
        <f>55.4*(5280/3600)</f>
        <v>81.25333333333333</v>
      </c>
      <c r="O881" s="35">
        <f t="shared" si="63"/>
        <v>1.0779006318207927</v>
      </c>
      <c r="P881" s="35">
        <f t="shared" si="67"/>
        <v>63.173600229753013</v>
      </c>
      <c r="Q881" s="35">
        <f>('Batt Capacity and Sys Weight'!$I$3) + (B881*$T$2)</f>
        <v>53.328474999999997</v>
      </c>
      <c r="R881" s="35">
        <f>'Batt Capacity and Sys Weight'!$H$3</f>
        <v>97.68</v>
      </c>
    </row>
    <row r="882" spans="1:18" x14ac:dyDescent="0.3">
      <c r="A882" s="35" t="s">
        <v>111</v>
      </c>
      <c r="B882" s="35">
        <v>13.47</v>
      </c>
      <c r="C882" s="35">
        <v>460</v>
      </c>
      <c r="D882" s="35" t="s">
        <v>37</v>
      </c>
      <c r="E882" s="36" t="str" cm="1">
        <f t="array" ref="E882">GetNumber(D882,1)</f>
        <v>13</v>
      </c>
      <c r="F882" s="36" t="str" cm="1">
        <f t="array" ref="F882">GetNumber(D882,2)</f>
        <v>10</v>
      </c>
      <c r="G882" s="35">
        <v>18.5</v>
      </c>
      <c r="H882" s="35">
        <v>7756</v>
      </c>
      <c r="I882" s="35">
        <f>42.52*($T$2)</f>
        <v>85.04</v>
      </c>
      <c r="J882" s="35">
        <f>786.7*($T$2)</f>
        <v>1573.4</v>
      </c>
      <c r="K882" s="35">
        <f t="shared" si="64"/>
        <v>3.5273929070802081</v>
      </c>
      <c r="L882" s="35">
        <f t="shared" si="65"/>
        <v>3.5277516462841016</v>
      </c>
      <c r="M882" s="35">
        <f>5.749375*($T$2)</f>
        <v>11.498749999999999</v>
      </c>
      <c r="N882" s="35">
        <f>73.4*(5280/3600)</f>
        <v>107.65333333333334</v>
      </c>
      <c r="O882" s="35">
        <f t="shared" si="63"/>
        <v>0.7308217872124062</v>
      </c>
      <c r="P882" s="35">
        <f t="shared" si="67"/>
        <v>40.560609190288538</v>
      </c>
      <c r="Q882" s="35">
        <f>('Batt Capacity and Sys Weight'!$I$4) + (B882*$T$2)</f>
        <v>54.104503000000001</v>
      </c>
      <c r="R882" s="35">
        <f>'Batt Capacity and Sys Weight'!$H$4</f>
        <v>92.5</v>
      </c>
    </row>
    <row r="883" spans="1:18" x14ac:dyDescent="0.3">
      <c r="A883" s="35" t="s">
        <v>111</v>
      </c>
      <c r="B883" s="35">
        <v>13.47</v>
      </c>
      <c r="C883" s="35">
        <v>460</v>
      </c>
      <c r="D883" s="35" t="s">
        <v>112</v>
      </c>
      <c r="E883" s="36" t="str" cm="1">
        <f t="array" ref="E883">GetNumber(D883,1)</f>
        <v>14</v>
      </c>
      <c r="F883" s="36" t="str" cm="1">
        <f t="array" ref="F883">GetNumber(D883,2)</f>
        <v>10</v>
      </c>
      <c r="G883" s="35">
        <v>18.5</v>
      </c>
      <c r="H883" s="35">
        <v>7755</v>
      </c>
      <c r="I883" s="35">
        <f>43.06*($T$2)</f>
        <v>86.12</v>
      </c>
      <c r="J883" s="35">
        <f>796.7*($T$2)</f>
        <v>1593.4</v>
      </c>
      <c r="K883" s="35">
        <f t="shared" si="64"/>
        <v>3.4831178611773566</v>
      </c>
      <c r="L883" s="35">
        <f t="shared" si="65"/>
        <v>3.4835113794705062</v>
      </c>
      <c r="M883" s="35">
        <f>7.738125*($T$2)</f>
        <v>15.47625</v>
      </c>
      <c r="N883" s="35">
        <f>73.4*(5280/3600)</f>
        <v>107.65333333333334</v>
      </c>
      <c r="O883" s="35">
        <f t="shared" si="63"/>
        <v>0.97127212250533446</v>
      </c>
      <c r="P883" s="35">
        <f t="shared" si="67"/>
        <v>53.905602799046065</v>
      </c>
      <c r="Q883" s="35">
        <f>('Batt Capacity and Sys Weight'!$I$4) + (B883*$T$2)</f>
        <v>54.104503000000001</v>
      </c>
      <c r="R883" s="35">
        <f>'Batt Capacity and Sys Weight'!$H$4</f>
        <v>92.5</v>
      </c>
    </row>
    <row r="884" spans="1:18" x14ac:dyDescent="0.3">
      <c r="A884" s="35" t="s">
        <v>111</v>
      </c>
      <c r="B884" s="35">
        <v>13.47</v>
      </c>
      <c r="C884" s="35">
        <v>460</v>
      </c>
      <c r="D884" s="35" t="s">
        <v>42</v>
      </c>
      <c r="E884" s="36" t="str" cm="1">
        <f t="array" ref="E884">GetNumber(D884,1)</f>
        <v>14</v>
      </c>
      <c r="F884" s="36" t="str" cm="1">
        <f t="array" ref="F884">GetNumber(D884,2)</f>
        <v>12</v>
      </c>
      <c r="G884" s="35">
        <v>18.5</v>
      </c>
      <c r="H884" s="35">
        <v>7416</v>
      </c>
      <c r="I884" s="35">
        <f>59.07*($T$2)</f>
        <v>118.14</v>
      </c>
      <c r="J884" s="35">
        <f>1092.7*($T$2)</f>
        <v>2185.4</v>
      </c>
      <c r="K884" s="35">
        <f t="shared" si="64"/>
        <v>2.5395808547634302</v>
      </c>
      <c r="L884" s="35">
        <f t="shared" si="65"/>
        <v>2.5393600812595225</v>
      </c>
      <c r="M884" s="35">
        <f>6.514375*($T$2)</f>
        <v>13.02875</v>
      </c>
      <c r="N884" s="35">
        <f>84.3*(5280/3600)</f>
        <v>123.63999999999999</v>
      </c>
      <c r="O884" s="35">
        <f t="shared" si="63"/>
        <v>0.59617232543241516</v>
      </c>
      <c r="P884" s="35">
        <f t="shared" si="67"/>
        <v>33.087564061499044</v>
      </c>
      <c r="Q884" s="35">
        <f>('Batt Capacity and Sys Weight'!$I$4) + (B884*$T$2)</f>
        <v>54.104503000000001</v>
      </c>
      <c r="R884" s="35">
        <f>'Batt Capacity and Sys Weight'!$H$4</f>
        <v>92.5</v>
      </c>
    </row>
    <row r="885" spans="1:18" x14ac:dyDescent="0.3">
      <c r="A885" s="35" t="s">
        <v>111</v>
      </c>
      <c r="B885" s="35">
        <v>13.47</v>
      </c>
      <c r="C885" s="35">
        <v>460</v>
      </c>
      <c r="D885" s="35" t="s">
        <v>0</v>
      </c>
      <c r="E885" s="36" t="str" cm="1">
        <f t="array" ref="E885">GetNumber(D885,1)</f>
        <v>15</v>
      </c>
      <c r="F885" s="36" t="str" cm="1">
        <f t="array" ref="F885">GetNumber(D885,2)</f>
        <v>8</v>
      </c>
      <c r="G885" s="35">
        <v>18.5</v>
      </c>
      <c r="H885" s="35">
        <v>7764</v>
      </c>
      <c r="I885" s="35">
        <f>42.19*($T$2)</f>
        <v>84.38</v>
      </c>
      <c r="J885" s="35">
        <f>780.4*($T$2)</f>
        <v>1560.8</v>
      </c>
      <c r="K885" s="35">
        <f t="shared" si="64"/>
        <v>3.5558687852383395</v>
      </c>
      <c r="L885" s="35">
        <f t="shared" si="65"/>
        <v>3.5553448684522402</v>
      </c>
      <c r="M885" s="35">
        <f>8.21875*($T$2)</f>
        <v>16.4375</v>
      </c>
      <c r="N885" s="35">
        <f>58.8*(5280/3600)</f>
        <v>86.24</v>
      </c>
      <c r="O885" s="35">
        <f t="shared" si="63"/>
        <v>1.0531458226550487</v>
      </c>
      <c r="P885" s="35">
        <f t="shared" si="67"/>
        <v>58.449593157355203</v>
      </c>
      <c r="Q885" s="35">
        <f>('Batt Capacity and Sys Weight'!$I$4) + (B885*$T$2)</f>
        <v>54.104503000000001</v>
      </c>
      <c r="R885" s="35">
        <f>'Batt Capacity and Sys Weight'!$H$4</f>
        <v>92.5</v>
      </c>
    </row>
    <row r="886" spans="1:18" x14ac:dyDescent="0.3">
      <c r="A886" s="35" t="s">
        <v>111</v>
      </c>
      <c r="B886" s="35">
        <v>13.47</v>
      </c>
      <c r="C886" s="35">
        <v>460</v>
      </c>
      <c r="D886" s="35" t="s">
        <v>1</v>
      </c>
      <c r="E886" s="36" t="str" cm="1">
        <f t="array" ref="E886">GetNumber(D886,1)</f>
        <v>15</v>
      </c>
      <c r="F886" s="36" t="str" cm="1">
        <f t="array" ref="F886">GetNumber(D886,2)</f>
        <v>10</v>
      </c>
      <c r="G886" s="35">
        <v>18.5</v>
      </c>
      <c r="H886" s="35">
        <v>7395</v>
      </c>
      <c r="I886" s="35">
        <f>60.99*($T$2)</f>
        <v>121.98</v>
      </c>
      <c r="J886" s="35">
        <f>1128.3*($T$2)</f>
        <v>2256.6</v>
      </c>
      <c r="K886" s="35">
        <f t="shared" si="64"/>
        <v>2.4594522733315607</v>
      </c>
      <c r="L886" s="35">
        <f t="shared" si="65"/>
        <v>2.4594195769798324</v>
      </c>
      <c r="M886" s="35">
        <f>9.043125*($T$2)</f>
        <v>18.08625</v>
      </c>
      <c r="N886" s="35">
        <f>70*(5280/3600)</f>
        <v>102.66666666666666</v>
      </c>
      <c r="O886" s="35">
        <f t="shared" si="63"/>
        <v>0.80148231853230523</v>
      </c>
      <c r="P886" s="35">
        <f t="shared" si="67"/>
        <v>44.482268678542937</v>
      </c>
      <c r="Q886" s="35">
        <f>('Batt Capacity and Sys Weight'!$I$4) + (B886*$T$2)</f>
        <v>54.104503000000001</v>
      </c>
      <c r="R886" s="35">
        <f>'Batt Capacity and Sys Weight'!$H$4</f>
        <v>92.5</v>
      </c>
    </row>
    <row r="887" spans="1:18" x14ac:dyDescent="0.3">
      <c r="A887" s="35" t="s">
        <v>111</v>
      </c>
      <c r="B887" s="35">
        <v>13.47</v>
      </c>
      <c r="C887" s="35">
        <v>460</v>
      </c>
      <c r="D887" s="35" t="s">
        <v>113</v>
      </c>
      <c r="E887" s="36" t="str" cm="1">
        <f t="array" ref="E887">GetNumber(D887,1)</f>
        <v>15</v>
      </c>
      <c r="F887" s="36" t="str" cm="1">
        <f t="array" ref="F887">GetNumber(D887,2)</f>
        <v>12</v>
      </c>
      <c r="G887" s="35">
        <v>18.5</v>
      </c>
      <c r="H887" s="35">
        <v>7500</v>
      </c>
      <c r="I887" s="35">
        <f>54.86*($T$2)</f>
        <v>109.72</v>
      </c>
      <c r="J887" s="35">
        <f>1014.9*($T$2)</f>
        <v>2029.8</v>
      </c>
      <c r="K887" s="35">
        <f t="shared" si="64"/>
        <v>2.7342595329589123</v>
      </c>
      <c r="L887" s="35">
        <f t="shared" si="65"/>
        <v>2.7342325920524972</v>
      </c>
      <c r="M887" s="35">
        <f>9.72875*($T$2)</f>
        <v>19.4575</v>
      </c>
      <c r="N887" s="35">
        <f>85.2*(5280/3600)</f>
        <v>124.96</v>
      </c>
      <c r="O887" s="35">
        <f t="shared" si="63"/>
        <v>0.95859197950537001</v>
      </c>
      <c r="P887" s="35">
        <f t="shared" si="67"/>
        <v>53.201854862548032</v>
      </c>
      <c r="Q887" s="35">
        <f>('Batt Capacity and Sys Weight'!$I$4) + (B887*$T$2)</f>
        <v>54.104503000000001</v>
      </c>
      <c r="R887" s="35">
        <f>'Batt Capacity and Sys Weight'!$H$4</f>
        <v>92.5</v>
      </c>
    </row>
    <row r="888" spans="1:18" x14ac:dyDescent="0.3">
      <c r="A888" s="35" t="s">
        <v>111</v>
      </c>
      <c r="B888" s="35">
        <v>13.47</v>
      </c>
      <c r="C888" s="35">
        <v>460</v>
      </c>
      <c r="D888" s="35" t="s">
        <v>2</v>
      </c>
      <c r="E888" s="36" t="str" cm="1">
        <f t="array" ref="E888">GetNumber(D888,1)</f>
        <v>16</v>
      </c>
      <c r="F888" s="36" t="str" cm="1">
        <f t="array" ref="F888">GetNumber(D888,2)</f>
        <v>7</v>
      </c>
      <c r="G888" s="35">
        <v>18.5</v>
      </c>
      <c r="H888" s="35">
        <v>7560</v>
      </c>
      <c r="I888" s="35">
        <f>51.93*($T$2)</f>
        <v>103.86</v>
      </c>
      <c r="J888" s="35">
        <f>960.6*($T$2)</f>
        <v>1921.2</v>
      </c>
      <c r="K888" s="35">
        <f t="shared" si="64"/>
        <v>2.8888194878201126</v>
      </c>
      <c r="L888" s="35">
        <f t="shared" si="65"/>
        <v>2.8885037550548818</v>
      </c>
      <c r="M888" s="35">
        <f>10.200625*($T$2)</f>
        <v>20.401250000000001</v>
      </c>
      <c r="N888" s="35">
        <f>50.1*(5280/3600)</f>
        <v>73.48</v>
      </c>
      <c r="O888" s="35">
        <f t="shared" si="63"/>
        <v>1.061901415781803</v>
      </c>
      <c r="P888" s="35">
        <f t="shared" si="67"/>
        <v>58.935528575890075</v>
      </c>
      <c r="Q888" s="35">
        <f>('Batt Capacity and Sys Weight'!$I$4) + (B888*$T$2)</f>
        <v>54.104503000000001</v>
      </c>
      <c r="R888" s="35">
        <f>'Batt Capacity and Sys Weight'!$H$4</f>
        <v>92.5</v>
      </c>
    </row>
    <row r="889" spans="1:18" x14ac:dyDescent="0.3">
      <c r="A889" s="35" t="s">
        <v>111</v>
      </c>
      <c r="B889" s="35">
        <v>13.47</v>
      </c>
      <c r="C889" s="35">
        <v>460</v>
      </c>
      <c r="D889" s="35" t="s">
        <v>6</v>
      </c>
      <c r="E889" s="36" t="str" cm="1">
        <f t="array" ref="E889">GetNumber(D889,1)</f>
        <v>17</v>
      </c>
      <c r="F889" s="36" t="str" cm="1">
        <f t="array" ref="F889">GetNumber(D889,2)</f>
        <v>7</v>
      </c>
      <c r="G889" s="35">
        <v>18.5</v>
      </c>
      <c r="H889" s="35">
        <v>7469</v>
      </c>
      <c r="I889" s="35">
        <f>56.62*($T$2)</f>
        <v>113.24</v>
      </c>
      <c r="J889" s="35">
        <f>1047.5*($T$2)</f>
        <v>2095</v>
      </c>
      <c r="K889" s="35">
        <f t="shared" si="64"/>
        <v>2.6491646778042961</v>
      </c>
      <c r="L889" s="35">
        <f t="shared" si="65"/>
        <v>2.6492405510420349</v>
      </c>
      <c r="M889" s="35">
        <f>11.276875*($T$2)</f>
        <v>22.553750000000001</v>
      </c>
      <c r="N889" s="35">
        <f>49.5*(5280/3600)</f>
        <v>72.599999999999994</v>
      </c>
      <c r="O889" s="35">
        <f t="shared" si="63"/>
        <v>1.0765513126491648</v>
      </c>
      <c r="P889" s="35">
        <f t="shared" si="67"/>
        <v>59.748597852028645</v>
      </c>
      <c r="Q889" s="35">
        <f>('Batt Capacity and Sys Weight'!$I$4) + (B889*$T$2)</f>
        <v>54.104503000000001</v>
      </c>
      <c r="R889" s="35">
        <f>'Batt Capacity and Sys Weight'!$H$4</f>
        <v>92.5</v>
      </c>
    </row>
    <row r="890" spans="1:18" x14ac:dyDescent="0.3">
      <c r="A890" s="35" t="s">
        <v>111</v>
      </c>
      <c r="B890" s="35">
        <v>13.47</v>
      </c>
      <c r="C890" s="35">
        <v>460</v>
      </c>
      <c r="D890" s="35" t="s">
        <v>46</v>
      </c>
      <c r="E890" s="36" t="str" cm="1">
        <f t="array" ref="E890">GetNumber(D890,1)</f>
        <v>13</v>
      </c>
      <c r="F890" s="36" t="str" cm="1">
        <f t="array" ref="F890">GetNumber(D890,2)</f>
        <v>10</v>
      </c>
      <c r="G890" s="35">
        <v>18.5</v>
      </c>
      <c r="H890" s="35">
        <v>7816</v>
      </c>
      <c r="I890" s="35">
        <f>40.98*($T$2)</f>
        <v>81.96</v>
      </c>
      <c r="J890" s="35">
        <f>758.1*($T$2)</f>
        <v>1516.2</v>
      </c>
      <c r="K890" s="35">
        <f t="shared" si="64"/>
        <v>3.6604669568658488</v>
      </c>
      <c r="L890" s="35">
        <f t="shared" si="65"/>
        <v>3.6603221083455346</v>
      </c>
      <c r="M890" s="35">
        <f>5.44625*($T$2)</f>
        <v>10.8925</v>
      </c>
      <c r="N890" s="35">
        <f>74*(5280/3600)</f>
        <v>108.53333333333333</v>
      </c>
      <c r="O890" s="35">
        <f t="shared" si="63"/>
        <v>0.71840786175966231</v>
      </c>
      <c r="P890" s="35">
        <f t="shared" si="67"/>
        <v>39.871636327661257</v>
      </c>
      <c r="Q890" s="35">
        <f>('Batt Capacity and Sys Weight'!$I$4) + (B890*$T$2)</f>
        <v>54.104503000000001</v>
      </c>
      <c r="R890" s="35">
        <f>'Batt Capacity and Sys Weight'!$H$4</f>
        <v>92.5</v>
      </c>
    </row>
    <row r="891" spans="1:18" x14ac:dyDescent="0.3">
      <c r="A891" s="35" t="s">
        <v>111</v>
      </c>
      <c r="B891" s="35">
        <v>13.47</v>
      </c>
      <c r="C891" s="35">
        <v>460</v>
      </c>
      <c r="D891" s="35" t="s">
        <v>49</v>
      </c>
      <c r="E891" s="36" t="str" cm="1">
        <f t="array" ref="E891">GetNumber(D891,1)</f>
        <v>14</v>
      </c>
      <c r="F891" s="36" t="str" cm="1">
        <f t="array" ref="F891">GetNumber(D891,2)</f>
        <v>10</v>
      </c>
      <c r="G891" s="35">
        <v>18.5</v>
      </c>
      <c r="H891" s="35">
        <v>7511</v>
      </c>
      <c r="I891" s="35">
        <f>49.22*($T$2)</f>
        <v>98.44</v>
      </c>
      <c r="J891" s="35">
        <f>910.5*($T$2)</f>
        <v>1821</v>
      </c>
      <c r="K891" s="35">
        <f t="shared" si="64"/>
        <v>3.0477759472817132</v>
      </c>
      <c r="L891" s="35">
        <f t="shared" si="65"/>
        <v>3.0475416497358796</v>
      </c>
      <c r="M891" s="35">
        <f>7.296875*($T$2)</f>
        <v>14.59375</v>
      </c>
      <c r="N891" s="35">
        <f>71.1*(5280/3600)</f>
        <v>104.27999999999999</v>
      </c>
      <c r="O891" s="35">
        <f t="shared" si="63"/>
        <v>0.80141405820977485</v>
      </c>
      <c r="P891" s="35">
        <f t="shared" si="67"/>
        <v>44.478480230642504</v>
      </c>
      <c r="Q891" s="35">
        <f>('Batt Capacity and Sys Weight'!$I$4) + (B891*$T$2)</f>
        <v>54.104503000000001</v>
      </c>
      <c r="R891" s="35">
        <f>'Batt Capacity and Sys Weight'!$H$4</f>
        <v>92.5</v>
      </c>
    </row>
    <row r="892" spans="1:18" x14ac:dyDescent="0.3">
      <c r="A892" s="35" t="s">
        <v>111</v>
      </c>
      <c r="B892" s="35">
        <v>13.47</v>
      </c>
      <c r="C892" s="35">
        <v>460</v>
      </c>
      <c r="D892" s="35" t="s">
        <v>51</v>
      </c>
      <c r="E892" s="36" t="str" cm="1">
        <f t="array" ref="E892">GetNumber(D892,1)</f>
        <v>15</v>
      </c>
      <c r="F892" s="36" t="str" cm="1">
        <f t="array" ref="F892">GetNumber(D892,2)</f>
        <v>7</v>
      </c>
      <c r="G892" s="35">
        <v>18.5</v>
      </c>
      <c r="H892" s="35">
        <v>7797</v>
      </c>
      <c r="I892" s="35">
        <f>39.99*($T$2)</f>
        <v>79.98</v>
      </c>
      <c r="J892" s="35">
        <f>739.9*($T$2)</f>
        <v>1479.8</v>
      </c>
      <c r="K892" s="35">
        <f t="shared" si="64"/>
        <v>3.7505068252466551</v>
      </c>
      <c r="L892" s="35">
        <f t="shared" si="65"/>
        <v>3.7509377344336077</v>
      </c>
      <c r="M892" s="35">
        <f>8.100625*($T$2)</f>
        <v>16.201250000000002</v>
      </c>
      <c r="N892" s="35">
        <f>51.7*(5280/3600)</f>
        <v>75.826666666666668</v>
      </c>
      <c r="O892" s="35">
        <f t="shared" si="63"/>
        <v>1.0948270036491419</v>
      </c>
      <c r="P892" s="35">
        <f t="shared" si="67"/>
        <v>60.76289870252738</v>
      </c>
      <c r="Q892" s="35">
        <f>('Batt Capacity and Sys Weight'!$I$4) + (B892*$T$2)</f>
        <v>54.104503000000001</v>
      </c>
      <c r="R892" s="35">
        <f>'Batt Capacity and Sys Weight'!$H$4</f>
        <v>92.5</v>
      </c>
    </row>
    <row r="893" spans="1:18" x14ac:dyDescent="0.3">
      <c r="A893" s="35" t="s">
        <v>111</v>
      </c>
      <c r="B893" s="35">
        <v>13.47</v>
      </c>
      <c r="C893" s="35">
        <v>460</v>
      </c>
      <c r="D893" s="35" t="s">
        <v>16</v>
      </c>
      <c r="E893" s="36" t="str" cm="1">
        <f t="array" ref="E893">GetNumber(D893,1)</f>
        <v>15</v>
      </c>
      <c r="F893" s="36" t="str" cm="1">
        <f t="array" ref="F893">GetNumber(D893,2)</f>
        <v>8</v>
      </c>
      <c r="G893" s="35">
        <v>18.5</v>
      </c>
      <c r="H893" s="35">
        <v>7700</v>
      </c>
      <c r="I893" s="35">
        <f>44.16*($T$2)</f>
        <v>88.32</v>
      </c>
      <c r="J893" s="35">
        <f>816.9*($T$2)</f>
        <v>1633.8</v>
      </c>
      <c r="K893" s="35">
        <f t="shared" si="64"/>
        <v>3.3969886154976132</v>
      </c>
      <c r="L893" s="35">
        <f t="shared" si="65"/>
        <v>3.3967391304347827</v>
      </c>
      <c r="M893" s="35">
        <f>7.9225*($T$2)</f>
        <v>15.845000000000001</v>
      </c>
      <c r="N893" s="35">
        <f>58.3*(5280/3600)</f>
        <v>85.506666666666661</v>
      </c>
      <c r="O893" s="35">
        <f t="shared" si="63"/>
        <v>0.96982494797404828</v>
      </c>
      <c r="P893" s="35">
        <f t="shared" si="67"/>
        <v>53.825284612559685</v>
      </c>
      <c r="Q893" s="35">
        <f>('Batt Capacity and Sys Weight'!$I$4) + (B893*$T$2)</f>
        <v>54.104503000000001</v>
      </c>
      <c r="R893" s="35">
        <f>'Batt Capacity and Sys Weight'!$H$4</f>
        <v>92.5</v>
      </c>
    </row>
    <row r="894" spans="1:18" x14ac:dyDescent="0.3">
      <c r="A894" s="35" t="s">
        <v>111</v>
      </c>
      <c r="B894" s="35">
        <v>13.47</v>
      </c>
      <c r="C894" s="35">
        <v>460</v>
      </c>
      <c r="D894" s="35" t="s">
        <v>17</v>
      </c>
      <c r="E894" s="36" t="str" cm="1">
        <f t="array" ref="E894">GetNumber(D894,1)</f>
        <v>15</v>
      </c>
      <c r="F894" s="36" t="str" cm="1">
        <f t="array" ref="F894">GetNumber(D894,2)</f>
        <v>10</v>
      </c>
      <c r="G894" s="35">
        <v>18.5</v>
      </c>
      <c r="H894" s="35">
        <v>7403</v>
      </c>
      <c r="I894" s="35">
        <f>60.83*($T$2)</f>
        <v>121.66</v>
      </c>
      <c r="J894" s="35">
        <f>1125.4*($T$2)</f>
        <v>2250.8000000000002</v>
      </c>
      <c r="K894" s="35">
        <f t="shared" si="64"/>
        <v>2.4657899413541848</v>
      </c>
      <c r="L894" s="35">
        <f t="shared" si="65"/>
        <v>2.4658885418379088</v>
      </c>
      <c r="M894" s="35">
        <f>8.121875*($T$2)</f>
        <v>16.243749999999999</v>
      </c>
      <c r="N894" s="35">
        <f>70.1*(5280/3600)</f>
        <v>102.81333333333332</v>
      </c>
      <c r="O894" s="35">
        <f t="shared" si="63"/>
        <v>0.72168784432201871</v>
      </c>
      <c r="P894" s="35">
        <f t="shared" si="67"/>
        <v>40.053675359872038</v>
      </c>
      <c r="Q894" s="35">
        <f>('Batt Capacity and Sys Weight'!$I$4) + (B894*$T$2)</f>
        <v>54.104503000000001</v>
      </c>
      <c r="R894" s="35">
        <f>'Batt Capacity and Sys Weight'!$H$4</f>
        <v>92.5</v>
      </c>
    </row>
    <row r="895" spans="1:18" x14ac:dyDescent="0.3">
      <c r="A895" s="35" t="s">
        <v>111</v>
      </c>
      <c r="B895" s="35">
        <v>13.47</v>
      </c>
      <c r="C895" s="35">
        <v>460</v>
      </c>
      <c r="D895" s="35" t="s">
        <v>52</v>
      </c>
      <c r="E895" s="36" t="str" cm="1">
        <f t="array" ref="E895">GetNumber(D895,1)</f>
        <v>16</v>
      </c>
      <c r="F895" s="36" t="str" cm="1">
        <f t="array" ref="F895">GetNumber(D895,2)</f>
        <v>6</v>
      </c>
      <c r="G895" s="35">
        <v>18.5</v>
      </c>
      <c r="H895" s="35">
        <v>7754</v>
      </c>
      <c r="I895" s="35">
        <f>45.66*($T$2)</f>
        <v>91.32</v>
      </c>
      <c r="J895" s="35">
        <f>844.8*($T$2)</f>
        <v>1689.6</v>
      </c>
      <c r="K895" s="35">
        <f t="shared" si="64"/>
        <v>3.2848011363636367</v>
      </c>
      <c r="L895" s="35">
        <f t="shared" si="65"/>
        <v>3.2851511169513801</v>
      </c>
      <c r="M895" s="35">
        <f>9.28875*($T$2)</f>
        <v>18.577500000000001</v>
      </c>
      <c r="N895" s="35">
        <f>44.1*(5280/3600)</f>
        <v>64.679999999999993</v>
      </c>
      <c r="O895" s="35">
        <f t="shared" si="63"/>
        <v>1.0995205965909092</v>
      </c>
      <c r="P895" s="35">
        <f t="shared" si="67"/>
        <v>61.02339311079546</v>
      </c>
      <c r="Q895" s="35">
        <f>('Batt Capacity and Sys Weight'!$I$4) + (B895*$T$2)</f>
        <v>54.104503000000001</v>
      </c>
      <c r="R895" s="35">
        <f>'Batt Capacity and Sys Weight'!$H$4</f>
        <v>92.5</v>
      </c>
    </row>
    <row r="896" spans="1:18" x14ac:dyDescent="0.3">
      <c r="A896" s="35" t="s">
        <v>111</v>
      </c>
      <c r="B896" s="35">
        <v>13.47</v>
      </c>
      <c r="C896" s="35">
        <v>460</v>
      </c>
      <c r="D896" s="35" t="s">
        <v>18</v>
      </c>
      <c r="E896" s="36" t="str" cm="1">
        <f t="array" ref="E896">GetNumber(D896,1)</f>
        <v>16</v>
      </c>
      <c r="F896" s="36" t="str" cm="1">
        <f t="array" ref="F896">GetNumber(D896,2)</f>
        <v>7</v>
      </c>
      <c r="G896" s="35">
        <v>18.5</v>
      </c>
      <c r="H896" s="35">
        <v>7601</v>
      </c>
      <c r="I896" s="35">
        <f>50.38*($T$2)</f>
        <v>100.76</v>
      </c>
      <c r="J896" s="35">
        <f>932.1*($T$2)</f>
        <v>1864.2</v>
      </c>
      <c r="K896" s="35">
        <f t="shared" si="64"/>
        <v>2.9771483746379142</v>
      </c>
      <c r="L896" s="35">
        <f t="shared" si="65"/>
        <v>2.9773719730051607</v>
      </c>
      <c r="M896" s="35">
        <f>9.576875*($T$2)</f>
        <v>19.153749999999999</v>
      </c>
      <c r="N896" s="35">
        <f>50.4*(5280/3600)</f>
        <v>73.919999999999987</v>
      </c>
      <c r="O896" s="35">
        <f t="shared" si="63"/>
        <v>1.0274514537066837</v>
      </c>
      <c r="P896" s="35">
        <f t="shared" si="67"/>
        <v>57.023555680720946</v>
      </c>
      <c r="Q896" s="35">
        <f>('Batt Capacity and Sys Weight'!$I$4) + (B896*$T$2)</f>
        <v>54.104503000000001</v>
      </c>
      <c r="R896" s="35">
        <f>'Batt Capacity and Sys Weight'!$H$4</f>
        <v>92.5</v>
      </c>
    </row>
    <row r="897" spans="1:18" x14ac:dyDescent="0.3">
      <c r="A897" s="35" t="s">
        <v>111</v>
      </c>
      <c r="B897" s="35">
        <v>13.47</v>
      </c>
      <c r="C897" s="35">
        <v>460</v>
      </c>
      <c r="D897" s="35" t="s">
        <v>19</v>
      </c>
      <c r="E897" s="36" t="str" cm="1">
        <f t="array" ref="E897">GetNumber(D897,1)</f>
        <v>16</v>
      </c>
      <c r="F897" s="36" t="str" cm="1">
        <f t="array" ref="F897">GetNumber(D897,2)</f>
        <v>8</v>
      </c>
      <c r="G897" s="35">
        <v>18.5</v>
      </c>
      <c r="H897" s="35">
        <v>7417</v>
      </c>
      <c r="I897" s="35">
        <f>61.38*($T$2)</f>
        <v>122.76</v>
      </c>
      <c r="J897" s="35">
        <f>1135.5*($T$2)</f>
        <v>2271</v>
      </c>
      <c r="K897" s="35">
        <f t="shared" si="64"/>
        <v>2.4438573315719947</v>
      </c>
      <c r="L897" s="35">
        <f t="shared" si="65"/>
        <v>2.4437927663734116</v>
      </c>
      <c r="M897" s="35">
        <f>10.06*($T$2)</f>
        <v>20.12</v>
      </c>
      <c r="N897" s="35">
        <f>56.2*(5280/3600)</f>
        <v>82.426666666666662</v>
      </c>
      <c r="O897" s="35">
        <f t="shared" si="63"/>
        <v>0.88595332452664033</v>
      </c>
      <c r="P897" s="35">
        <f t="shared" si="67"/>
        <v>49.170409511228534</v>
      </c>
      <c r="Q897" s="35">
        <f>('Batt Capacity and Sys Weight'!$I$4) + (B897*$T$2)</f>
        <v>54.104503000000001</v>
      </c>
      <c r="R897" s="35">
        <f>'Batt Capacity and Sys Weight'!$H$4</f>
        <v>92.5</v>
      </c>
    </row>
    <row r="898" spans="1:18" x14ac:dyDescent="0.3">
      <c r="A898" s="35" t="s">
        <v>111</v>
      </c>
      <c r="B898" s="35">
        <v>13.47</v>
      </c>
      <c r="C898" s="35">
        <v>460</v>
      </c>
      <c r="D898" s="35" t="s">
        <v>21</v>
      </c>
      <c r="E898" s="36" t="str" cm="1">
        <f t="array" ref="E898">GetNumber(D898,1)</f>
        <v>17</v>
      </c>
      <c r="F898" s="36" t="str" cm="1">
        <f t="array" ref="F898">GetNumber(D898,2)</f>
        <v>6</v>
      </c>
      <c r="G898" s="35">
        <v>18.5</v>
      </c>
      <c r="H898" s="35">
        <v>7416</v>
      </c>
      <c r="I898" s="35">
        <f>58.4*($T$2)</f>
        <v>116.8</v>
      </c>
      <c r="J898" s="35">
        <f>1080.5*($T$2)</f>
        <v>2161</v>
      </c>
      <c r="K898" s="35">
        <f t="shared" si="64"/>
        <v>2.5682554372975472</v>
      </c>
      <c r="L898" s="35">
        <f t="shared" si="65"/>
        <v>2.5684931506849313</v>
      </c>
      <c r="M898" s="35">
        <f>10.633125*($T$2)</f>
        <v>21.266249999999999</v>
      </c>
      <c r="N898" s="35">
        <f>42.1*(5280/3600)</f>
        <v>61.746666666666663</v>
      </c>
      <c r="O898" s="35">
        <f t="shared" ref="O898:O961" si="68" xml:space="preserve"> (M898/J898)*100</f>
        <v>0.98409301249421566</v>
      </c>
      <c r="P898" s="35">
        <f t="shared" si="67"/>
        <v>54.61716219342896</v>
      </c>
      <c r="Q898" s="35">
        <f>('Batt Capacity and Sys Weight'!$I$4) + (B898*$T$2)</f>
        <v>54.104503000000001</v>
      </c>
      <c r="R898" s="35">
        <f>'Batt Capacity and Sys Weight'!$H$4</f>
        <v>92.5</v>
      </c>
    </row>
    <row r="899" spans="1:18" x14ac:dyDescent="0.3">
      <c r="A899" s="35" t="s">
        <v>111</v>
      </c>
      <c r="B899" s="35">
        <v>13.47</v>
      </c>
      <c r="C899" s="35">
        <v>460</v>
      </c>
      <c r="D899" s="35" t="s">
        <v>26</v>
      </c>
      <c r="E899" s="36" t="str" cm="1">
        <f t="array" ref="E899">GetNumber(D899,1)</f>
        <v>14</v>
      </c>
      <c r="F899" s="36" t="str" cm="1">
        <f t="array" ref="F899">GetNumber(D899,2)</f>
        <v>7</v>
      </c>
      <c r="G899" s="35">
        <v>18.5</v>
      </c>
      <c r="H899" s="35">
        <v>7753</v>
      </c>
      <c r="I899" s="35">
        <f>43.68*($T$2)</f>
        <v>87.36</v>
      </c>
      <c r="J899" s="35">
        <f>808*($T$2)</f>
        <v>1616</v>
      </c>
      <c r="K899" s="35">
        <f t="shared" ref="K899:K962" si="69" xml:space="preserve"> (R899/J899)*60</f>
        <v>3.4344059405940595</v>
      </c>
      <c r="L899" s="35">
        <f t="shared" ref="L899:L962" si="70">( (R899/G899)/I899)*60</f>
        <v>3.4340659340659339</v>
      </c>
      <c r="M899" s="35">
        <f>8.381875*($T$2)</f>
        <v>16.763750000000002</v>
      </c>
      <c r="N899" s="35">
        <f>51.4*(5280/3600)</f>
        <v>75.386666666666656</v>
      </c>
      <c r="O899" s="35">
        <f t="shared" si="68"/>
        <v>1.0373607673267327</v>
      </c>
      <c r="P899" s="35">
        <f t="shared" si="67"/>
        <v>57.573522586633672</v>
      </c>
      <c r="Q899" s="35">
        <f>('Batt Capacity and Sys Weight'!$I$4) + (B899*$T$2)</f>
        <v>54.104503000000001</v>
      </c>
      <c r="R899" s="35">
        <f>'Batt Capacity and Sys Weight'!$H$4</f>
        <v>92.5</v>
      </c>
    </row>
    <row r="900" spans="1:18" x14ac:dyDescent="0.3">
      <c r="A900" s="35" t="s">
        <v>111</v>
      </c>
      <c r="B900" s="35">
        <v>13.47</v>
      </c>
      <c r="C900" s="35">
        <v>460</v>
      </c>
      <c r="D900" s="35" t="s">
        <v>27</v>
      </c>
      <c r="E900" s="36" t="str" cm="1">
        <f t="array" ref="E900">GetNumber(D900,1)</f>
        <v>14</v>
      </c>
      <c r="F900" s="36" t="str" cm="1">
        <f t="array" ref="F900">GetNumber(D900,2)</f>
        <v>9</v>
      </c>
      <c r="G900" s="35">
        <v>18.5</v>
      </c>
      <c r="H900" s="35">
        <v>7540</v>
      </c>
      <c r="I900" s="35">
        <f>52.98*($T$2)</f>
        <v>105.96</v>
      </c>
      <c r="J900" s="35">
        <f>980.1*($T$2)</f>
        <v>1960.2</v>
      </c>
      <c r="K900" s="35">
        <f t="shared" si="69"/>
        <v>2.8313437404346495</v>
      </c>
      <c r="L900" s="35">
        <f t="shared" si="70"/>
        <v>2.8312570781426958</v>
      </c>
      <c r="M900" s="35">
        <f>9.453125*($T$2)</f>
        <v>18.90625</v>
      </c>
      <c r="N900" s="35">
        <f>64.3*(5280/3600)</f>
        <v>94.306666666666658</v>
      </c>
      <c r="O900" s="35">
        <f t="shared" si="68"/>
        <v>0.96450617283950613</v>
      </c>
      <c r="P900" s="35">
        <f t="shared" si="67"/>
        <v>53.530092592592595</v>
      </c>
      <c r="Q900" s="35">
        <f>('Batt Capacity and Sys Weight'!$I$4) + (B900*$T$2)</f>
        <v>54.104503000000001</v>
      </c>
      <c r="R900" s="35">
        <f>'Batt Capacity and Sys Weight'!$H$4</f>
        <v>92.5</v>
      </c>
    </row>
    <row r="901" spans="1:18" x14ac:dyDescent="0.3">
      <c r="A901" s="35" t="s">
        <v>111</v>
      </c>
      <c r="B901" s="35">
        <v>13.47</v>
      </c>
      <c r="C901" s="35">
        <v>460</v>
      </c>
      <c r="D901" s="35" t="s">
        <v>28</v>
      </c>
      <c r="E901" s="36" t="str" cm="1">
        <f t="array" ref="E901">GetNumber(D901,1)</f>
        <v>15</v>
      </c>
      <c r="F901" s="36" t="str" cm="1">
        <f t="array" ref="F901">GetNumber(D901,2)</f>
        <v>7</v>
      </c>
      <c r="G901" s="35">
        <v>18.5</v>
      </c>
      <c r="H901" s="35">
        <v>7495</v>
      </c>
      <c r="I901" s="35">
        <f>54.97*($T$2)</f>
        <v>109.94</v>
      </c>
      <c r="J901" s="35">
        <f>1016.9*($T$2)</f>
        <v>2033.8</v>
      </c>
      <c r="K901" s="35">
        <f t="shared" si="69"/>
        <v>2.7288818959583048</v>
      </c>
      <c r="L901" s="35">
        <f t="shared" si="70"/>
        <v>2.7287611424413316</v>
      </c>
      <c r="M901" s="35">
        <f>10.249375*($T$2)</f>
        <v>20.498750000000001</v>
      </c>
      <c r="N901" s="35">
        <f>49.7*(5280/3600)</f>
        <v>72.893333333333331</v>
      </c>
      <c r="O901" s="35">
        <f t="shared" si="68"/>
        <v>1.007903923689645</v>
      </c>
      <c r="P901" s="35">
        <f t="shared" si="67"/>
        <v>55.938667764775303</v>
      </c>
      <c r="Q901" s="35">
        <f>('Batt Capacity and Sys Weight'!$I$4) + (B901*$T$2)</f>
        <v>54.104503000000001</v>
      </c>
      <c r="R901" s="35">
        <f>'Batt Capacity and Sys Weight'!$H$4</f>
        <v>92.5</v>
      </c>
    </row>
    <row r="902" spans="1:18" x14ac:dyDescent="0.3">
      <c r="A902" s="35" t="s">
        <v>111</v>
      </c>
      <c r="B902" s="35">
        <v>13.47</v>
      </c>
      <c r="C902" s="35">
        <v>460</v>
      </c>
      <c r="D902" s="35" t="s">
        <v>35</v>
      </c>
      <c r="E902" s="36" t="str" cm="1">
        <f t="array" ref="E902">GetNumber(D902,1)</f>
        <v>13</v>
      </c>
      <c r="F902" s="36" cm="1">
        <f t="array" ref="F902">GetNumber(D902,2)+(GetNumber(D902,3)/10)</f>
        <v>6.5</v>
      </c>
      <c r="G902" s="35">
        <v>22.2</v>
      </c>
      <c r="H902" s="35">
        <v>9380</v>
      </c>
      <c r="I902" s="35">
        <f>39.53*($T$2)</f>
        <v>79.06</v>
      </c>
      <c r="J902" s="35">
        <f>877.5*($T$2)</f>
        <v>1755</v>
      </c>
      <c r="K902" s="35">
        <f t="shared" si="69"/>
        <v>3.4153846153846152</v>
      </c>
      <c r="L902" s="35">
        <f t="shared" si="70"/>
        <v>3.4151277510751323</v>
      </c>
      <c r="M902" s="35">
        <f>7.97*($T$2)</f>
        <v>15.94</v>
      </c>
      <c r="N902" s="35">
        <f>57.7*(5280/3600)</f>
        <v>84.626666666666665</v>
      </c>
      <c r="O902" s="35">
        <f t="shared" si="68"/>
        <v>0.90826210826210829</v>
      </c>
      <c r="P902" s="35">
        <f t="shared" si="67"/>
        <v>54.441230769230764</v>
      </c>
      <c r="Q902" s="35">
        <f>('Batt Capacity and Sys Weight'!$I$5) + (B902*$T$2)</f>
        <v>58.513753000000001</v>
      </c>
      <c r="R902" s="35">
        <f>'Batt Capacity and Sys Weight'!$H$5</f>
        <v>99.9</v>
      </c>
    </row>
    <row r="903" spans="1:18" x14ac:dyDescent="0.3">
      <c r="A903" s="35" t="s">
        <v>111</v>
      </c>
      <c r="B903" s="35">
        <v>13.47</v>
      </c>
      <c r="C903" s="35">
        <v>460</v>
      </c>
      <c r="D903" s="35" t="s">
        <v>36</v>
      </c>
      <c r="E903" s="36" t="str" cm="1">
        <f t="array" ref="E903">GetNumber(D903,1)</f>
        <v>13</v>
      </c>
      <c r="F903" s="36" t="str" cm="1">
        <f t="array" ref="F903">GetNumber(D903,2)</f>
        <v>8</v>
      </c>
      <c r="G903" s="35">
        <v>22.2</v>
      </c>
      <c r="H903" s="35">
        <v>9285</v>
      </c>
      <c r="I903" s="35">
        <f>44.33*($T$2)</f>
        <v>88.66</v>
      </c>
      <c r="J903" s="35">
        <f>984.1*($T$2)</f>
        <v>1968.2</v>
      </c>
      <c r="K903" s="35">
        <f t="shared" si="69"/>
        <v>3.0454222131897168</v>
      </c>
      <c r="L903" s="35">
        <f t="shared" si="70"/>
        <v>3.0453417550191744</v>
      </c>
      <c r="M903" s="35">
        <f>8.1375*($T$2)</f>
        <v>16.274999999999999</v>
      </c>
      <c r="N903" s="35">
        <f>70.3*(5280/3600)</f>
        <v>103.10666666666665</v>
      </c>
      <c r="O903" s="35">
        <f t="shared" si="68"/>
        <v>0.82689767300071126</v>
      </c>
      <c r="P903" s="35">
        <f t="shared" si="67"/>
        <v>49.564246519662639</v>
      </c>
      <c r="Q903" s="35">
        <f>('Batt Capacity and Sys Weight'!$I$5) + (B903*$T$2)</f>
        <v>58.513753000000001</v>
      </c>
      <c r="R903" s="35">
        <f>'Batt Capacity and Sys Weight'!$H$5</f>
        <v>99.9</v>
      </c>
    </row>
    <row r="904" spans="1:18" x14ac:dyDescent="0.3">
      <c r="A904" s="35" t="s">
        <v>111</v>
      </c>
      <c r="B904" s="35">
        <v>13.47</v>
      </c>
      <c r="C904" s="35">
        <v>460</v>
      </c>
      <c r="D904" s="35" t="s">
        <v>37</v>
      </c>
      <c r="E904" s="36" t="str" cm="1">
        <f t="array" ref="E904">GetNumber(D904,1)</f>
        <v>13</v>
      </c>
      <c r="F904" s="36" t="str" cm="1">
        <f t="array" ref="F904">GetNumber(D904,2)</f>
        <v>10</v>
      </c>
      <c r="G904" s="35">
        <v>22.2</v>
      </c>
      <c r="H904" s="35">
        <v>8953</v>
      </c>
      <c r="I904" s="35">
        <f>60.26*($T$2)</f>
        <v>120.52</v>
      </c>
      <c r="J904" s="35">
        <f>1337.9*($T$2)</f>
        <v>2675.8</v>
      </c>
      <c r="K904" s="35">
        <f t="shared" si="69"/>
        <v>2.2400777337618654</v>
      </c>
      <c r="L904" s="35">
        <f t="shared" si="70"/>
        <v>2.2402920677066045</v>
      </c>
      <c r="M904" s="35">
        <f>7.69875*($T$2)</f>
        <v>15.397500000000001</v>
      </c>
      <c r="N904" s="35">
        <f>84.8*(5280/3600)</f>
        <v>124.37333333333332</v>
      </c>
      <c r="O904" s="35">
        <f t="shared" si="68"/>
        <v>0.57543538381044923</v>
      </c>
      <c r="P904" s="35">
        <f t="shared" si="67"/>
        <v>34.491596905598321</v>
      </c>
      <c r="Q904" s="35">
        <f>('Batt Capacity and Sys Weight'!$I$5) + (B904*$T$2)</f>
        <v>58.513753000000001</v>
      </c>
      <c r="R904" s="35">
        <f>'Batt Capacity and Sys Weight'!$H$5</f>
        <v>99.9</v>
      </c>
    </row>
    <row r="905" spans="1:18" x14ac:dyDescent="0.3">
      <c r="A905" s="35" t="s">
        <v>111</v>
      </c>
      <c r="B905" s="35">
        <v>13.47</v>
      </c>
      <c r="C905" s="35">
        <v>460</v>
      </c>
      <c r="D905" s="35" t="s">
        <v>39</v>
      </c>
      <c r="E905" s="36" t="str" cm="1">
        <f t="array" ref="E905">GetNumber(D905,1)</f>
        <v>14</v>
      </c>
      <c r="F905" s="36" t="str" cm="1">
        <f t="array" ref="F905">GetNumber(D905,2)</f>
        <v>7</v>
      </c>
      <c r="G905" s="35">
        <v>22.2</v>
      </c>
      <c r="H905" s="35">
        <v>9136</v>
      </c>
      <c r="I905" s="35">
        <f>51.78*($T$2)</f>
        <v>103.56</v>
      </c>
      <c r="J905" s="35">
        <f>1149.5*($T$2)</f>
        <v>2299</v>
      </c>
      <c r="K905" s="35">
        <f t="shared" si="69"/>
        <v>2.607220530665507</v>
      </c>
      <c r="L905" s="35">
        <f t="shared" si="70"/>
        <v>2.6071842410196986</v>
      </c>
      <c r="M905" s="35">
        <f>9.473125*($T$2)</f>
        <v>18.946249999999999</v>
      </c>
      <c r="N905" s="35">
        <f>60.6*(5280/3600)</f>
        <v>88.88</v>
      </c>
      <c r="O905" s="35">
        <f t="shared" si="68"/>
        <v>0.82410830795998269</v>
      </c>
      <c r="P905" s="35">
        <f t="shared" si="67"/>
        <v>49.397051979121358</v>
      </c>
      <c r="Q905" s="35">
        <f>('Batt Capacity and Sys Weight'!$I$5) + (B905*$T$2)</f>
        <v>58.513753000000001</v>
      </c>
      <c r="R905" s="35">
        <f>'Batt Capacity and Sys Weight'!$H$5</f>
        <v>99.9</v>
      </c>
    </row>
    <row r="906" spans="1:18" x14ac:dyDescent="0.3">
      <c r="A906" s="35" t="s">
        <v>111</v>
      </c>
      <c r="B906" s="35">
        <v>13.47</v>
      </c>
      <c r="C906" s="35">
        <v>460</v>
      </c>
      <c r="D906" s="35" t="s">
        <v>40</v>
      </c>
      <c r="E906" s="36" t="str" cm="1">
        <f t="array" ref="E906">GetNumber(D906,1)</f>
        <v>14</v>
      </c>
      <c r="F906" s="36" cm="1">
        <f t="array" ref="F906">GetNumber(D906,2)+(GetNumber(D906,3)/10)</f>
        <v>8.5</v>
      </c>
      <c r="G906" s="35">
        <v>22.2</v>
      </c>
      <c r="H906" s="35">
        <v>9081</v>
      </c>
      <c r="I906" s="35">
        <f>54.62*($T$2)</f>
        <v>109.24</v>
      </c>
      <c r="J906" s="35">
        <f>1212.5*($T$2)</f>
        <v>2425</v>
      </c>
      <c r="K906" s="35">
        <f t="shared" si="69"/>
        <v>2.4717525773195876</v>
      </c>
      <c r="L906" s="35">
        <f t="shared" si="70"/>
        <v>2.4716221164408645</v>
      </c>
      <c r="M906" s="35">
        <f>9.651875*($T$2)</f>
        <v>19.303750000000001</v>
      </c>
      <c r="N906" s="35">
        <f>73.1*(5280/3600)</f>
        <v>107.21333333333332</v>
      </c>
      <c r="O906" s="35">
        <f t="shared" si="68"/>
        <v>0.79603092783505147</v>
      </c>
      <c r="P906" s="35">
        <f t="shared" si="67"/>
        <v>47.714093814432992</v>
      </c>
      <c r="Q906" s="35">
        <f>('Batt Capacity and Sys Weight'!$I$5) + (B906*$T$2)</f>
        <v>58.513753000000001</v>
      </c>
      <c r="R906" s="35">
        <f>'Batt Capacity and Sys Weight'!$H$5</f>
        <v>99.9</v>
      </c>
    </row>
    <row r="907" spans="1:18" x14ac:dyDescent="0.3">
      <c r="A907" s="35" t="s">
        <v>111</v>
      </c>
      <c r="B907" s="35">
        <v>13.47</v>
      </c>
      <c r="C907" s="35">
        <v>460</v>
      </c>
      <c r="D907" s="35" t="s">
        <v>41</v>
      </c>
      <c r="E907" s="36" t="str" cm="1">
        <f t="array" ref="E907">GetNumber(D907,1)</f>
        <v>14</v>
      </c>
      <c r="F907" s="36" t="str" cm="1">
        <f t="array" ref="F907">GetNumber(D907,2)</f>
        <v>10</v>
      </c>
      <c r="G907" s="35">
        <v>22.2</v>
      </c>
      <c r="H907" s="35">
        <v>9050</v>
      </c>
      <c r="I907" s="35">
        <f>54.83*($T$2)</f>
        <v>109.66</v>
      </c>
      <c r="J907" s="35">
        <f>1217.2*($T$2)</f>
        <v>2434.4</v>
      </c>
      <c r="K907" s="35">
        <f t="shared" si="69"/>
        <v>2.4622083470259613</v>
      </c>
      <c r="L907" s="35">
        <f t="shared" si="70"/>
        <v>2.4621557541491885</v>
      </c>
      <c r="M907" s="35">
        <f>9.585625*($T$2)</f>
        <v>19.171250000000001</v>
      </c>
      <c r="N907" s="35">
        <f>85.7*(5280/3600)</f>
        <v>125.69333333333333</v>
      </c>
      <c r="O907" s="35">
        <f t="shared" si="68"/>
        <v>0.78751437725928364</v>
      </c>
      <c r="P907" s="35">
        <f t="shared" si="67"/>
        <v>47.203611772921462</v>
      </c>
      <c r="Q907" s="35">
        <f>('Batt Capacity and Sys Weight'!$I$5) + (B907*$T$2)</f>
        <v>58.513753000000001</v>
      </c>
      <c r="R907" s="35">
        <f>'Batt Capacity and Sys Weight'!$H$5</f>
        <v>99.9</v>
      </c>
    </row>
    <row r="908" spans="1:18" x14ac:dyDescent="0.3">
      <c r="A908" s="35" t="s">
        <v>111</v>
      </c>
      <c r="B908" s="35">
        <v>13.47</v>
      </c>
      <c r="C908" s="35">
        <v>460</v>
      </c>
      <c r="D908" s="35" t="s">
        <v>60</v>
      </c>
      <c r="E908" s="36" t="str" cm="1">
        <f t="array" ref="E908">GetNumber(D908,1)</f>
        <v>15</v>
      </c>
      <c r="F908" s="36" t="str" cm="1">
        <f t="array" ref="F908">GetNumber(D908,2)</f>
        <v>4</v>
      </c>
      <c r="G908" s="35">
        <v>22.2</v>
      </c>
      <c r="H908" s="35">
        <v>9392</v>
      </c>
      <c r="I908" s="35">
        <f>39.66*($T$2)</f>
        <v>79.319999999999993</v>
      </c>
      <c r="J908" s="35">
        <f>880.4*($T$2)</f>
        <v>1760.8</v>
      </c>
      <c r="K908" s="35">
        <f t="shared" si="69"/>
        <v>3.404134484325307</v>
      </c>
      <c r="L908" s="35">
        <f t="shared" si="70"/>
        <v>3.4039334341906207</v>
      </c>
      <c r="M908" s="35">
        <f>9.41375*($T$2)</f>
        <v>18.827500000000001</v>
      </c>
      <c r="N908" s="35">
        <f>35.6*(5280/3600)</f>
        <v>52.213333333333331</v>
      </c>
      <c r="O908" s="35">
        <f t="shared" si="68"/>
        <v>1.0692582916855975</v>
      </c>
      <c r="P908" s="35">
        <f t="shared" si="67"/>
        <v>64.091342003634722</v>
      </c>
      <c r="Q908" s="35">
        <f>('Batt Capacity and Sys Weight'!$I$5) + (B908*$T$2)</f>
        <v>58.513753000000001</v>
      </c>
      <c r="R908" s="35">
        <f>'Batt Capacity and Sys Weight'!$H$5</f>
        <v>99.9</v>
      </c>
    </row>
    <row r="909" spans="1:18" x14ac:dyDescent="0.3">
      <c r="A909" s="35" t="s">
        <v>111</v>
      </c>
      <c r="B909" s="35">
        <v>13.47</v>
      </c>
      <c r="C909" s="35">
        <v>460</v>
      </c>
      <c r="D909" s="35" t="s">
        <v>43</v>
      </c>
      <c r="E909" s="36" t="str" cm="1">
        <f t="array" ref="E909">GetNumber(D909,1)</f>
        <v>15</v>
      </c>
      <c r="F909" s="36" t="str" cm="1">
        <f t="array" ref="F909">GetNumber(D909,2)</f>
        <v>6</v>
      </c>
      <c r="G909" s="35">
        <v>22.2</v>
      </c>
      <c r="H909" s="35">
        <v>9070</v>
      </c>
      <c r="I909" s="35">
        <f>54.45*($T$2)</f>
        <v>108.9</v>
      </c>
      <c r="J909" s="35">
        <f>1208.9*($T$2)</f>
        <v>2417.8000000000002</v>
      </c>
      <c r="K909" s="35">
        <f t="shared" si="69"/>
        <v>2.4791132434444534</v>
      </c>
      <c r="L909" s="35">
        <f t="shared" si="70"/>
        <v>2.4793388429752068</v>
      </c>
      <c r="M909" s="35">
        <f>11.173125*($T$2)</f>
        <v>22.346250000000001</v>
      </c>
      <c r="N909" s="35">
        <f>51.5*(5280/3600)</f>
        <v>75.533333333333331</v>
      </c>
      <c r="O909" s="35">
        <f t="shared" si="68"/>
        <v>0.9242389775829265</v>
      </c>
      <c r="P909" s="35">
        <f t="shared" si="67"/>
        <v>55.398884316320618</v>
      </c>
      <c r="Q909" s="35">
        <f>('Batt Capacity and Sys Weight'!$I$5) + (B909*$T$2)</f>
        <v>58.513753000000001</v>
      </c>
      <c r="R909" s="35">
        <f>'Batt Capacity and Sys Weight'!$H$5</f>
        <v>99.9</v>
      </c>
    </row>
    <row r="910" spans="1:18" x14ac:dyDescent="0.3">
      <c r="A910" s="35" t="s">
        <v>111</v>
      </c>
      <c r="B910" s="35">
        <v>13.47</v>
      </c>
      <c r="C910" s="35">
        <v>460</v>
      </c>
      <c r="D910" s="35" t="s">
        <v>44</v>
      </c>
      <c r="E910" s="36" t="str" cm="1">
        <f t="array" ref="E910">GetNumber(D910,1)</f>
        <v>15</v>
      </c>
      <c r="F910" s="36" t="str" cm="1">
        <f t="array" ref="F910">GetNumber(D910,2)</f>
        <v>7</v>
      </c>
      <c r="G910" s="35">
        <v>22.2</v>
      </c>
      <c r="H910" s="35">
        <v>9114</v>
      </c>
      <c r="I910" s="35">
        <f>52.83*($T$2)</f>
        <v>105.66</v>
      </c>
      <c r="J910" s="35">
        <f>1172.9*($T$2)</f>
        <v>2345.8000000000002</v>
      </c>
      <c r="K910" s="35">
        <f t="shared" si="69"/>
        <v>2.5552050473186121</v>
      </c>
      <c r="L910" s="35">
        <f t="shared" si="70"/>
        <v>2.5553662691652468</v>
      </c>
      <c r="M910" s="35">
        <f>11.155625*($T$2)</f>
        <v>22.311250000000001</v>
      </c>
      <c r="N910" s="35">
        <f>60.4*(5280/3600)</f>
        <v>88.586666666666659</v>
      </c>
      <c r="O910" s="35">
        <f t="shared" si="68"/>
        <v>0.95111475829141434</v>
      </c>
      <c r="P910" s="35">
        <f t="shared" si="67"/>
        <v>57.009818611987384</v>
      </c>
      <c r="Q910" s="35">
        <f>('Batt Capacity and Sys Weight'!$I$5) + (B910*$T$2)</f>
        <v>58.513753000000001</v>
      </c>
      <c r="R910" s="35">
        <f>'Batt Capacity and Sys Weight'!$H$5</f>
        <v>99.9</v>
      </c>
    </row>
    <row r="911" spans="1:18" x14ac:dyDescent="0.3">
      <c r="A911" s="35" t="s">
        <v>111</v>
      </c>
      <c r="B911" s="35">
        <v>13.47</v>
      </c>
      <c r="C911" s="35">
        <v>460</v>
      </c>
      <c r="D911" s="35" t="s">
        <v>0</v>
      </c>
      <c r="E911" s="36" t="str" cm="1">
        <f t="array" ref="E911">GetNumber(D911,1)</f>
        <v>15</v>
      </c>
      <c r="F911" s="36" t="str" cm="1">
        <f t="array" ref="F911">GetNumber(D911,2)</f>
        <v>8</v>
      </c>
      <c r="G911" s="35">
        <v>22.2</v>
      </c>
      <c r="H911" s="35">
        <v>8974</v>
      </c>
      <c r="I911" s="35">
        <f>59.22*($T$2)</f>
        <v>118.44</v>
      </c>
      <c r="J911" s="35">
        <f>1314.6*($T$2)</f>
        <v>2629.2</v>
      </c>
      <c r="K911" s="35">
        <f t="shared" si="69"/>
        <v>2.2797809219534462</v>
      </c>
      <c r="L911" s="35">
        <f t="shared" si="70"/>
        <v>2.2796352583586623</v>
      </c>
      <c r="M911" s="35">
        <f>11.086875*($T$2)</f>
        <v>22.173749999999998</v>
      </c>
      <c r="N911" s="35">
        <f>68*(5280/3600)</f>
        <v>99.73333333333332</v>
      </c>
      <c r="O911" s="35">
        <f t="shared" si="68"/>
        <v>0.84336490187129165</v>
      </c>
      <c r="P911" s="35">
        <f t="shared" si="67"/>
        <v>50.551292218165223</v>
      </c>
      <c r="Q911" s="35">
        <f>('Batt Capacity and Sys Weight'!$I$5) + (B911*$T$2)</f>
        <v>58.513753000000001</v>
      </c>
      <c r="R911" s="35">
        <f>'Batt Capacity and Sys Weight'!$H$5</f>
        <v>99.9</v>
      </c>
    </row>
    <row r="912" spans="1:18" x14ac:dyDescent="0.3">
      <c r="A912" s="35" t="s">
        <v>111</v>
      </c>
      <c r="B912" s="35">
        <v>13.47</v>
      </c>
      <c r="C912" s="35">
        <v>460</v>
      </c>
      <c r="D912" s="35" t="s">
        <v>45</v>
      </c>
      <c r="E912" s="36" t="str" cm="1">
        <f t="array" ref="E912">GetNumber(D912,1)</f>
        <v>13</v>
      </c>
      <c r="F912" s="36" t="str" cm="1">
        <f t="array" ref="F912">GetNumber(D912,2)</f>
        <v>8</v>
      </c>
      <c r="G912" s="35">
        <v>22.2</v>
      </c>
      <c r="H912" s="35">
        <v>9319</v>
      </c>
      <c r="I912" s="35">
        <f>43.26*($T$2)</f>
        <v>86.52</v>
      </c>
      <c r="J912" s="35">
        <f>960.3*($T$2)</f>
        <v>1920.6</v>
      </c>
      <c r="K912" s="35">
        <f t="shared" si="69"/>
        <v>3.1208997188378635</v>
      </c>
      <c r="L912" s="35">
        <f t="shared" si="70"/>
        <v>3.1206657420249657</v>
      </c>
      <c r="M912" s="35">
        <f>7.183125*($T$2)</f>
        <v>14.366250000000001</v>
      </c>
      <c r="N912" s="35">
        <f>70.6*(5280/3600)</f>
        <v>103.54666666666665</v>
      </c>
      <c r="O912" s="35">
        <f t="shared" si="68"/>
        <v>0.74800843486410507</v>
      </c>
      <c r="P912" s="35">
        <f t="shared" si="67"/>
        <v>44.835625585754457</v>
      </c>
      <c r="Q912" s="35">
        <f>('Batt Capacity and Sys Weight'!$I$5) + (B912*$T$2)</f>
        <v>58.513753000000001</v>
      </c>
      <c r="R912" s="35">
        <f>'Batt Capacity and Sys Weight'!$H$5</f>
        <v>99.9</v>
      </c>
    </row>
    <row r="913" spans="1:18" x14ac:dyDescent="0.3">
      <c r="A913" s="35" t="s">
        <v>111</v>
      </c>
      <c r="B913" s="35">
        <v>13.47</v>
      </c>
      <c r="C913" s="35">
        <v>460</v>
      </c>
      <c r="D913" s="35" t="s">
        <v>46</v>
      </c>
      <c r="E913" s="36" t="str" cm="1">
        <f t="array" ref="E913">GetNumber(D913,1)</f>
        <v>13</v>
      </c>
      <c r="F913" s="36" t="str" cm="1">
        <f t="array" ref="F913">GetNumber(D913,2)</f>
        <v>10</v>
      </c>
      <c r="G913" s="35">
        <v>22.2</v>
      </c>
      <c r="H913" s="35">
        <v>9022</v>
      </c>
      <c r="I913" s="35">
        <f>58.08*($T$2)</f>
        <v>116.16</v>
      </c>
      <c r="J913" s="35">
        <f>1289.3*($T$2)</f>
        <v>2578.6</v>
      </c>
      <c r="K913" s="35">
        <f t="shared" si="69"/>
        <v>2.324517179865043</v>
      </c>
      <c r="L913" s="35">
        <f t="shared" si="70"/>
        <v>2.3243801652892562</v>
      </c>
      <c r="M913" s="35">
        <f>7.291875*($T$2)</f>
        <v>14.58375</v>
      </c>
      <c r="N913" s="35">
        <f>85.4*(5280/3600)</f>
        <v>125.25333333333333</v>
      </c>
      <c r="O913" s="35">
        <f t="shared" si="68"/>
        <v>0.56556852555650361</v>
      </c>
      <c r="P913" s="35">
        <f t="shared" ref="P913:P976" si="71">M913*K913</f>
        <v>33.900177421856824</v>
      </c>
      <c r="Q913" s="35">
        <f>('Batt Capacity and Sys Weight'!$I$5) + (B913*$T$2)</f>
        <v>58.513753000000001</v>
      </c>
      <c r="R913" s="35">
        <f>'Batt Capacity and Sys Weight'!$H$5</f>
        <v>99.9</v>
      </c>
    </row>
    <row r="914" spans="1:18" x14ac:dyDescent="0.3">
      <c r="A914" s="35" t="s">
        <v>111</v>
      </c>
      <c r="B914" s="35">
        <v>13.47</v>
      </c>
      <c r="C914" s="35">
        <v>460</v>
      </c>
      <c r="D914" s="35" t="s">
        <v>47</v>
      </c>
      <c r="E914" s="36" t="str" cm="1">
        <f t="array" ref="E914">GetNumber(D914,1)</f>
        <v>14</v>
      </c>
      <c r="F914" s="36" t="str" cm="1">
        <f t="array" ref="F914">GetNumber(D914,2)</f>
        <v>6</v>
      </c>
      <c r="G914" s="35">
        <v>22.2</v>
      </c>
      <c r="H914" s="35">
        <v>9325</v>
      </c>
      <c r="I914" s="35">
        <f>40.06*($T$2)</f>
        <v>80.12</v>
      </c>
      <c r="J914" s="35">
        <f>889.3*($T$2)</f>
        <v>1778.6</v>
      </c>
      <c r="K914" s="35">
        <f t="shared" si="69"/>
        <v>3.3700663443157541</v>
      </c>
      <c r="L914" s="35">
        <f t="shared" si="70"/>
        <v>3.3699450823764354</v>
      </c>
      <c r="M914" s="35">
        <f>8.146875*($T$2)</f>
        <v>16.293749999999999</v>
      </c>
      <c r="N914" s="35">
        <f>53*(5280/3600)</f>
        <v>77.733333333333334</v>
      </c>
      <c r="O914" s="35">
        <f t="shared" si="68"/>
        <v>0.91609974136961669</v>
      </c>
      <c r="P914" s="35">
        <f t="shared" si="71"/>
        <v>54.911018497694819</v>
      </c>
      <c r="Q914" s="35">
        <f>('Batt Capacity and Sys Weight'!$I$5) + (B914*$T$2)</f>
        <v>58.513753000000001</v>
      </c>
      <c r="R914" s="35">
        <f>'Batt Capacity and Sys Weight'!$H$5</f>
        <v>99.9</v>
      </c>
    </row>
    <row r="915" spans="1:18" x14ac:dyDescent="0.3">
      <c r="A915" s="35" t="s">
        <v>111</v>
      </c>
      <c r="B915" s="35">
        <v>13.47</v>
      </c>
      <c r="C915" s="35">
        <v>460</v>
      </c>
      <c r="D915" s="35" t="s">
        <v>48</v>
      </c>
      <c r="E915" s="36" t="str" cm="1">
        <f t="array" ref="E915">GetNumber(D915,1)</f>
        <v>14</v>
      </c>
      <c r="F915" s="36" t="str" cm="1">
        <f t="array" ref="F915">GetNumber(D915,2)</f>
        <v>8</v>
      </c>
      <c r="G915" s="35">
        <v>22.2</v>
      </c>
      <c r="H915" s="35">
        <v>9175</v>
      </c>
      <c r="I915" s="35">
        <f>50.93*($T$2)</f>
        <v>101.86</v>
      </c>
      <c r="J915" s="35">
        <f>1130.7*($T$2)</f>
        <v>2261.4</v>
      </c>
      <c r="K915" s="35">
        <f t="shared" si="69"/>
        <v>2.6505704430883523</v>
      </c>
      <c r="L915" s="35">
        <f t="shared" si="70"/>
        <v>2.6506970351462793</v>
      </c>
      <c r="M915" s="35">
        <f>9.33625*($T$2)</f>
        <v>18.672499999999999</v>
      </c>
      <c r="N915" s="35">
        <f>69.5*(5280/3600)</f>
        <v>101.93333333333332</v>
      </c>
      <c r="O915" s="35">
        <f t="shared" si="68"/>
        <v>0.82570531529141222</v>
      </c>
      <c r="P915" s="35">
        <f t="shared" si="71"/>
        <v>49.492776598567261</v>
      </c>
      <c r="Q915" s="35">
        <f>('Batt Capacity and Sys Weight'!$I$5) + (B915*$T$2)</f>
        <v>58.513753000000001</v>
      </c>
      <c r="R915" s="35">
        <f>'Batt Capacity and Sys Weight'!$H$5</f>
        <v>99.9</v>
      </c>
    </row>
    <row r="916" spans="1:18" x14ac:dyDescent="0.3">
      <c r="A916" s="35" t="s">
        <v>111</v>
      </c>
      <c r="B916" s="35">
        <v>13.47</v>
      </c>
      <c r="C916" s="35">
        <v>460</v>
      </c>
      <c r="D916" s="35" t="s">
        <v>50</v>
      </c>
      <c r="E916" s="36" t="str" cm="1">
        <f t="array" ref="E916">GetNumber(D916,1)</f>
        <v>15</v>
      </c>
      <c r="F916" s="36" t="str" cm="1">
        <f t="array" ref="F916">GetNumber(D916,2)</f>
        <v>6</v>
      </c>
      <c r="G916" s="35">
        <v>22.2</v>
      </c>
      <c r="H916" s="35">
        <v>9070</v>
      </c>
      <c r="I916" s="35">
        <f>54.66*($T$2)</f>
        <v>109.32</v>
      </c>
      <c r="J916" s="35">
        <f>1213.5*($T$2)</f>
        <v>2427</v>
      </c>
      <c r="K916" s="35">
        <f t="shared" si="69"/>
        <v>2.4697156983930779</v>
      </c>
      <c r="L916" s="35">
        <f t="shared" si="70"/>
        <v>2.4698133918770582</v>
      </c>
      <c r="M916" s="35">
        <f>10.72875*($T$2)</f>
        <v>21.4575</v>
      </c>
      <c r="N916" s="35">
        <f>51.5*(5280/3600)</f>
        <v>75.533333333333331</v>
      </c>
      <c r="O916" s="35">
        <f t="shared" si="68"/>
        <v>0.88411619283065512</v>
      </c>
      <c r="P916" s="35">
        <f t="shared" si="71"/>
        <v>52.993924598269466</v>
      </c>
      <c r="Q916" s="35">
        <f>('Batt Capacity and Sys Weight'!$I$5) + (B916*$T$2)</f>
        <v>58.513753000000001</v>
      </c>
      <c r="R916" s="35">
        <f>'Batt Capacity and Sys Weight'!$H$5</f>
        <v>99.9</v>
      </c>
    </row>
    <row r="917" spans="1:18" x14ac:dyDescent="0.3">
      <c r="A917" s="35" t="s">
        <v>111</v>
      </c>
      <c r="B917" s="35">
        <v>13.47</v>
      </c>
      <c r="C917" s="35">
        <v>460</v>
      </c>
      <c r="D917" s="35" t="s">
        <v>51</v>
      </c>
      <c r="E917" s="36" t="str" cm="1">
        <f t="array" ref="E917">GetNumber(D917,1)</f>
        <v>15</v>
      </c>
      <c r="F917" s="36" t="str" cm="1">
        <f t="array" ref="F917">GetNumber(D917,2)</f>
        <v>7</v>
      </c>
      <c r="G917" s="35">
        <v>22.2</v>
      </c>
      <c r="H917" s="35">
        <v>9058</v>
      </c>
      <c r="I917" s="35">
        <f>54.91*($T$2)</f>
        <v>109.82</v>
      </c>
      <c r="J917" s="35">
        <f>1218.9*($T$2)</f>
        <v>2437.8000000000002</v>
      </c>
      <c r="K917" s="35">
        <f t="shared" si="69"/>
        <v>2.45877430470096</v>
      </c>
      <c r="L917" s="35">
        <f t="shared" si="70"/>
        <v>2.4585685667455834</v>
      </c>
      <c r="M917" s="35">
        <f>11.2025*($T$2)</f>
        <v>22.405000000000001</v>
      </c>
      <c r="N917" s="35">
        <f>60*(5280/3600)</f>
        <v>88</v>
      </c>
      <c r="O917" s="35">
        <f t="shared" si="68"/>
        <v>0.91906637131840185</v>
      </c>
      <c r="P917" s="35">
        <f t="shared" si="71"/>
        <v>55.08883829682501</v>
      </c>
      <c r="Q917" s="35">
        <f>('Batt Capacity and Sys Weight'!$I$5) + (B917*$T$2)</f>
        <v>58.513753000000001</v>
      </c>
      <c r="R917" s="35">
        <f>'Batt Capacity and Sys Weight'!$H$5</f>
        <v>99.9</v>
      </c>
    </row>
    <row r="918" spans="1:18" x14ac:dyDescent="0.3">
      <c r="A918" s="35" t="s">
        <v>111</v>
      </c>
      <c r="B918" s="35">
        <v>13.47</v>
      </c>
      <c r="C918" s="35">
        <v>460</v>
      </c>
      <c r="D918" s="35" t="s">
        <v>16</v>
      </c>
      <c r="E918" s="36" t="str" cm="1">
        <f t="array" ref="E918">GetNumber(D918,1)</f>
        <v>15</v>
      </c>
      <c r="F918" s="36" t="str" cm="1">
        <f t="array" ref="F918">GetNumber(D918,2)</f>
        <v>8</v>
      </c>
      <c r="G918" s="35">
        <v>22.2</v>
      </c>
      <c r="H918" s="35">
        <v>8899</v>
      </c>
      <c r="I918" s="35">
        <f>61.99*($T$2)</f>
        <v>123.98</v>
      </c>
      <c r="J918" s="35">
        <f>1376.1*($T$2)</f>
        <v>2752.2</v>
      </c>
      <c r="K918" s="35">
        <f t="shared" si="69"/>
        <v>2.1778940483976457</v>
      </c>
      <c r="L918" s="35">
        <f t="shared" si="70"/>
        <v>2.1777706081626067</v>
      </c>
      <c r="M918" s="35">
        <f>10.686875*($T$2)</f>
        <v>21.373750000000001</v>
      </c>
      <c r="N918" s="35">
        <f>67.4*(5280/3600)</f>
        <v>98.853333333333339</v>
      </c>
      <c r="O918" s="35">
        <f t="shared" si="68"/>
        <v>0.77660598793692326</v>
      </c>
      <c r="P918" s="35">
        <f t="shared" si="71"/>
        <v>46.54976291693918</v>
      </c>
      <c r="Q918" s="35">
        <f>('Batt Capacity and Sys Weight'!$I$5) + (B918*$T$2)</f>
        <v>58.513753000000001</v>
      </c>
      <c r="R918" s="35">
        <f>'Batt Capacity and Sys Weight'!$H$5</f>
        <v>99.9</v>
      </c>
    </row>
    <row r="919" spans="1:18" x14ac:dyDescent="0.3">
      <c r="A919" s="35" t="s">
        <v>111</v>
      </c>
      <c r="B919" s="35">
        <v>13.47</v>
      </c>
      <c r="C919" s="35">
        <v>460</v>
      </c>
      <c r="D919" s="35" t="s">
        <v>54</v>
      </c>
      <c r="E919" s="36" t="str" cm="1">
        <f t="array" ref="E919">GetNumber(D919,1)</f>
        <v>12</v>
      </c>
      <c r="F919" s="36" t="str" cm="1">
        <f t="array" ref="F919">GetNumber(D919,2)</f>
        <v>8</v>
      </c>
      <c r="G919" s="35">
        <v>22.2</v>
      </c>
      <c r="H919" s="35">
        <v>9323</v>
      </c>
      <c r="I919" s="35">
        <f>43.43*($T$2)</f>
        <v>86.86</v>
      </c>
      <c r="J919" s="35">
        <f>964.1*($T$2)</f>
        <v>1928.2</v>
      </c>
      <c r="K919" s="35">
        <f t="shared" si="69"/>
        <v>3.1085986930816309</v>
      </c>
      <c r="L919" s="35">
        <f t="shared" si="70"/>
        <v>3.1084503799217131</v>
      </c>
      <c r="M919" s="35">
        <f>8.523125*($T$2)</f>
        <v>17.046250000000001</v>
      </c>
      <c r="N919" s="35">
        <f>70.6*(5280/3600)</f>
        <v>103.54666666666665</v>
      </c>
      <c r="O919" s="35">
        <f t="shared" si="68"/>
        <v>0.88404989109013588</v>
      </c>
      <c r="P919" s="35">
        <f t="shared" si="71"/>
        <v>52.989950471942755</v>
      </c>
      <c r="Q919" s="35">
        <f>('Batt Capacity and Sys Weight'!$I$5) + (B919*$T$2)</f>
        <v>58.513753000000001</v>
      </c>
      <c r="R919" s="35">
        <f>'Batt Capacity and Sys Weight'!$H$5</f>
        <v>99.9</v>
      </c>
    </row>
    <row r="920" spans="1:18" x14ac:dyDescent="0.3">
      <c r="A920" s="35" t="s">
        <v>111</v>
      </c>
      <c r="B920" s="35">
        <v>13.47</v>
      </c>
      <c r="C920" s="35">
        <v>460</v>
      </c>
      <c r="D920" s="35" t="s">
        <v>25</v>
      </c>
      <c r="E920" s="36" t="str" cm="1">
        <f t="array" ref="E920">GetNumber(D920,1)</f>
        <v>13</v>
      </c>
      <c r="F920" s="36" t="str" cm="1">
        <f t="array" ref="F920">GetNumber(D920,2)</f>
        <v>8</v>
      </c>
      <c r="G920" s="35">
        <v>22.2</v>
      </c>
      <c r="H920" s="35">
        <v>9203</v>
      </c>
      <c r="I920" s="35">
        <f>49.33*($T$2)</f>
        <v>98.66</v>
      </c>
      <c r="J920" s="35">
        <f>1095*($T$2)</f>
        <v>2190</v>
      </c>
      <c r="K920" s="35">
        <f t="shared" si="69"/>
        <v>2.7369863013698632</v>
      </c>
      <c r="L920" s="35">
        <f t="shared" si="70"/>
        <v>2.7366713967159946</v>
      </c>
      <c r="M920" s="35">
        <f>9.59*($T$2)</f>
        <v>19.18</v>
      </c>
      <c r="N920" s="35">
        <f>69.7*(5280/3600)</f>
        <v>102.22666666666666</v>
      </c>
      <c r="O920" s="35">
        <f t="shared" si="68"/>
        <v>0.8757990867579909</v>
      </c>
      <c r="P920" s="35">
        <f t="shared" si="71"/>
        <v>52.495397260273975</v>
      </c>
      <c r="Q920" s="35">
        <f>('Batt Capacity and Sys Weight'!$I$5) + (B920*$T$2)</f>
        <v>58.513753000000001</v>
      </c>
      <c r="R920" s="35">
        <f>'Batt Capacity and Sys Weight'!$H$5</f>
        <v>99.9</v>
      </c>
    </row>
    <row r="921" spans="1:18" x14ac:dyDescent="0.3">
      <c r="A921" s="35" t="s">
        <v>111</v>
      </c>
      <c r="B921" s="35">
        <v>13.47</v>
      </c>
      <c r="C921" s="35">
        <v>460</v>
      </c>
      <c r="D921" s="35" t="s">
        <v>26</v>
      </c>
      <c r="E921" s="36" t="str" cm="1">
        <f t="array" ref="E921">GetNumber(D921,1)</f>
        <v>14</v>
      </c>
      <c r="F921" s="36" t="str" cm="1">
        <f t="array" ref="F921">GetNumber(D921,2)</f>
        <v>7</v>
      </c>
      <c r="G921" s="35">
        <v>22.2</v>
      </c>
      <c r="H921" s="35">
        <v>8995</v>
      </c>
      <c r="I921" s="35">
        <f>58.5*($T$2)</f>
        <v>117</v>
      </c>
      <c r="J921" s="35">
        <f>1298.6*($T$2)</f>
        <v>2597.1999999999998</v>
      </c>
      <c r="K921" s="35">
        <f t="shared" si="69"/>
        <v>2.3078700138610815</v>
      </c>
      <c r="L921" s="35">
        <f t="shared" si="70"/>
        <v>2.3076923076923079</v>
      </c>
      <c r="M921" s="35">
        <f>11.488125*($T$2)</f>
        <v>22.97625</v>
      </c>
      <c r="N921" s="35">
        <f>59.6*(5280/3600)</f>
        <v>87.413333333333327</v>
      </c>
      <c r="O921" s="35">
        <f t="shared" si="68"/>
        <v>0.88465462806098882</v>
      </c>
      <c r="P921" s="35">
        <f t="shared" si="71"/>
        <v>53.026198405975677</v>
      </c>
      <c r="Q921" s="35">
        <f>('Batt Capacity and Sys Weight'!$I$5) + (B921*$T$2)</f>
        <v>58.513753000000001</v>
      </c>
      <c r="R921" s="35">
        <f>'Batt Capacity and Sys Weight'!$H$5</f>
        <v>99.9</v>
      </c>
    </row>
    <row r="922" spans="1:18" x14ac:dyDescent="0.3">
      <c r="A922" s="35" t="s">
        <v>111</v>
      </c>
      <c r="B922" s="35">
        <v>13.47</v>
      </c>
      <c r="C922" s="35">
        <v>460</v>
      </c>
      <c r="D922" s="35" t="s">
        <v>71</v>
      </c>
      <c r="E922" s="36" t="str" cm="1">
        <f t="array" ref="E922">GetNumber(D922,1)</f>
        <v>11</v>
      </c>
      <c r="F922" s="36" t="str" cm="1">
        <f t="array" ref="F922">GetNumber(D922,2)</f>
        <v>7</v>
      </c>
      <c r="G922" s="35">
        <v>29.6</v>
      </c>
      <c r="H922" s="35">
        <v>12480</v>
      </c>
      <c r="I922" s="35">
        <f>43*($T$2)</f>
        <v>86</v>
      </c>
      <c r="J922" s="35">
        <f>1272.7*($T$2)</f>
        <v>2545.4</v>
      </c>
      <c r="K922" s="35">
        <f t="shared" si="69"/>
        <v>2.3571933684293236</v>
      </c>
      <c r="L922" s="35">
        <f t="shared" si="70"/>
        <v>2.357008170961659</v>
      </c>
      <c r="M922" s="35">
        <f>8.326875*($T$2)</f>
        <v>16.653749999999999</v>
      </c>
      <c r="N922" s="35">
        <f>82.7*(5280/3600)</f>
        <v>121.29333333333332</v>
      </c>
      <c r="O922" s="35">
        <f t="shared" si="68"/>
        <v>0.654268484324664</v>
      </c>
      <c r="P922" s="35">
        <f t="shared" si="71"/>
        <v>39.256109059479847</v>
      </c>
      <c r="Q922" s="35">
        <v>0</v>
      </c>
      <c r="R922" s="35">
        <f t="shared" ref="R922:R936" si="72">$T$1</f>
        <v>100</v>
      </c>
    </row>
    <row r="923" spans="1:18" x14ac:dyDescent="0.3">
      <c r="A923" s="35" t="s">
        <v>111</v>
      </c>
      <c r="B923" s="35">
        <v>13.47</v>
      </c>
      <c r="C923" s="35">
        <v>460</v>
      </c>
      <c r="D923" s="35" t="s">
        <v>72</v>
      </c>
      <c r="E923" s="36" t="str" cm="1">
        <f t="array" ref="E923">GetNumber(D923,1)</f>
        <v>11</v>
      </c>
      <c r="F923" s="36" t="str" cm="1">
        <f t="array" ref="F923">GetNumber(D923,2)</f>
        <v>8</v>
      </c>
      <c r="G923" s="35">
        <v>29.6</v>
      </c>
      <c r="H923" s="35">
        <v>12367</v>
      </c>
      <c r="I923" s="35">
        <f>47.97*($T$2)</f>
        <v>95.94</v>
      </c>
      <c r="J923" s="35">
        <f>1419.8*($T$2)</f>
        <v>2839.6</v>
      </c>
      <c r="K923" s="35">
        <f t="shared" si="69"/>
        <v>2.1129736582617267</v>
      </c>
      <c r="L923" s="35">
        <f t="shared" si="70"/>
        <v>2.1128069908557712</v>
      </c>
      <c r="M923" s="35">
        <f>7.960625*($T$2)</f>
        <v>15.921250000000001</v>
      </c>
      <c r="N923" s="35">
        <f>93.7*(5280/3600)</f>
        <v>137.42666666666665</v>
      </c>
      <c r="O923" s="35">
        <f t="shared" si="68"/>
        <v>0.56068636427665874</v>
      </c>
      <c r="P923" s="35">
        <f t="shared" si="71"/>
        <v>33.641181856599516</v>
      </c>
      <c r="Q923" s="35">
        <v>0</v>
      </c>
      <c r="R923" s="35">
        <f t="shared" si="72"/>
        <v>100</v>
      </c>
    </row>
    <row r="924" spans="1:18" x14ac:dyDescent="0.3">
      <c r="A924" s="35" t="s">
        <v>111</v>
      </c>
      <c r="B924" s="35">
        <v>13.47</v>
      </c>
      <c r="C924" s="35">
        <v>460</v>
      </c>
      <c r="D924" s="35" t="s">
        <v>56</v>
      </c>
      <c r="E924" s="36" t="str" cm="1">
        <f t="array" ref="E924">GetNumber(D924,1)</f>
        <v>11</v>
      </c>
      <c r="F924" s="36" cm="1">
        <f t="array" ref="F924">GetNumber(D924,2)+(GetNumber(D924,3)/10)</f>
        <v>8.5</v>
      </c>
      <c r="G924" s="35">
        <v>29.6</v>
      </c>
      <c r="H924" s="35">
        <v>12270</v>
      </c>
      <c r="I924" s="35">
        <f>51.95*($T$2)</f>
        <v>103.9</v>
      </c>
      <c r="J924" s="35">
        <f>1537.7*($T$2)</f>
        <v>3075.4</v>
      </c>
      <c r="K924" s="35">
        <f t="shared" si="69"/>
        <v>1.9509657280353774</v>
      </c>
      <c r="L924" s="35">
        <f t="shared" si="70"/>
        <v>1.9509403532502665</v>
      </c>
      <c r="M924" s="35">
        <f>8.324375*($T$2)</f>
        <v>16.64875</v>
      </c>
      <c r="N924" s="35">
        <f>98.8*(5280/3600)</f>
        <v>144.90666666666667</v>
      </c>
      <c r="O924" s="35">
        <f t="shared" si="68"/>
        <v>0.54135234441048319</v>
      </c>
      <c r="P924" s="35">
        <f t="shared" si="71"/>
        <v>32.481140664628988</v>
      </c>
      <c r="Q924" s="35">
        <v>0</v>
      </c>
      <c r="R924" s="35">
        <f t="shared" si="72"/>
        <v>100</v>
      </c>
    </row>
    <row r="925" spans="1:18" x14ac:dyDescent="0.3">
      <c r="A925" s="35" t="s">
        <v>111</v>
      </c>
      <c r="B925" s="35">
        <v>13.47</v>
      </c>
      <c r="C925" s="35">
        <v>460</v>
      </c>
      <c r="D925" s="35" t="s">
        <v>57</v>
      </c>
      <c r="E925" s="36" t="str" cm="1">
        <f t="array" ref="E925">GetNumber(D925,1)</f>
        <v>11</v>
      </c>
      <c r="F925" s="36" t="str" cm="1">
        <f t="array" ref="F925">GetNumber(D925,2)</f>
        <v>10</v>
      </c>
      <c r="G925" s="35">
        <v>29.6</v>
      </c>
      <c r="H925" s="35">
        <v>12105</v>
      </c>
      <c r="I925" s="35">
        <f>60.91*($T$2)</f>
        <v>121.82</v>
      </c>
      <c r="J925" s="35">
        <f>1803*($T$2)</f>
        <v>3606</v>
      </c>
      <c r="K925" s="35">
        <f t="shared" si="69"/>
        <v>1.6638935108153079</v>
      </c>
      <c r="L925" s="35">
        <f t="shared" si="70"/>
        <v>1.6639525751330051</v>
      </c>
      <c r="M925" s="35">
        <f>7.7275*($T$2)</f>
        <v>15.455</v>
      </c>
      <c r="N925" s="35">
        <f>114.6*(5280/3600)</f>
        <v>168.07999999999998</v>
      </c>
      <c r="O925" s="35">
        <f t="shared" si="68"/>
        <v>0.42859123682750971</v>
      </c>
      <c r="P925" s="35">
        <f t="shared" si="71"/>
        <v>25.715474209650584</v>
      </c>
      <c r="Q925" s="35">
        <v>0</v>
      </c>
      <c r="R925" s="35">
        <f t="shared" si="72"/>
        <v>100</v>
      </c>
    </row>
    <row r="926" spans="1:18" x14ac:dyDescent="0.3">
      <c r="A926" s="35" t="s">
        <v>111</v>
      </c>
      <c r="B926" s="35">
        <v>13.47</v>
      </c>
      <c r="C926" s="35">
        <v>460</v>
      </c>
      <c r="D926" s="35" t="s">
        <v>58</v>
      </c>
      <c r="E926" s="36" t="str" cm="1">
        <f t="array" ref="E926">GetNumber(D926,1)</f>
        <v>12</v>
      </c>
      <c r="F926" s="36" t="str" cm="1">
        <f t="array" ref="F926">GetNumber(D926,2)</f>
        <v>6</v>
      </c>
      <c r="G926" s="35">
        <v>29.6</v>
      </c>
      <c r="H926" s="35">
        <v>12170</v>
      </c>
      <c r="I926" s="35">
        <f>47.12*($T$2)</f>
        <v>94.24</v>
      </c>
      <c r="J926" s="35">
        <f>1394.8*($T$2)</f>
        <v>2789.6</v>
      </c>
      <c r="K926" s="35">
        <f t="shared" si="69"/>
        <v>2.1508459994264411</v>
      </c>
      <c r="L926" s="35">
        <f t="shared" si="70"/>
        <v>2.1509200201899694</v>
      </c>
      <c r="M926" s="35">
        <f>9.91*($T$2)</f>
        <v>19.82</v>
      </c>
      <c r="N926" s="35">
        <f>69.1*(5280/3600)</f>
        <v>101.34666666666665</v>
      </c>
      <c r="O926" s="35">
        <f t="shared" si="68"/>
        <v>0.71049612847720101</v>
      </c>
      <c r="P926" s="35">
        <f t="shared" si="71"/>
        <v>42.629767708632059</v>
      </c>
      <c r="Q926" s="35">
        <v>0</v>
      </c>
      <c r="R926" s="35">
        <f t="shared" si="72"/>
        <v>100</v>
      </c>
    </row>
    <row r="927" spans="1:18" x14ac:dyDescent="0.3">
      <c r="A927" s="35" t="s">
        <v>111</v>
      </c>
      <c r="B927" s="35">
        <v>13.47</v>
      </c>
      <c r="C927" s="35">
        <v>460</v>
      </c>
      <c r="D927" s="35" t="s">
        <v>32</v>
      </c>
      <c r="E927" s="36" t="str" cm="1">
        <f t="array" ref="E927">GetNumber(D927,1)</f>
        <v>12</v>
      </c>
      <c r="F927" s="36" t="str" cm="1">
        <f t="array" ref="F927">GetNumber(D927,2)</f>
        <v>8</v>
      </c>
      <c r="G927" s="35">
        <v>29.6</v>
      </c>
      <c r="H927" s="35">
        <v>12064</v>
      </c>
      <c r="I927" s="35">
        <f>61.75*($T$2)</f>
        <v>123.5</v>
      </c>
      <c r="J927" s="35">
        <f>1827.8*($T$2)</f>
        <v>3655.6</v>
      </c>
      <c r="K927" s="35">
        <f t="shared" si="69"/>
        <v>1.6413174307911151</v>
      </c>
      <c r="L927" s="35">
        <f t="shared" si="70"/>
        <v>1.6413174307911149</v>
      </c>
      <c r="M927" s="35">
        <f>9.458125*($T$2)</f>
        <v>18.916250000000002</v>
      </c>
      <c r="N927" s="35">
        <f>91.4*(5280/3600)</f>
        <v>134.05333333333334</v>
      </c>
      <c r="O927" s="35">
        <f t="shared" si="68"/>
        <v>0.51745951417004055</v>
      </c>
      <c r="P927" s="35">
        <f t="shared" si="71"/>
        <v>31.047570850202433</v>
      </c>
      <c r="Q927" s="35">
        <v>0</v>
      </c>
      <c r="R927" s="35">
        <f t="shared" si="72"/>
        <v>100</v>
      </c>
    </row>
    <row r="928" spans="1:18" x14ac:dyDescent="0.3">
      <c r="A928" s="35" t="s">
        <v>111</v>
      </c>
      <c r="B928" s="35">
        <v>13.47</v>
      </c>
      <c r="C928" s="35">
        <v>460</v>
      </c>
      <c r="D928" s="35" t="s">
        <v>59</v>
      </c>
      <c r="E928" s="36" t="str" cm="1">
        <f t="array" ref="E928">GetNumber(D928,1)</f>
        <v>13</v>
      </c>
      <c r="F928" s="36" cm="1">
        <f t="array" ref="F928">GetNumber(D928,2)+(GetNumber(D928,3)/10)</f>
        <v>5.5</v>
      </c>
      <c r="G928" s="35">
        <v>29.6</v>
      </c>
      <c r="H928" s="35">
        <v>12304</v>
      </c>
      <c r="I928" s="35">
        <f>51.08*($T$2)</f>
        <v>102.16</v>
      </c>
      <c r="J928" s="35">
        <f>1512*($T$2)</f>
        <v>3024</v>
      </c>
      <c r="K928" s="35">
        <f t="shared" si="69"/>
        <v>1.984126984126984</v>
      </c>
      <c r="L928" s="35">
        <f t="shared" si="70"/>
        <v>1.9841689771212088</v>
      </c>
      <c r="M928" s="35">
        <f>11.790625*($T$2)</f>
        <v>23.581250000000001</v>
      </c>
      <c r="N928" s="35">
        <f>64.1*(5280/3600)</f>
        <v>94.013333333333321</v>
      </c>
      <c r="O928" s="35">
        <f t="shared" si="68"/>
        <v>0.77980324074074081</v>
      </c>
      <c r="P928" s="35">
        <f t="shared" si="71"/>
        <v>46.788194444444443</v>
      </c>
      <c r="Q928" s="35">
        <v>0</v>
      </c>
      <c r="R928" s="35">
        <f t="shared" si="72"/>
        <v>100</v>
      </c>
    </row>
    <row r="929" spans="1:18" x14ac:dyDescent="0.3">
      <c r="A929" s="35" t="s">
        <v>111</v>
      </c>
      <c r="B929" s="35">
        <v>13.47</v>
      </c>
      <c r="C929" s="35">
        <v>460</v>
      </c>
      <c r="D929" s="35" t="s">
        <v>61</v>
      </c>
      <c r="E929" s="36" t="str" cm="1">
        <f t="array" ref="E929">GetNumber(D929,1)</f>
        <v>11</v>
      </c>
      <c r="F929" s="36" t="str" cm="1">
        <f t="array" ref="F929">GetNumber(D929,2)</f>
        <v>8</v>
      </c>
      <c r="G929" s="35">
        <v>29.6</v>
      </c>
      <c r="H929" s="35">
        <v>12552</v>
      </c>
      <c r="I929" s="35">
        <f>43.43*($T$2)</f>
        <v>86.86</v>
      </c>
      <c r="J929" s="35">
        <f>1285.5*($T$2)</f>
        <v>2571</v>
      </c>
      <c r="K929" s="35">
        <f t="shared" si="69"/>
        <v>2.3337222870478413</v>
      </c>
      <c r="L929" s="35">
        <f t="shared" si="70"/>
        <v>2.3336714563976821</v>
      </c>
      <c r="M929" s="35">
        <f>6.566875*($T$2)</f>
        <v>13.133749999999999</v>
      </c>
      <c r="N929" s="35">
        <f>95.1*(5280/3600)</f>
        <v>139.47999999999999</v>
      </c>
      <c r="O929" s="35">
        <f t="shared" si="68"/>
        <v>0.51084208479190973</v>
      </c>
      <c r="P929" s="35">
        <f t="shared" si="71"/>
        <v>30.650525087514584</v>
      </c>
      <c r="Q929" s="35">
        <v>0</v>
      </c>
      <c r="R929" s="35">
        <f t="shared" si="72"/>
        <v>100</v>
      </c>
    </row>
    <row r="930" spans="1:18" x14ac:dyDescent="0.3">
      <c r="A930" s="35" t="s">
        <v>111</v>
      </c>
      <c r="B930" s="35">
        <v>13.47</v>
      </c>
      <c r="C930" s="35">
        <v>460</v>
      </c>
      <c r="D930" s="35" t="s">
        <v>62</v>
      </c>
      <c r="E930" s="36" t="str" cm="1">
        <f t="array" ref="E930">GetNumber(D930,1)</f>
        <v>12</v>
      </c>
      <c r="F930" s="36" t="str" cm="1">
        <f t="array" ref="F930">GetNumber(D930,2)</f>
        <v>6</v>
      </c>
      <c r="G930" s="35">
        <v>29.6</v>
      </c>
      <c r="H930" s="35">
        <v>12429</v>
      </c>
      <c r="I930" s="35">
        <f>40.3*($T$2)</f>
        <v>80.599999999999994</v>
      </c>
      <c r="J930" s="35">
        <f>1192.8*($T$2)</f>
        <v>2385.6</v>
      </c>
      <c r="K930" s="35">
        <f t="shared" si="69"/>
        <v>2.5150905432595572</v>
      </c>
      <c r="L930" s="35">
        <f t="shared" si="70"/>
        <v>2.5149218697605793</v>
      </c>
      <c r="M930" s="35">
        <f>8.30125*($T$2)</f>
        <v>16.602499999999999</v>
      </c>
      <c r="N930" s="35">
        <f>70.6*(5280/3600)</f>
        <v>103.54666666666665</v>
      </c>
      <c r="O930" s="35">
        <f t="shared" si="68"/>
        <v>0.69594651240777994</v>
      </c>
      <c r="P930" s="35">
        <f t="shared" si="71"/>
        <v>41.756790744466798</v>
      </c>
      <c r="Q930" s="35">
        <v>0</v>
      </c>
      <c r="R930" s="35">
        <f t="shared" si="72"/>
        <v>100</v>
      </c>
    </row>
    <row r="931" spans="1:18" x14ac:dyDescent="0.3">
      <c r="A931" s="35" t="s">
        <v>111</v>
      </c>
      <c r="B931" s="35">
        <v>13.47</v>
      </c>
      <c r="C931" s="35">
        <v>460</v>
      </c>
      <c r="D931" s="35" t="s">
        <v>63</v>
      </c>
      <c r="E931" s="36" t="str" cm="1">
        <f t="array" ref="E931">GetNumber(D931,1)</f>
        <v>12</v>
      </c>
      <c r="F931" s="36" t="str" cm="1">
        <f t="array" ref="F931">GetNumber(D931,2)</f>
        <v>7</v>
      </c>
      <c r="G931" s="35">
        <v>29.6</v>
      </c>
      <c r="H931" s="35">
        <v>12122</v>
      </c>
      <c r="I931" s="35">
        <f>48.93*($T$2)</f>
        <v>97.86</v>
      </c>
      <c r="J931" s="35">
        <f>1448.3*($T$2)</f>
        <v>2896.6</v>
      </c>
      <c r="K931" s="35">
        <f t="shared" si="69"/>
        <v>2.0713940481944353</v>
      </c>
      <c r="L931" s="35">
        <f t="shared" si="70"/>
        <v>2.0713540026844743</v>
      </c>
      <c r="M931" s="35">
        <f>8.9475*($T$2)</f>
        <v>17.895</v>
      </c>
      <c r="N931" s="35">
        <f>80.4*(5280/3600)</f>
        <v>117.92</v>
      </c>
      <c r="O931" s="35">
        <f t="shared" si="68"/>
        <v>0.61779327487399027</v>
      </c>
      <c r="P931" s="35">
        <f t="shared" si="71"/>
        <v>37.067596492439421</v>
      </c>
      <c r="Q931" s="35">
        <v>0</v>
      </c>
      <c r="R931" s="35">
        <f t="shared" si="72"/>
        <v>100</v>
      </c>
    </row>
    <row r="932" spans="1:18" x14ac:dyDescent="0.3">
      <c r="A932" s="35" t="s">
        <v>111</v>
      </c>
      <c r="B932" s="35">
        <v>13.47</v>
      </c>
      <c r="C932" s="35">
        <v>460</v>
      </c>
      <c r="D932" s="35" t="s">
        <v>64</v>
      </c>
      <c r="E932" s="36" t="str" cm="1">
        <f t="array" ref="E932">GetNumber(D932,1)</f>
        <v>12</v>
      </c>
      <c r="F932" s="36" t="str" cm="1">
        <f t="array" ref="F932">GetNumber(D932,2)</f>
        <v>8</v>
      </c>
      <c r="G932" s="35">
        <v>29.6</v>
      </c>
      <c r="H932" s="35">
        <v>12052</v>
      </c>
      <c r="I932" s="35">
        <f>62.29*($T$2)</f>
        <v>124.58</v>
      </c>
      <c r="J932" s="35">
        <f>1843.8*($T$2)</f>
        <v>3687.6</v>
      </c>
      <c r="K932" s="35">
        <f t="shared" si="69"/>
        <v>1.6270745200130166</v>
      </c>
      <c r="L932" s="35">
        <f t="shared" si="70"/>
        <v>1.627088639450174</v>
      </c>
      <c r="M932" s="35">
        <f>8.42*($T$2)</f>
        <v>16.84</v>
      </c>
      <c r="N932" s="35">
        <f>91.3*(5280/3600)</f>
        <v>133.90666666666667</v>
      </c>
      <c r="O932" s="35">
        <f t="shared" si="68"/>
        <v>0.45666558195031998</v>
      </c>
      <c r="P932" s="35">
        <f t="shared" si="71"/>
        <v>27.399934917019198</v>
      </c>
      <c r="Q932" s="35">
        <v>0</v>
      </c>
      <c r="R932" s="35">
        <f t="shared" si="72"/>
        <v>100</v>
      </c>
    </row>
    <row r="933" spans="1:18" x14ac:dyDescent="0.3">
      <c r="A933" s="35" t="s">
        <v>111</v>
      </c>
      <c r="B933" s="35">
        <v>13.47</v>
      </c>
      <c r="C933" s="35">
        <v>460</v>
      </c>
      <c r="D933" s="35" t="s">
        <v>65</v>
      </c>
      <c r="E933" s="36" t="str" cm="1">
        <f t="array" ref="E933">GetNumber(D933,1)</f>
        <v>13</v>
      </c>
      <c r="F933" s="36" t="str" cm="1">
        <f t="array" ref="F933">GetNumber(D933,2)</f>
        <v>6</v>
      </c>
      <c r="G933" s="35">
        <v>29.6</v>
      </c>
      <c r="H933" s="35">
        <v>12321</v>
      </c>
      <c r="I933" s="35">
        <f>51.15*($T$2)</f>
        <v>102.3</v>
      </c>
      <c r="J933" s="35">
        <f>1513.9*($T$2)</f>
        <v>3027.8</v>
      </c>
      <c r="K933" s="35">
        <f t="shared" si="69"/>
        <v>1.9816368320232511</v>
      </c>
      <c r="L933" s="35">
        <f t="shared" si="70"/>
        <v>1.9814535943568201</v>
      </c>
      <c r="M933" s="35">
        <f>11.218125*($T$2)</f>
        <v>22.436250000000001</v>
      </c>
      <c r="N933" s="35">
        <f>70*(5280/3600)</f>
        <v>102.66666666666666</v>
      </c>
      <c r="O933" s="35">
        <f t="shared" si="68"/>
        <v>0.74100832287469443</v>
      </c>
      <c r="P933" s="35">
        <f t="shared" si="71"/>
        <v>44.460499372481671</v>
      </c>
      <c r="Q933" s="35">
        <v>0</v>
      </c>
      <c r="R933" s="35">
        <f t="shared" si="72"/>
        <v>100</v>
      </c>
    </row>
    <row r="934" spans="1:18" x14ac:dyDescent="0.3">
      <c r="A934" s="35" t="s">
        <v>111</v>
      </c>
      <c r="B934" s="35">
        <v>13.47</v>
      </c>
      <c r="C934" s="35">
        <v>460</v>
      </c>
      <c r="D934" s="35" t="s">
        <v>81</v>
      </c>
      <c r="E934" s="36" t="str" cm="1">
        <f t="array" ref="E934">GetNumber(D934,1)</f>
        <v>11</v>
      </c>
      <c r="F934" s="36" t="str" cm="1">
        <f t="array" ref="F934">GetNumber(D934,2)</f>
        <v>7</v>
      </c>
      <c r="G934" s="35">
        <v>29.6</v>
      </c>
      <c r="H934" s="35">
        <v>12540</v>
      </c>
      <c r="I934" s="35">
        <f>41.78*($T$2)</f>
        <v>83.56</v>
      </c>
      <c r="J934" s="35">
        <f>1236.8*($T$2)</f>
        <v>2473.6</v>
      </c>
      <c r="K934" s="35">
        <f t="shared" si="69"/>
        <v>2.4256144890038813</v>
      </c>
      <c r="L934" s="35">
        <f t="shared" si="70"/>
        <v>2.425834163507691</v>
      </c>
      <c r="M934" s="35">
        <f>9.1625*($T$2)</f>
        <v>18.324999999999999</v>
      </c>
      <c r="N934" s="35">
        <f>83.1*(5280/3600)</f>
        <v>121.87999999999998</v>
      </c>
      <c r="O934" s="35">
        <f t="shared" si="68"/>
        <v>0.74082309184993533</v>
      </c>
      <c r="P934" s="35">
        <f t="shared" si="71"/>
        <v>44.449385510996123</v>
      </c>
      <c r="Q934" s="35">
        <v>0</v>
      </c>
      <c r="R934" s="35">
        <f t="shared" si="72"/>
        <v>100</v>
      </c>
    </row>
    <row r="935" spans="1:18" x14ac:dyDescent="0.3">
      <c r="A935" s="35" t="s">
        <v>111</v>
      </c>
      <c r="B935" s="35">
        <v>13.47</v>
      </c>
      <c r="C935" s="35">
        <v>460</v>
      </c>
      <c r="D935" s="35" t="s">
        <v>66</v>
      </c>
      <c r="E935" s="36" t="str" cm="1">
        <f t="array" ref="E935">GetNumber(D935,1)</f>
        <v>11</v>
      </c>
      <c r="F935" s="36" t="str" cm="1">
        <f t="array" ref="F935">GetNumber(D935,2)</f>
        <v>8</v>
      </c>
      <c r="G935" s="35">
        <v>29.6</v>
      </c>
      <c r="H935" s="35">
        <v>12230</v>
      </c>
      <c r="I935" s="35">
        <f>44.62*($T$2)</f>
        <v>89.24</v>
      </c>
      <c r="J935" s="35">
        <f>1320.8*($T$2)</f>
        <v>2641.6</v>
      </c>
      <c r="K935" s="35">
        <f t="shared" si="69"/>
        <v>2.2713506965475472</v>
      </c>
      <c r="L935" s="35">
        <f t="shared" si="70"/>
        <v>2.271433244091245</v>
      </c>
      <c r="M935" s="35">
        <f>9.089375*($T$2)</f>
        <v>18.178750000000001</v>
      </c>
      <c r="N935" s="35">
        <f>92.7*(5280/3600)</f>
        <v>135.96</v>
      </c>
      <c r="O935" s="35">
        <f t="shared" si="68"/>
        <v>0.68817194124772874</v>
      </c>
      <c r="P935" s="35">
        <f t="shared" si="71"/>
        <v>41.290316474863722</v>
      </c>
      <c r="Q935" s="35">
        <v>0</v>
      </c>
      <c r="R935" s="35">
        <f t="shared" si="72"/>
        <v>100</v>
      </c>
    </row>
    <row r="936" spans="1:18" x14ac:dyDescent="0.3">
      <c r="A936" s="35" t="s">
        <v>111</v>
      </c>
      <c r="B936" s="35">
        <v>13.47</v>
      </c>
      <c r="C936" s="35">
        <v>460</v>
      </c>
      <c r="D936" s="35" t="s">
        <v>53</v>
      </c>
      <c r="E936" s="36" t="str" cm="1">
        <f t="array" ref="E936">GetNumber(D936,1)</f>
        <v>12</v>
      </c>
      <c r="F936" s="36" t="str" cm="1">
        <f t="array" ref="F936">GetNumber(D936,2)</f>
        <v>6</v>
      </c>
      <c r="G936" s="35">
        <v>29.6</v>
      </c>
      <c r="H936" s="35">
        <v>12370</v>
      </c>
      <c r="I936" s="35">
        <f>48.45*($T$2)</f>
        <v>96.9</v>
      </c>
      <c r="J936" s="35">
        <f>1434.2*($T$2)</f>
        <v>2868.4</v>
      </c>
      <c r="K936" s="35">
        <f t="shared" si="69"/>
        <v>2.0917584716218101</v>
      </c>
      <c r="L936" s="35">
        <f t="shared" si="70"/>
        <v>2.0918751568906364</v>
      </c>
      <c r="M936" s="35">
        <f>10.809375*($T$2)</f>
        <v>21.618749999999999</v>
      </c>
      <c r="N936" s="35">
        <f>70.3*(5280/3600)</f>
        <v>103.10666666666665</v>
      </c>
      <c r="O936" s="35">
        <f t="shared" si="68"/>
        <v>0.75368672430623329</v>
      </c>
      <c r="P936" s="35">
        <f t="shared" si="71"/>
        <v>45.221203458374006</v>
      </c>
      <c r="Q936" s="35">
        <v>0</v>
      </c>
      <c r="R936" s="35">
        <f t="shared" si="72"/>
        <v>100</v>
      </c>
    </row>
    <row r="937" spans="1:18" x14ac:dyDescent="0.3">
      <c r="A937" s="35" t="s">
        <v>116</v>
      </c>
      <c r="B937" s="35">
        <v>13.47</v>
      </c>
      <c r="C937" s="35">
        <v>540</v>
      </c>
      <c r="D937" s="35" t="s">
        <v>42</v>
      </c>
      <c r="E937" s="36" t="str" cm="1">
        <f t="array" ref="E937">GetNumber(D937,1)</f>
        <v>14</v>
      </c>
      <c r="F937" s="36" t="str" cm="1">
        <f t="array" ref="F937">GetNumber(D937,2)</f>
        <v>12</v>
      </c>
      <c r="G937" s="35">
        <v>14.8</v>
      </c>
      <c r="H937" s="35">
        <v>6922</v>
      </c>
      <c r="I937" s="35">
        <f>57.85*($T$2)</f>
        <v>115.7</v>
      </c>
      <c r="J937" s="35">
        <f>856.1*($T$2)</f>
        <v>1712.2</v>
      </c>
      <c r="K937" s="35">
        <f t="shared" si="69"/>
        <v>3.4229646069384421</v>
      </c>
      <c r="L937" s="35">
        <f t="shared" si="70"/>
        <v>3.4226447709593777</v>
      </c>
      <c r="M937" s="35">
        <f>5.53125*($T$2)</f>
        <v>11.0625</v>
      </c>
      <c r="N937" s="35">
        <f>78.7*(5280/3600)</f>
        <v>115.42666666666666</v>
      </c>
      <c r="O937" s="35">
        <f t="shared" si="68"/>
        <v>0.64609858661371333</v>
      </c>
      <c r="P937" s="35">
        <f t="shared" si="71"/>
        <v>37.866545964256517</v>
      </c>
      <c r="Q937" s="35">
        <f>('Batt Capacity and Sys Weight'!$I$3) + (B937*$T$2)</f>
        <v>53.328474999999997</v>
      </c>
      <c r="R937" s="35">
        <f>'Batt Capacity and Sys Weight'!$H$3</f>
        <v>97.68</v>
      </c>
    </row>
    <row r="938" spans="1:18" x14ac:dyDescent="0.3">
      <c r="A938" s="35" t="s">
        <v>116</v>
      </c>
      <c r="B938" s="35">
        <v>13.47</v>
      </c>
      <c r="C938" s="35">
        <v>540</v>
      </c>
      <c r="D938" s="35" t="s">
        <v>1</v>
      </c>
      <c r="E938" s="36" t="str" cm="1">
        <f t="array" ref="E938">GetNumber(D938,1)</f>
        <v>15</v>
      </c>
      <c r="F938" s="36" t="str" cm="1">
        <f t="array" ref="F938">GetNumber(D938,2)</f>
        <v>10</v>
      </c>
      <c r="G938" s="35">
        <v>14.8</v>
      </c>
      <c r="H938" s="35">
        <v>6894</v>
      </c>
      <c r="I938" s="35">
        <f>58.4*($T$2)</f>
        <v>116.8</v>
      </c>
      <c r="J938" s="35">
        <f>864.3*($T$2)</f>
        <v>1728.6</v>
      </c>
      <c r="K938" s="35">
        <f t="shared" si="69"/>
        <v>3.390489413398126</v>
      </c>
      <c r="L938" s="35">
        <f t="shared" si="70"/>
        <v>3.39041095890411</v>
      </c>
      <c r="M938" s="35">
        <f>7.718125*($T$2)</f>
        <v>15.436249999999999</v>
      </c>
      <c r="N938" s="35">
        <f>65.3*(5280/3600)</f>
        <v>95.773333333333326</v>
      </c>
      <c r="O938" s="35">
        <f t="shared" si="68"/>
        <v>0.89299143815804694</v>
      </c>
      <c r="P938" s="35">
        <f t="shared" si="71"/>
        <v>52.336442207566819</v>
      </c>
      <c r="Q938" s="35">
        <f>('Batt Capacity and Sys Weight'!$I$3) + (B938*$T$2)</f>
        <v>53.328474999999997</v>
      </c>
      <c r="R938" s="35">
        <f>'Batt Capacity and Sys Weight'!$H$3</f>
        <v>97.68</v>
      </c>
    </row>
    <row r="939" spans="1:18" x14ac:dyDescent="0.3">
      <c r="A939" s="35" t="s">
        <v>116</v>
      </c>
      <c r="B939" s="35">
        <v>13.47</v>
      </c>
      <c r="C939" s="35">
        <v>540</v>
      </c>
      <c r="D939" s="35" t="s">
        <v>113</v>
      </c>
      <c r="E939" s="36" t="str" cm="1">
        <f t="array" ref="E939">GetNumber(D939,1)</f>
        <v>15</v>
      </c>
      <c r="F939" s="36" t="str" cm="1">
        <f t="array" ref="F939">GetNumber(D939,2)</f>
        <v>12</v>
      </c>
      <c r="G939" s="35">
        <v>14.8</v>
      </c>
      <c r="H939" s="35">
        <v>6989</v>
      </c>
      <c r="I939" s="35">
        <f>53.58*($T$2)</f>
        <v>107.16</v>
      </c>
      <c r="J939" s="35">
        <f>793*($T$2)</f>
        <v>1586</v>
      </c>
      <c r="K939" s="35">
        <f t="shared" si="69"/>
        <v>3.6953341740226988</v>
      </c>
      <c r="L939" s="35">
        <f t="shared" si="70"/>
        <v>3.6954087346024642</v>
      </c>
      <c r="M939" s="35">
        <f>8.12875*($T$2)</f>
        <v>16.2575</v>
      </c>
      <c r="N939" s="35">
        <f>79.4*(5280/3600)</f>
        <v>116.45333333333333</v>
      </c>
      <c r="O939" s="35">
        <f t="shared" si="68"/>
        <v>1.025063051702396</v>
      </c>
      <c r="P939" s="35">
        <f t="shared" si="71"/>
        <v>60.076895334174026</v>
      </c>
      <c r="Q939" s="35">
        <f>('Batt Capacity and Sys Weight'!$I$3) + (B939*$T$2)</f>
        <v>53.328474999999997</v>
      </c>
      <c r="R939" s="35">
        <f>'Batt Capacity and Sys Weight'!$H$3</f>
        <v>97.68</v>
      </c>
    </row>
    <row r="940" spans="1:18" x14ac:dyDescent="0.3">
      <c r="A940" s="35" t="s">
        <v>116</v>
      </c>
      <c r="B940" s="35">
        <v>13.47</v>
      </c>
      <c r="C940" s="35">
        <v>540</v>
      </c>
      <c r="D940" s="35" t="s">
        <v>2</v>
      </c>
      <c r="E940" s="36" t="str" cm="1">
        <f t="array" ref="E940">GetNumber(D940,1)</f>
        <v>16</v>
      </c>
      <c r="F940" s="36" t="str" cm="1">
        <f t="array" ref="F940">GetNumber(D940,2)</f>
        <v>7</v>
      </c>
      <c r="G940" s="35">
        <v>14.8</v>
      </c>
      <c r="H940" s="35">
        <v>7038</v>
      </c>
      <c r="I940" s="35">
        <f>50.85*($T$2)</f>
        <v>101.7</v>
      </c>
      <c r="J940" s="35">
        <f>752.6*($T$2)</f>
        <v>1505.2</v>
      </c>
      <c r="K940" s="35">
        <f t="shared" si="69"/>
        <v>3.89370183364337</v>
      </c>
      <c r="L940" s="35">
        <f t="shared" si="70"/>
        <v>3.8938053097345131</v>
      </c>
      <c r="M940" s="35">
        <f>8.64625*($T$2)</f>
        <v>17.2925</v>
      </c>
      <c r="N940" s="35">
        <f>46.7*(5280/3600)</f>
        <v>68.493333333333339</v>
      </c>
      <c r="O940" s="35">
        <f t="shared" si="68"/>
        <v>1.148850651076269</v>
      </c>
      <c r="P940" s="35">
        <f t="shared" si="71"/>
        <v>67.33183895827797</v>
      </c>
      <c r="Q940" s="35">
        <f>('Batt Capacity and Sys Weight'!$I$3) + (B940*$T$2)</f>
        <v>53.328474999999997</v>
      </c>
      <c r="R940" s="35">
        <f>'Batt Capacity and Sys Weight'!$H$3</f>
        <v>97.68</v>
      </c>
    </row>
    <row r="941" spans="1:18" x14ac:dyDescent="0.3">
      <c r="A941" s="35" t="s">
        <v>116</v>
      </c>
      <c r="B941" s="35">
        <v>13.47</v>
      </c>
      <c r="C941" s="35">
        <v>540</v>
      </c>
      <c r="D941" s="35" t="s">
        <v>3</v>
      </c>
      <c r="E941" s="36" t="str" cm="1">
        <f t="array" ref="E941">GetNumber(D941,1)</f>
        <v>16</v>
      </c>
      <c r="F941" s="36" t="str" cm="1">
        <f t="array" ref="F941">GetNumber(D941,2)</f>
        <v>8</v>
      </c>
      <c r="G941" s="35">
        <v>14.8</v>
      </c>
      <c r="H941" s="35">
        <v>6822</v>
      </c>
      <c r="I941" s="35">
        <f>62.96*($T$2)</f>
        <v>125.92</v>
      </c>
      <c r="J941" s="35">
        <f>931.7*($T$2)</f>
        <v>1863.4</v>
      </c>
      <c r="K941" s="35">
        <f t="shared" si="69"/>
        <v>3.1452184179456908</v>
      </c>
      <c r="L941" s="35">
        <f t="shared" si="70"/>
        <v>3.1448538754764934</v>
      </c>
      <c r="M941" s="35">
        <f>9.20875*($T$2)</f>
        <v>18.4175</v>
      </c>
      <c r="N941" s="35">
        <f>51.7*(5280/3600)</f>
        <v>75.826666666666668</v>
      </c>
      <c r="O941" s="35">
        <f t="shared" si="68"/>
        <v>0.98838145325748616</v>
      </c>
      <c r="P941" s="35">
        <f t="shared" si="71"/>
        <v>57.92706021251476</v>
      </c>
      <c r="Q941" s="35">
        <f>('Batt Capacity and Sys Weight'!$I$3) + (B941*$T$2)</f>
        <v>53.328474999999997</v>
      </c>
      <c r="R941" s="35">
        <f>'Batt Capacity and Sys Weight'!$H$3</f>
        <v>97.68</v>
      </c>
    </row>
    <row r="942" spans="1:18" x14ac:dyDescent="0.3">
      <c r="A942" s="35" t="s">
        <v>116</v>
      </c>
      <c r="B942" s="35">
        <v>13.47</v>
      </c>
      <c r="C942" s="35">
        <v>540</v>
      </c>
      <c r="D942" s="35" t="s">
        <v>4</v>
      </c>
      <c r="E942" s="36" t="str" cm="1">
        <f t="array" ref="E942">GetNumber(D942,1)</f>
        <v>16</v>
      </c>
      <c r="F942" s="36" t="str" cm="1">
        <f t="array" ref="F942">GetNumber(D942,2)</f>
        <v>10</v>
      </c>
      <c r="G942" s="35">
        <v>14.8</v>
      </c>
      <c r="H942" s="35">
        <v>6675</v>
      </c>
      <c r="I942" s="35">
        <f>70.02*($T$2)</f>
        <v>140.04</v>
      </c>
      <c r="J942" s="35">
        <f>1036.3*($T$2)</f>
        <v>2072.6</v>
      </c>
      <c r="K942" s="35">
        <f t="shared" si="69"/>
        <v>2.827752581298852</v>
      </c>
      <c r="L942" s="35">
        <f t="shared" si="70"/>
        <v>2.8277634961439588</v>
      </c>
      <c r="M942" s="35">
        <f>9.3475*($T$2)</f>
        <v>18.695</v>
      </c>
      <c r="N942" s="35">
        <f>63.2*(5280/3600)</f>
        <v>92.693333333333328</v>
      </c>
      <c r="O942" s="35">
        <f t="shared" si="68"/>
        <v>0.90200714078934685</v>
      </c>
      <c r="P942" s="35">
        <f t="shared" si="71"/>
        <v>52.864834507382035</v>
      </c>
      <c r="Q942" s="35">
        <f>('Batt Capacity and Sys Weight'!$I$3) + (B942*$T$2)</f>
        <v>53.328474999999997</v>
      </c>
      <c r="R942" s="35">
        <f>'Batt Capacity and Sys Weight'!$H$3</f>
        <v>97.68</v>
      </c>
    </row>
    <row r="943" spans="1:18" x14ac:dyDescent="0.3">
      <c r="A943" s="35" t="s">
        <v>116</v>
      </c>
      <c r="B943" s="35">
        <v>13.47</v>
      </c>
      <c r="C943" s="35">
        <v>540</v>
      </c>
      <c r="D943" s="35" t="s">
        <v>6</v>
      </c>
      <c r="E943" s="36" t="str" cm="1">
        <f t="array" ref="E943">GetNumber(D943,1)</f>
        <v>17</v>
      </c>
      <c r="F943" s="36" t="str" cm="1">
        <f t="array" ref="F943">GetNumber(D943,2)</f>
        <v>7</v>
      </c>
      <c r="G943" s="35">
        <v>14.8</v>
      </c>
      <c r="H943" s="35">
        <v>6951</v>
      </c>
      <c r="I943" s="35">
        <f>56.26*($T$2)</f>
        <v>112.52</v>
      </c>
      <c r="J943" s="35">
        <f>832.6*($T$2)</f>
        <v>1665.2</v>
      </c>
      <c r="K943" s="35">
        <f t="shared" si="69"/>
        <v>3.5195772279606055</v>
      </c>
      <c r="L943" s="35">
        <f t="shared" si="70"/>
        <v>3.5193743334518315</v>
      </c>
      <c r="M943" s="35">
        <f>9.625625*($T$2)</f>
        <v>19.251249999999999</v>
      </c>
      <c r="N943" s="35">
        <f>46.1*(5280/3600)</f>
        <v>67.61333333333333</v>
      </c>
      <c r="O943" s="35">
        <f t="shared" si="68"/>
        <v>1.1560923612779246</v>
      </c>
      <c r="P943" s="35">
        <f t="shared" si="71"/>
        <v>67.756261109776602</v>
      </c>
      <c r="Q943" s="35">
        <f>('Batt Capacity and Sys Weight'!$I$3) + (B943*$T$2)</f>
        <v>53.328474999999997</v>
      </c>
      <c r="R943" s="35">
        <f>'Batt Capacity and Sys Weight'!$H$3</f>
        <v>97.68</v>
      </c>
    </row>
    <row r="944" spans="1:18" x14ac:dyDescent="0.3">
      <c r="A944" s="35" t="s">
        <v>116</v>
      </c>
      <c r="B944" s="35">
        <v>13.47</v>
      </c>
      <c r="C944" s="35">
        <v>540</v>
      </c>
      <c r="D944" s="35" t="s">
        <v>7</v>
      </c>
      <c r="E944" s="36" t="str" cm="1">
        <f t="array" ref="E944">GetNumber(D944,1)</f>
        <v>17</v>
      </c>
      <c r="F944" s="36" t="str" cm="1">
        <f t="array" ref="F944">GetNumber(D944,2)</f>
        <v>8</v>
      </c>
      <c r="G944" s="35">
        <v>14.8</v>
      </c>
      <c r="H944" s="35">
        <v>6713</v>
      </c>
      <c r="I944" s="35">
        <f>69.05*($T$2)</f>
        <v>138.1</v>
      </c>
      <c r="J944" s="35">
        <f>1021.9*($T$2)</f>
        <v>2043.8</v>
      </c>
      <c r="K944" s="35">
        <f t="shared" si="69"/>
        <v>2.8675995694294945</v>
      </c>
      <c r="L944" s="35">
        <f t="shared" si="70"/>
        <v>2.8674873280231719</v>
      </c>
      <c r="M944" s="35">
        <f>10.304375*($T$2)</f>
        <v>20.608750000000001</v>
      </c>
      <c r="N944" s="35">
        <f>50.9*(5280/3600)</f>
        <v>74.653333333333322</v>
      </c>
      <c r="O944" s="35">
        <f t="shared" si="68"/>
        <v>1.0083545356688521</v>
      </c>
      <c r="P944" s="35">
        <f t="shared" si="71"/>
        <v>59.097642626480095</v>
      </c>
      <c r="Q944" s="35">
        <f>('Batt Capacity and Sys Weight'!$I$3) + (B944*$T$2)</f>
        <v>53.328474999999997</v>
      </c>
      <c r="R944" s="35">
        <f>'Batt Capacity and Sys Weight'!$H$3</f>
        <v>97.68</v>
      </c>
    </row>
    <row r="945" spans="1:18" x14ac:dyDescent="0.3">
      <c r="A945" s="35" t="s">
        <v>116</v>
      </c>
      <c r="B945" s="35">
        <v>13.47</v>
      </c>
      <c r="C945" s="35">
        <v>540</v>
      </c>
      <c r="D945" s="35" t="s">
        <v>49</v>
      </c>
      <c r="E945" s="36" t="str" cm="1">
        <f t="array" ref="E945">GetNumber(D945,1)</f>
        <v>14</v>
      </c>
      <c r="F945" s="36" t="str" cm="1">
        <f t="array" ref="F945">GetNumber(D945,2)</f>
        <v>10</v>
      </c>
      <c r="G945" s="35">
        <v>14.8</v>
      </c>
      <c r="H945" s="35">
        <v>6981</v>
      </c>
      <c r="I945" s="35">
        <f>48.18*($T$2)</f>
        <v>96.36</v>
      </c>
      <c r="J945" s="35">
        <f>713.1*($T$2)</f>
        <v>1426.2</v>
      </c>
      <c r="K945" s="35">
        <f t="shared" si="69"/>
        <v>4.1093815734118637</v>
      </c>
      <c r="L945" s="35">
        <f t="shared" si="70"/>
        <v>4.1095890410958908</v>
      </c>
      <c r="M945" s="35">
        <f>6.126875*($T$2)</f>
        <v>12.25375</v>
      </c>
      <c r="N945" s="35">
        <f>66.1*(5280/3600)</f>
        <v>96.946666666666658</v>
      </c>
      <c r="O945" s="35">
        <f t="shared" si="68"/>
        <v>0.85918875333052869</v>
      </c>
      <c r="P945" s="35">
        <f t="shared" si="71"/>
        <v>50.355334455195624</v>
      </c>
      <c r="Q945" s="35">
        <f>('Batt Capacity and Sys Weight'!$I$3) + (B945*$T$2)</f>
        <v>53.328474999999997</v>
      </c>
      <c r="R945" s="35">
        <f>'Batt Capacity and Sys Weight'!$H$3</f>
        <v>97.68</v>
      </c>
    </row>
    <row r="946" spans="1:18" x14ac:dyDescent="0.3">
      <c r="A946" s="35" t="s">
        <v>116</v>
      </c>
      <c r="B946" s="35">
        <v>13.47</v>
      </c>
      <c r="C946" s="35">
        <v>540</v>
      </c>
      <c r="D946" s="35" t="s">
        <v>17</v>
      </c>
      <c r="E946" s="36" t="str" cm="1">
        <f t="array" ref="E946">GetNumber(D946,1)</f>
        <v>15</v>
      </c>
      <c r="F946" s="36" t="str" cm="1">
        <f t="array" ref="F946">GetNumber(D946,2)</f>
        <v>10</v>
      </c>
      <c r="G946" s="35">
        <v>14.8</v>
      </c>
      <c r="H946" s="35">
        <v>6902</v>
      </c>
      <c r="I946" s="35">
        <f>58.25*($T$2)</f>
        <v>116.5</v>
      </c>
      <c r="J946" s="35">
        <f>862.1*($T$2)</f>
        <v>1724.2</v>
      </c>
      <c r="K946" s="35">
        <f t="shared" si="69"/>
        <v>3.3991416309012878</v>
      </c>
      <c r="L946" s="35">
        <f t="shared" si="70"/>
        <v>3.3991416309012878</v>
      </c>
      <c r="M946" s="35">
        <f>6.931875*($T$2)</f>
        <v>13.86375</v>
      </c>
      <c r="N946" s="35">
        <f>65.4*(5280/3600)</f>
        <v>95.92</v>
      </c>
      <c r="O946" s="35">
        <f t="shared" si="68"/>
        <v>0.80406855353207274</v>
      </c>
      <c r="P946" s="35">
        <f t="shared" si="71"/>
        <v>47.124849785407726</v>
      </c>
      <c r="Q946" s="35">
        <f>('Batt Capacity and Sys Weight'!$I$3) + (B946*$T$2)</f>
        <v>53.328474999999997</v>
      </c>
      <c r="R946" s="35">
        <f>'Batt Capacity and Sys Weight'!$H$3</f>
        <v>97.68</v>
      </c>
    </row>
    <row r="947" spans="1:18" x14ac:dyDescent="0.3">
      <c r="A947" s="35" t="s">
        <v>116</v>
      </c>
      <c r="B947" s="35">
        <v>13.47</v>
      </c>
      <c r="C947" s="35">
        <v>540</v>
      </c>
      <c r="D947" s="35" t="s">
        <v>52</v>
      </c>
      <c r="E947" s="36" t="str" cm="1">
        <f t="array" ref="E947">GetNumber(D947,1)</f>
        <v>16</v>
      </c>
      <c r="F947" s="36" t="str" cm="1">
        <f t="array" ref="F947">GetNumber(D947,2)</f>
        <v>6</v>
      </c>
      <c r="G947" s="35">
        <v>14.8</v>
      </c>
      <c r="H947" s="35">
        <v>7219</v>
      </c>
      <c r="I947" s="35">
        <f>44.72*($T$2)</f>
        <v>89.44</v>
      </c>
      <c r="J947" s="35">
        <f>661.9*($T$2)</f>
        <v>1323.8</v>
      </c>
      <c r="K947" s="35">
        <f t="shared" si="69"/>
        <v>4.4272548723372118</v>
      </c>
      <c r="L947" s="35">
        <f t="shared" si="70"/>
        <v>4.4275491949910561</v>
      </c>
      <c r="M947" s="35">
        <f>7.87375*($T$2)</f>
        <v>15.7475</v>
      </c>
      <c r="N947" s="35">
        <f>41*(5280/3600)</f>
        <v>60.133333333333326</v>
      </c>
      <c r="O947" s="35">
        <f t="shared" si="68"/>
        <v>1.1895679105605077</v>
      </c>
      <c r="P947" s="35">
        <f t="shared" si="71"/>
        <v>69.71819610213025</v>
      </c>
      <c r="Q947" s="35">
        <f>('Batt Capacity and Sys Weight'!$I$3) + (B947*$T$2)</f>
        <v>53.328474999999997</v>
      </c>
      <c r="R947" s="35">
        <f>'Batt Capacity and Sys Weight'!$H$3</f>
        <v>97.68</v>
      </c>
    </row>
    <row r="948" spans="1:18" x14ac:dyDescent="0.3">
      <c r="A948" s="35" t="s">
        <v>116</v>
      </c>
      <c r="B948" s="35">
        <v>13.47</v>
      </c>
      <c r="C948" s="35">
        <v>540</v>
      </c>
      <c r="D948" s="35" t="s">
        <v>18</v>
      </c>
      <c r="E948" s="36" t="str" cm="1">
        <f t="array" ref="E948">GetNumber(D948,1)</f>
        <v>16</v>
      </c>
      <c r="F948" s="36" t="str" cm="1">
        <f t="array" ref="F948">GetNumber(D948,2)</f>
        <v>7</v>
      </c>
      <c r="G948" s="35">
        <v>14.8</v>
      </c>
      <c r="H948" s="35">
        <v>7076</v>
      </c>
      <c r="I948" s="35">
        <f>49.34*($T$2)</f>
        <v>98.68</v>
      </c>
      <c r="J948" s="35">
        <f>730.3*($T$2)</f>
        <v>1460.6</v>
      </c>
      <c r="K948" s="35">
        <f t="shared" si="69"/>
        <v>4.0125975626454888</v>
      </c>
      <c r="L948" s="35">
        <f t="shared" si="70"/>
        <v>4.0129712201053911</v>
      </c>
      <c r="M948" s="35">
        <f>8.118125*($T$2)</f>
        <v>16.236249999999998</v>
      </c>
      <c r="N948" s="35">
        <f>46.9*(5280/3600)</f>
        <v>68.786666666666662</v>
      </c>
      <c r="O948" s="35">
        <f t="shared" si="68"/>
        <v>1.1116150896891688</v>
      </c>
      <c r="P948" s="35">
        <f t="shared" si="71"/>
        <v>65.149537176502818</v>
      </c>
      <c r="Q948" s="35">
        <f>('Batt Capacity and Sys Weight'!$I$3) + (B948*$T$2)</f>
        <v>53.328474999999997</v>
      </c>
      <c r="R948" s="35">
        <f>'Batt Capacity and Sys Weight'!$H$3</f>
        <v>97.68</v>
      </c>
    </row>
    <row r="949" spans="1:18" x14ac:dyDescent="0.3">
      <c r="A949" s="35" t="s">
        <v>116</v>
      </c>
      <c r="B949" s="35">
        <v>13.47</v>
      </c>
      <c r="C949" s="35">
        <v>540</v>
      </c>
      <c r="D949" s="35" t="s">
        <v>19</v>
      </c>
      <c r="E949" s="36" t="str" cm="1">
        <f t="array" ref="E949">GetNumber(D949,1)</f>
        <v>16</v>
      </c>
      <c r="F949" s="36" t="str" cm="1">
        <f t="array" ref="F949">GetNumber(D949,2)</f>
        <v>8</v>
      </c>
      <c r="G949" s="35">
        <v>14.8</v>
      </c>
      <c r="H949" s="35">
        <v>6945</v>
      </c>
      <c r="I949" s="35">
        <f>58.49*($T$2)</f>
        <v>116.98</v>
      </c>
      <c r="J949" s="35">
        <f>865.7*($T$2)</f>
        <v>1731.4</v>
      </c>
      <c r="K949" s="35">
        <f t="shared" si="69"/>
        <v>3.3850063532401524</v>
      </c>
      <c r="L949" s="35">
        <f t="shared" si="70"/>
        <v>3.3851940502650026</v>
      </c>
      <c r="M949" s="35">
        <f>8.655*($T$2)</f>
        <v>17.309999999999999</v>
      </c>
      <c r="N949" s="35">
        <f>52.6*(5280/3600)</f>
        <v>77.146666666666661</v>
      </c>
      <c r="O949" s="35">
        <f t="shared" si="68"/>
        <v>0.99976897308536439</v>
      </c>
      <c r="P949" s="35">
        <f t="shared" si="71"/>
        <v>58.594459974587032</v>
      </c>
      <c r="Q949" s="35">
        <f>('Batt Capacity and Sys Weight'!$I$3) + (B949*$T$2)</f>
        <v>53.328474999999997</v>
      </c>
      <c r="R949" s="35">
        <f>'Batt Capacity and Sys Weight'!$H$3</f>
        <v>97.68</v>
      </c>
    </row>
    <row r="950" spans="1:18" x14ac:dyDescent="0.3">
      <c r="A950" s="35" t="s">
        <v>116</v>
      </c>
      <c r="B950" s="35">
        <v>13.47</v>
      </c>
      <c r="C950" s="35">
        <v>540</v>
      </c>
      <c r="D950" s="35" t="s">
        <v>20</v>
      </c>
      <c r="E950" s="36" t="str" cm="1">
        <f t="array" ref="E950">GetNumber(D950,1)</f>
        <v>16</v>
      </c>
      <c r="F950" s="36" t="str" cm="1">
        <f t="array" ref="F950">GetNumber(D950,2)</f>
        <v>10</v>
      </c>
      <c r="G950" s="35">
        <v>14.8</v>
      </c>
      <c r="H950" s="35">
        <v>6789</v>
      </c>
      <c r="I950" s="35">
        <f>66.24*($T$2)</f>
        <v>132.47999999999999</v>
      </c>
      <c r="J950" s="35">
        <f>980.3*($T$2)</f>
        <v>1960.6</v>
      </c>
      <c r="K950" s="35">
        <f t="shared" si="69"/>
        <v>2.9892889931653581</v>
      </c>
      <c r="L950" s="35">
        <f t="shared" si="70"/>
        <v>2.9891304347826089</v>
      </c>
      <c r="M950" s="35">
        <f>9.30625*($T$2)</f>
        <v>18.612500000000001</v>
      </c>
      <c r="N950" s="35">
        <f>64.3*(5280/3600)</f>
        <v>94.306666666666658</v>
      </c>
      <c r="O950" s="35">
        <f t="shared" si="68"/>
        <v>0.94932673671325118</v>
      </c>
      <c r="P950" s="35">
        <f t="shared" si="71"/>
        <v>55.638141385290233</v>
      </c>
      <c r="Q950" s="35">
        <f>('Batt Capacity and Sys Weight'!$I$3) + (B950*$T$2)</f>
        <v>53.328474999999997</v>
      </c>
      <c r="R950" s="35">
        <f>'Batt Capacity and Sys Weight'!$H$3</f>
        <v>97.68</v>
      </c>
    </row>
    <row r="951" spans="1:18" x14ac:dyDescent="0.3">
      <c r="A951" s="35" t="s">
        <v>116</v>
      </c>
      <c r="B951" s="35">
        <v>13.47</v>
      </c>
      <c r="C951" s="35">
        <v>540</v>
      </c>
      <c r="D951" s="35" t="s">
        <v>21</v>
      </c>
      <c r="E951" s="36" t="str" cm="1">
        <f t="array" ref="E951">GetNumber(D951,1)</f>
        <v>17</v>
      </c>
      <c r="F951" s="36" t="str" cm="1">
        <f t="array" ref="F951">GetNumber(D951,2)</f>
        <v>6</v>
      </c>
      <c r="G951" s="35">
        <v>14.8</v>
      </c>
      <c r="H951" s="35">
        <v>6902</v>
      </c>
      <c r="I951" s="35">
        <f>58.03*($T$2)</f>
        <v>116.06</v>
      </c>
      <c r="J951" s="35">
        <f>858.8*($T$2)</f>
        <v>1717.6</v>
      </c>
      <c r="K951" s="35">
        <f t="shared" si="69"/>
        <v>3.4122030740568241</v>
      </c>
      <c r="L951" s="35">
        <f t="shared" si="70"/>
        <v>3.4120282612441843</v>
      </c>
      <c r="M951" s="35">
        <f>9.07625*($T$2)</f>
        <v>18.1525</v>
      </c>
      <c r="N951" s="35">
        <f>39.2*(5280/3600)</f>
        <v>57.493333333333332</v>
      </c>
      <c r="O951" s="35">
        <f t="shared" si="68"/>
        <v>1.0568525850023289</v>
      </c>
      <c r="P951" s="35">
        <f t="shared" si="71"/>
        <v>61.940016301816499</v>
      </c>
      <c r="Q951" s="35">
        <f>('Batt Capacity and Sys Weight'!$I$3) + (B951*$T$2)</f>
        <v>53.328474999999997</v>
      </c>
      <c r="R951" s="35">
        <f>'Batt Capacity and Sys Weight'!$H$3</f>
        <v>97.68</v>
      </c>
    </row>
    <row r="952" spans="1:18" x14ac:dyDescent="0.3">
      <c r="A952" s="35" t="s">
        <v>116</v>
      </c>
      <c r="B952" s="35">
        <v>13.47</v>
      </c>
      <c r="C952" s="35">
        <v>540</v>
      </c>
      <c r="D952" s="35" t="s">
        <v>22</v>
      </c>
      <c r="E952" s="36" t="str" cm="1">
        <f t="array" ref="E952">GetNumber(D952,1)</f>
        <v>17</v>
      </c>
      <c r="F952" s="36" t="str" cm="1">
        <f t="array" ref="F952">GetNumber(D952,2)</f>
        <v>8</v>
      </c>
      <c r="G952" s="35">
        <v>14.8</v>
      </c>
      <c r="H952" s="35">
        <v>6800</v>
      </c>
      <c r="I952" s="35">
        <f>66.3*($T$2)</f>
        <v>132.6</v>
      </c>
      <c r="J952" s="35">
        <f>981.3*($T$2)</f>
        <v>1962.6</v>
      </c>
      <c r="K952" s="35">
        <f t="shared" si="69"/>
        <v>2.9862427392234796</v>
      </c>
      <c r="L952" s="35">
        <f t="shared" si="70"/>
        <v>2.9864253393665159</v>
      </c>
      <c r="M952" s="35">
        <f>10.11375*($T$2)</f>
        <v>20.227499999999999</v>
      </c>
      <c r="N952" s="35">
        <f>51.5*(5280/3600)</f>
        <v>75.533333333333331</v>
      </c>
      <c r="O952" s="35">
        <f t="shared" si="68"/>
        <v>1.0306481198410271</v>
      </c>
      <c r="P952" s="35">
        <f t="shared" si="71"/>
        <v>60.404225007642928</v>
      </c>
      <c r="Q952" s="35">
        <f>('Batt Capacity and Sys Weight'!$I$3) + (B952*$T$2)</f>
        <v>53.328474999999997</v>
      </c>
      <c r="R952" s="35">
        <f>'Batt Capacity and Sys Weight'!$H$3</f>
        <v>97.68</v>
      </c>
    </row>
    <row r="953" spans="1:18" x14ac:dyDescent="0.3">
      <c r="A953" s="35" t="s">
        <v>116</v>
      </c>
      <c r="B953" s="35">
        <v>13.47</v>
      </c>
      <c r="C953" s="35">
        <v>540</v>
      </c>
      <c r="D953" s="35" t="s">
        <v>27</v>
      </c>
      <c r="E953" s="36" t="str" cm="1">
        <f t="array" ref="E953">GetNumber(D953,1)</f>
        <v>14</v>
      </c>
      <c r="F953" s="36" t="str" cm="1">
        <f t="array" ref="F953">GetNumber(D953,2)</f>
        <v>9</v>
      </c>
      <c r="G953" s="35">
        <v>14.8</v>
      </c>
      <c r="H953" s="35">
        <v>7008</v>
      </c>
      <c r="I953" s="35">
        <f>52.63*($T$2)</f>
        <v>105.26</v>
      </c>
      <c r="J953" s="35">
        <f>778.9*($T$2)</f>
        <v>1557.8</v>
      </c>
      <c r="K953" s="35">
        <f t="shared" si="69"/>
        <v>3.7622287841828221</v>
      </c>
      <c r="L953" s="35">
        <f t="shared" si="70"/>
        <v>3.7621128633859016</v>
      </c>
      <c r="M953" s="35">
        <f>8.095625*($T$2)</f>
        <v>16.19125</v>
      </c>
      <c r="N953" s="35">
        <f>59.7*(5280/3600)</f>
        <v>87.56</v>
      </c>
      <c r="O953" s="35">
        <f t="shared" si="68"/>
        <v>1.0393664141738348</v>
      </c>
      <c r="P953" s="35">
        <f t="shared" si="71"/>
        <v>60.91518680190012</v>
      </c>
      <c r="Q953" s="35">
        <f>('Batt Capacity and Sys Weight'!$I$3) + (B953*$T$2)</f>
        <v>53.328474999999997</v>
      </c>
      <c r="R953" s="35">
        <f>'Batt Capacity and Sys Weight'!$H$3</f>
        <v>97.68</v>
      </c>
    </row>
    <row r="954" spans="1:18" x14ac:dyDescent="0.3">
      <c r="A954" s="35" t="s">
        <v>116</v>
      </c>
      <c r="B954" s="35">
        <v>13.47</v>
      </c>
      <c r="C954" s="35">
        <v>540</v>
      </c>
      <c r="D954" s="35" t="s">
        <v>28</v>
      </c>
      <c r="E954" s="36" t="str" cm="1">
        <f t="array" ref="E954">GetNumber(D954,1)</f>
        <v>15</v>
      </c>
      <c r="F954" s="36" t="str" cm="1">
        <f t="array" ref="F954">GetNumber(D954,2)</f>
        <v>7</v>
      </c>
      <c r="G954" s="35">
        <v>14.8</v>
      </c>
      <c r="H954" s="35">
        <v>6963</v>
      </c>
      <c r="I954" s="35">
        <f>54.78*($T$2)</f>
        <v>109.56</v>
      </c>
      <c r="J954" s="35">
        <f>810.8*($T$2)</f>
        <v>1621.6</v>
      </c>
      <c r="K954" s="35">
        <f t="shared" si="69"/>
        <v>3.6142081894425262</v>
      </c>
      <c r="L954" s="35">
        <f t="shared" si="70"/>
        <v>3.6144578313253017</v>
      </c>
      <c r="M954" s="35">
        <f>8.6025*($T$2)</f>
        <v>17.204999999999998</v>
      </c>
      <c r="N954" s="35">
        <f>46.2*(5280/3600)</f>
        <v>67.760000000000005</v>
      </c>
      <c r="O954" s="35">
        <f t="shared" si="68"/>
        <v>1.0609891465219536</v>
      </c>
      <c r="P954" s="35">
        <f t="shared" si="71"/>
        <v>62.182451899358654</v>
      </c>
      <c r="Q954" s="35">
        <f>('Batt Capacity and Sys Weight'!$I$3) + (B954*$T$2)</f>
        <v>53.328474999999997</v>
      </c>
      <c r="R954" s="35">
        <f>'Batt Capacity and Sys Weight'!$H$3</f>
        <v>97.68</v>
      </c>
    </row>
    <row r="955" spans="1:18" x14ac:dyDescent="0.3">
      <c r="A955" s="35" t="s">
        <v>116</v>
      </c>
      <c r="B955" s="35">
        <v>13.47</v>
      </c>
      <c r="C955" s="35">
        <v>540</v>
      </c>
      <c r="D955" s="35" t="s">
        <v>29</v>
      </c>
      <c r="E955" s="36" t="str" cm="1">
        <f t="array" ref="E955">GetNumber(D955,1)</f>
        <v>16</v>
      </c>
      <c r="F955" s="36" t="str" cm="1">
        <f t="array" ref="F955">GetNumber(D955,2)</f>
        <v>8</v>
      </c>
      <c r="G955" s="35">
        <v>14.8</v>
      </c>
      <c r="H955" s="35">
        <v>6796</v>
      </c>
      <c r="I955" s="35">
        <f>64.41*($T$2)</f>
        <v>128.82</v>
      </c>
      <c r="J955" s="35">
        <f>953.3*($T$2)</f>
        <v>1906.6</v>
      </c>
      <c r="K955" s="35">
        <f t="shared" si="69"/>
        <v>3.0739536347424736</v>
      </c>
      <c r="L955" s="35">
        <f t="shared" si="70"/>
        <v>3.0740568234746162</v>
      </c>
      <c r="M955" s="35">
        <f>9.88125*($T$2)</f>
        <v>19.762499999999999</v>
      </c>
      <c r="N955" s="35">
        <f>51.5*(5280/3600)</f>
        <v>75.533333333333331</v>
      </c>
      <c r="O955" s="35">
        <f t="shared" si="68"/>
        <v>1.0365309975873283</v>
      </c>
      <c r="P955" s="35">
        <f t="shared" si="71"/>
        <v>60.749008706598133</v>
      </c>
      <c r="Q955" s="35">
        <f>('Batt Capacity and Sys Weight'!$I$3) + (B955*$T$2)</f>
        <v>53.328474999999997</v>
      </c>
      <c r="R955" s="35">
        <f>'Batt Capacity and Sys Weight'!$H$3</f>
        <v>97.68</v>
      </c>
    </row>
    <row r="956" spans="1:18" x14ac:dyDescent="0.3">
      <c r="A956" s="35" t="s">
        <v>116</v>
      </c>
      <c r="B956" s="35">
        <v>13.47</v>
      </c>
      <c r="C956" s="35">
        <v>540</v>
      </c>
      <c r="D956" s="35" t="s">
        <v>33</v>
      </c>
      <c r="E956" s="36" t="str" cm="1">
        <f t="array" ref="E956">GetNumber(D956,1)</f>
        <v>12</v>
      </c>
      <c r="F956" s="36" t="str" cm="1">
        <f t="array" ref="F956">GetNumber(D956,2)</f>
        <v>10</v>
      </c>
      <c r="G956" s="35">
        <v>18.5</v>
      </c>
      <c r="H956" s="35">
        <v>8975</v>
      </c>
      <c r="I956" s="35">
        <f>45.15*($T$2)</f>
        <v>90.3</v>
      </c>
      <c r="J956" s="35">
        <f>835.2*($T$2)</f>
        <v>1670.4</v>
      </c>
      <c r="K956" s="35">
        <f t="shared" si="69"/>
        <v>3.3225574712643677</v>
      </c>
      <c r="L956" s="35">
        <f t="shared" si="70"/>
        <v>3.322259136212625</v>
      </c>
      <c r="M956" s="35">
        <f>5.7675*($T$2)</f>
        <v>11.535</v>
      </c>
      <c r="N956" s="35">
        <f>85*(5280/3600)</f>
        <v>124.66666666666666</v>
      </c>
      <c r="O956" s="35">
        <f t="shared" si="68"/>
        <v>0.69055316091954022</v>
      </c>
      <c r="P956" s="35">
        <f t="shared" si="71"/>
        <v>38.325700431034484</v>
      </c>
      <c r="Q956" s="35">
        <f>('Batt Capacity and Sys Weight'!$I$4) + (B956*$T$2)</f>
        <v>54.104503000000001</v>
      </c>
      <c r="R956" s="35">
        <f>'Batt Capacity and Sys Weight'!$H$4</f>
        <v>92.5</v>
      </c>
    </row>
    <row r="957" spans="1:18" x14ac:dyDescent="0.3">
      <c r="A957" s="35" t="s">
        <v>116</v>
      </c>
      <c r="B957" s="35">
        <v>13.47</v>
      </c>
      <c r="C957" s="35">
        <v>540</v>
      </c>
      <c r="D957" s="35" t="s">
        <v>34</v>
      </c>
      <c r="E957" s="36" t="str" cm="1">
        <f t="array" ref="E957">GetNumber(D957,1)</f>
        <v>12</v>
      </c>
      <c r="F957" s="36" t="str" cm="1">
        <f t="array" ref="F957">GetNumber(D957,2)</f>
        <v>12</v>
      </c>
      <c r="G957" s="35">
        <v>18.5</v>
      </c>
      <c r="H957" s="35">
        <v>8843</v>
      </c>
      <c r="I957" s="35">
        <f>51.31*($T$2)</f>
        <v>102.62</v>
      </c>
      <c r="J957" s="35">
        <f>949.3*($T$2)</f>
        <v>1898.6</v>
      </c>
      <c r="K957" s="35">
        <f t="shared" si="69"/>
        <v>2.9232065732645109</v>
      </c>
      <c r="L957" s="35">
        <f t="shared" si="70"/>
        <v>2.9234067433248878</v>
      </c>
      <c r="M957" s="35">
        <f>5.376875*($T$2)</f>
        <v>10.75375</v>
      </c>
      <c r="N957" s="35">
        <f>100.5*(5280/3600)</f>
        <v>147.39999999999998</v>
      </c>
      <c r="O957" s="35">
        <f t="shared" si="68"/>
        <v>0.56640419256294117</v>
      </c>
      <c r="P957" s="35">
        <f t="shared" si="71"/>
        <v>31.435432687243235</v>
      </c>
      <c r="Q957" s="35">
        <f>('Batt Capacity and Sys Weight'!$I$4) + (B957*$T$2)</f>
        <v>54.104503000000001</v>
      </c>
      <c r="R957" s="35">
        <f>'Batt Capacity and Sys Weight'!$H$4</f>
        <v>92.5</v>
      </c>
    </row>
    <row r="958" spans="1:18" x14ac:dyDescent="0.3">
      <c r="A958" s="35" t="s">
        <v>116</v>
      </c>
      <c r="B958" s="35">
        <v>13.47</v>
      </c>
      <c r="C958" s="35">
        <v>540</v>
      </c>
      <c r="D958" s="35" t="s">
        <v>36</v>
      </c>
      <c r="E958" s="36" t="str" cm="1">
        <f t="array" ref="E958">GetNumber(D958,1)</f>
        <v>13</v>
      </c>
      <c r="F958" s="36" t="str" cm="1">
        <f t="array" ref="F958">GetNumber(D958,2)</f>
        <v>8</v>
      </c>
      <c r="G958" s="35">
        <v>18.5</v>
      </c>
      <c r="H958" s="35">
        <v>8956</v>
      </c>
      <c r="I958" s="35">
        <f>46.02*($T$2)</f>
        <v>92.04</v>
      </c>
      <c r="J958" s="35">
        <f>851.3*($T$2)</f>
        <v>1702.6</v>
      </c>
      <c r="K958" s="35">
        <f t="shared" si="69"/>
        <v>3.2597204275813465</v>
      </c>
      <c r="L958" s="35">
        <f t="shared" si="70"/>
        <v>3.2594524119947845</v>
      </c>
      <c r="M958" s="35">
        <f>7.39875*($T$2)</f>
        <v>14.797499999999999</v>
      </c>
      <c r="N958" s="35">
        <f>67.8*(5280/3600)</f>
        <v>99.439999999999984</v>
      </c>
      <c r="O958" s="35">
        <f t="shared" si="68"/>
        <v>0.86911194643486434</v>
      </c>
      <c r="P958" s="35">
        <f t="shared" si="71"/>
        <v>48.23571302713497</v>
      </c>
      <c r="Q958" s="35">
        <f>('Batt Capacity and Sys Weight'!$I$4) + (B958*$T$2)</f>
        <v>54.104503000000001</v>
      </c>
      <c r="R958" s="35">
        <f>'Batt Capacity and Sys Weight'!$H$4</f>
        <v>92.5</v>
      </c>
    </row>
    <row r="959" spans="1:18" x14ac:dyDescent="0.3">
      <c r="A959" s="35" t="s">
        <v>116</v>
      </c>
      <c r="B959" s="35">
        <v>13.47</v>
      </c>
      <c r="C959" s="35">
        <v>540</v>
      </c>
      <c r="D959" s="35" t="s">
        <v>37</v>
      </c>
      <c r="E959" s="36" t="str" cm="1">
        <f t="array" ref="E959">GetNumber(D959,1)</f>
        <v>13</v>
      </c>
      <c r="F959" s="36" t="str" cm="1">
        <f t="array" ref="F959">GetNumber(D959,2)</f>
        <v>10</v>
      </c>
      <c r="G959" s="35">
        <v>18.5</v>
      </c>
      <c r="H959" s="35">
        <v>8616</v>
      </c>
      <c r="I959" s="35">
        <f>63.21*($T$2)</f>
        <v>126.42</v>
      </c>
      <c r="J959" s="35">
        <f>1169.3*($T$2)</f>
        <v>2338.6</v>
      </c>
      <c r="K959" s="35">
        <f t="shared" si="69"/>
        <v>2.3732147438638505</v>
      </c>
      <c r="L959" s="35">
        <f t="shared" si="70"/>
        <v>2.3730422401518747</v>
      </c>
      <c r="M959" s="35">
        <f>7.02375*($T$2)</f>
        <v>14.047499999999999</v>
      </c>
      <c r="N959" s="35">
        <f>81.6*(5280/3600)</f>
        <v>119.67999999999998</v>
      </c>
      <c r="O959" s="35">
        <f t="shared" si="68"/>
        <v>0.6006798939536474</v>
      </c>
      <c r="P959" s="35">
        <f t="shared" si="71"/>
        <v>33.337734114427441</v>
      </c>
      <c r="Q959" s="35">
        <f>('Batt Capacity and Sys Weight'!$I$4) + (B959*$T$2)</f>
        <v>54.104503000000001</v>
      </c>
      <c r="R959" s="35">
        <f>'Batt Capacity and Sys Weight'!$H$4</f>
        <v>92.5</v>
      </c>
    </row>
    <row r="960" spans="1:18" x14ac:dyDescent="0.3">
      <c r="A960" s="35" t="s">
        <v>116</v>
      </c>
      <c r="B960" s="35">
        <v>13.47</v>
      </c>
      <c r="C960" s="35">
        <v>540</v>
      </c>
      <c r="D960" s="35" t="s">
        <v>39</v>
      </c>
      <c r="E960" s="36" t="str" cm="1">
        <f t="array" ref="E960">GetNumber(D960,1)</f>
        <v>14</v>
      </c>
      <c r="F960" s="36" t="str" cm="1">
        <f t="array" ref="F960">GetNumber(D960,2)</f>
        <v>7</v>
      </c>
      <c r="G960" s="35">
        <v>18.5</v>
      </c>
      <c r="H960" s="35">
        <v>8795</v>
      </c>
      <c r="I960" s="35">
        <f>53.98*($T$2)</f>
        <v>107.96</v>
      </c>
      <c r="J960" s="35">
        <f>998.6*($T$2)</f>
        <v>1997.2</v>
      </c>
      <c r="K960" s="35">
        <f t="shared" si="69"/>
        <v>2.7788904466252755</v>
      </c>
      <c r="L960" s="35">
        <f t="shared" si="70"/>
        <v>2.7788069655427936</v>
      </c>
      <c r="M960" s="35">
        <f>8.7525*($T$2)</f>
        <v>17.504999999999999</v>
      </c>
      <c r="N960" s="35">
        <f>58.3*(5280/3600)</f>
        <v>85.506666666666661</v>
      </c>
      <c r="O960" s="35">
        <f t="shared" si="68"/>
        <v>0.87647706789505297</v>
      </c>
      <c r="P960" s="35">
        <f t="shared" si="71"/>
        <v>48.644477268175443</v>
      </c>
      <c r="Q960" s="35">
        <f>('Batt Capacity and Sys Weight'!$I$4) + (B960*$T$2)</f>
        <v>54.104503000000001</v>
      </c>
      <c r="R960" s="35">
        <f>'Batt Capacity and Sys Weight'!$H$4</f>
        <v>92.5</v>
      </c>
    </row>
    <row r="961" spans="1:18" x14ac:dyDescent="0.3">
      <c r="A961" s="35" t="s">
        <v>116</v>
      </c>
      <c r="B961" s="35">
        <v>13.47</v>
      </c>
      <c r="C961" s="35">
        <v>540</v>
      </c>
      <c r="D961" s="35" t="s">
        <v>40</v>
      </c>
      <c r="E961" s="36" t="str" cm="1">
        <f t="array" ref="E961">GetNumber(D961,1)</f>
        <v>14</v>
      </c>
      <c r="F961" s="36" cm="1">
        <f t="array" ref="F961">GetNumber(D961,2)+(GetNumber(D961,3)/10)</f>
        <v>8.5</v>
      </c>
      <c r="G961" s="35">
        <v>18.5</v>
      </c>
      <c r="H961" s="35">
        <v>8725</v>
      </c>
      <c r="I961" s="35">
        <f>57.46*($T$2)</f>
        <v>114.92</v>
      </c>
      <c r="J961" s="35">
        <f>1063*($T$2)</f>
        <v>2126</v>
      </c>
      <c r="K961" s="35">
        <f t="shared" si="69"/>
        <v>2.6105362182502354</v>
      </c>
      <c r="L961" s="35">
        <f t="shared" si="70"/>
        <v>2.6105116602854159</v>
      </c>
      <c r="M961" s="35">
        <f>8.94625*($T$2)</f>
        <v>17.892499999999998</v>
      </c>
      <c r="N961" s="35">
        <f>70.2*(5280/3600)</f>
        <v>102.96</v>
      </c>
      <c r="O961" s="35">
        <f t="shared" si="68"/>
        <v>0.84160395108184383</v>
      </c>
      <c r="P961" s="35">
        <f t="shared" si="71"/>
        <v>46.709019285042331</v>
      </c>
      <c r="Q961" s="35">
        <f>('Batt Capacity and Sys Weight'!$I$4) + (B961*$T$2)</f>
        <v>54.104503000000001</v>
      </c>
      <c r="R961" s="35">
        <f>'Batt Capacity and Sys Weight'!$H$4</f>
        <v>92.5</v>
      </c>
    </row>
    <row r="962" spans="1:18" x14ac:dyDescent="0.3">
      <c r="A962" s="35" t="s">
        <v>116</v>
      </c>
      <c r="B962" s="35">
        <v>13.47</v>
      </c>
      <c r="C962" s="35">
        <v>540</v>
      </c>
      <c r="D962" s="35" t="s">
        <v>41</v>
      </c>
      <c r="E962" s="36" t="str" cm="1">
        <f t="array" ref="E962">GetNumber(D962,1)</f>
        <v>14</v>
      </c>
      <c r="F962" s="36" t="str" cm="1">
        <f t="array" ref="F962">GetNumber(D962,2)</f>
        <v>10</v>
      </c>
      <c r="G962" s="35">
        <v>18.5</v>
      </c>
      <c r="H962" s="35">
        <v>8749</v>
      </c>
      <c r="I962" s="35">
        <f>56.97*($T$2)</f>
        <v>113.94</v>
      </c>
      <c r="J962" s="35">
        <f>1053.9*($T$2)</f>
        <v>2107.8000000000002</v>
      </c>
      <c r="K962" s="35">
        <f t="shared" si="69"/>
        <v>2.6330771420438368</v>
      </c>
      <c r="L962" s="35">
        <f t="shared" si="70"/>
        <v>2.6329647182727749</v>
      </c>
      <c r="M962" s="35">
        <f>8.846875*($T$2)</f>
        <v>17.693750000000001</v>
      </c>
      <c r="N962" s="35">
        <f>82.9*(5280/3600)</f>
        <v>121.58666666666667</v>
      </c>
      <c r="O962" s="35">
        <f t="shared" ref="O962:O1025" si="73" xml:space="preserve"> (M962/J962)*100</f>
        <v>0.83944159787456107</v>
      </c>
      <c r="P962" s="35">
        <f t="shared" si="71"/>
        <v>46.589008682038141</v>
      </c>
      <c r="Q962" s="35">
        <f>('Batt Capacity and Sys Weight'!$I$4) + (B962*$T$2)</f>
        <v>54.104503000000001</v>
      </c>
      <c r="R962" s="35">
        <f>'Batt Capacity and Sys Weight'!$H$4</f>
        <v>92.5</v>
      </c>
    </row>
    <row r="963" spans="1:18" x14ac:dyDescent="0.3">
      <c r="A963" s="35" t="s">
        <v>116</v>
      </c>
      <c r="B963" s="35">
        <v>13.47</v>
      </c>
      <c r="C963" s="35">
        <v>540</v>
      </c>
      <c r="D963" s="35" t="s">
        <v>43</v>
      </c>
      <c r="E963" s="36" t="str" cm="1">
        <f t="array" ref="E963">GetNumber(D963,1)</f>
        <v>15</v>
      </c>
      <c r="F963" s="36" t="str" cm="1">
        <f t="array" ref="F963">GetNumber(D963,2)</f>
        <v>6</v>
      </c>
      <c r="G963" s="35">
        <v>18.5</v>
      </c>
      <c r="H963" s="35">
        <v>8721</v>
      </c>
      <c r="I963" s="35">
        <f>57.3*($T$2)</f>
        <v>114.6</v>
      </c>
      <c r="J963" s="35">
        <f>1060*($T$2)</f>
        <v>2120</v>
      </c>
      <c r="K963" s="35">
        <f t="shared" ref="K963:K1026" si="74" xml:space="preserve"> (R963/J963)*60</f>
        <v>2.6179245283018866</v>
      </c>
      <c r="L963" s="35">
        <f t="shared" ref="L963:L1026" si="75">( (R963/G963)/I963)*60</f>
        <v>2.6178010471204187</v>
      </c>
      <c r="M963" s="35">
        <f>10.240625*($T$2)</f>
        <v>20.481249999999999</v>
      </c>
      <c r="N963" s="35">
        <f>49.6*(5280/3600)</f>
        <v>72.74666666666667</v>
      </c>
      <c r="O963" s="35">
        <f t="shared" si="73"/>
        <v>0.96609669811320753</v>
      </c>
      <c r="P963" s="35">
        <f t="shared" si="71"/>
        <v>53.618366745283012</v>
      </c>
      <c r="Q963" s="35">
        <f>('Batt Capacity and Sys Weight'!$I$4) + (B963*$T$2)</f>
        <v>54.104503000000001</v>
      </c>
      <c r="R963" s="35">
        <f>'Batt Capacity and Sys Weight'!$H$4</f>
        <v>92.5</v>
      </c>
    </row>
    <row r="964" spans="1:18" x14ac:dyDescent="0.3">
      <c r="A964" s="35" t="s">
        <v>116</v>
      </c>
      <c r="B964" s="35">
        <v>13.47</v>
      </c>
      <c r="C964" s="35">
        <v>540</v>
      </c>
      <c r="D964" s="35" t="s">
        <v>44</v>
      </c>
      <c r="E964" s="36" t="str" cm="1">
        <f t="array" ref="E964">GetNumber(D964,1)</f>
        <v>15</v>
      </c>
      <c r="F964" s="36" t="str" cm="1">
        <f t="array" ref="F964">GetNumber(D964,2)</f>
        <v>7</v>
      </c>
      <c r="G964" s="35">
        <v>18.5</v>
      </c>
      <c r="H964" s="35">
        <v>8755</v>
      </c>
      <c r="I964" s="35">
        <f>55.64*($T$2)</f>
        <v>111.28</v>
      </c>
      <c r="J964" s="35">
        <f>1029.3*($T$2)</f>
        <v>2058.6</v>
      </c>
      <c r="K964" s="35">
        <f t="shared" si="74"/>
        <v>2.6960069950451762</v>
      </c>
      <c r="L964" s="35">
        <f t="shared" si="75"/>
        <v>2.6959022286125087</v>
      </c>
      <c r="M964" s="35">
        <f>10.17*($T$2)</f>
        <v>20.34</v>
      </c>
      <c r="N964" s="35">
        <f>58*(5280/3600)</f>
        <v>85.066666666666663</v>
      </c>
      <c r="O964" s="35">
        <f t="shared" si="73"/>
        <v>0.98805013115709706</v>
      </c>
      <c r="P964" s="35">
        <f t="shared" si="71"/>
        <v>54.83678227921888</v>
      </c>
      <c r="Q964" s="35">
        <f>('Batt Capacity and Sys Weight'!$I$4) + (B964*$T$2)</f>
        <v>54.104503000000001</v>
      </c>
      <c r="R964" s="35">
        <f>'Batt Capacity and Sys Weight'!$H$4</f>
        <v>92.5</v>
      </c>
    </row>
    <row r="965" spans="1:18" x14ac:dyDescent="0.3">
      <c r="A965" s="35" t="s">
        <v>116</v>
      </c>
      <c r="B965" s="35">
        <v>13.47</v>
      </c>
      <c r="C965" s="35">
        <v>540</v>
      </c>
      <c r="D965" s="35" t="s">
        <v>0</v>
      </c>
      <c r="E965" s="36" t="str" cm="1">
        <f t="array" ref="E965">GetNumber(D965,1)</f>
        <v>15</v>
      </c>
      <c r="F965" s="36" t="str" cm="1">
        <f t="array" ref="F965">GetNumber(D965,2)</f>
        <v>8</v>
      </c>
      <c r="G965" s="35">
        <v>18.5</v>
      </c>
      <c r="H965" s="35">
        <v>8646</v>
      </c>
      <c r="I965" s="35">
        <f>61.7*($T$2)</f>
        <v>123.4</v>
      </c>
      <c r="J965" s="35">
        <f>1141.4*($T$2)</f>
        <v>2282.8000000000002</v>
      </c>
      <c r="K965" s="35">
        <f t="shared" si="74"/>
        <v>2.4312248116348343</v>
      </c>
      <c r="L965" s="35">
        <f t="shared" si="75"/>
        <v>2.4311183144246353</v>
      </c>
      <c r="M965" s="35">
        <f>10.115*($T$2)</f>
        <v>20.23</v>
      </c>
      <c r="N965" s="35">
        <f>65.5*(5280/3600)</f>
        <v>96.066666666666663</v>
      </c>
      <c r="O965" s="35">
        <f t="shared" si="73"/>
        <v>0.8861923953040125</v>
      </c>
      <c r="P965" s="35">
        <f t="shared" si="71"/>
        <v>49.1836779393727</v>
      </c>
      <c r="Q965" s="35">
        <f>('Batt Capacity and Sys Weight'!$I$4) + (B965*$T$2)</f>
        <v>54.104503000000001</v>
      </c>
      <c r="R965" s="35">
        <f>'Batt Capacity and Sys Weight'!$H$4</f>
        <v>92.5</v>
      </c>
    </row>
    <row r="966" spans="1:18" x14ac:dyDescent="0.3">
      <c r="A966" s="35" t="s">
        <v>116</v>
      </c>
      <c r="B966" s="35">
        <v>13.47</v>
      </c>
      <c r="C966" s="35">
        <v>540</v>
      </c>
      <c r="D966" s="35" t="s">
        <v>45</v>
      </c>
      <c r="E966" s="36" t="str" cm="1">
        <f t="array" ref="E966">GetNumber(D966,1)</f>
        <v>13</v>
      </c>
      <c r="F966" s="36" t="str" cm="1">
        <f t="array" ref="F966">GetNumber(D966,2)</f>
        <v>8</v>
      </c>
      <c r="G966" s="35">
        <v>18.5</v>
      </c>
      <c r="H966" s="35">
        <v>8988</v>
      </c>
      <c r="I966" s="35">
        <f>44.9*($T$2)</f>
        <v>89.8</v>
      </c>
      <c r="J966" s="35">
        <f>830.7*($T$2)</f>
        <v>1661.4</v>
      </c>
      <c r="K966" s="35">
        <f t="shared" si="74"/>
        <v>3.3405561574575655</v>
      </c>
      <c r="L966" s="35">
        <f t="shared" si="75"/>
        <v>3.3407572383073498</v>
      </c>
      <c r="M966" s="35">
        <f>6.53125*($T$2)</f>
        <v>13.0625</v>
      </c>
      <c r="N966" s="35">
        <f>68.1*(5280/3600)</f>
        <v>99.879999999999981</v>
      </c>
      <c r="O966" s="35">
        <f t="shared" si="73"/>
        <v>0.78623450102323333</v>
      </c>
      <c r="P966" s="35">
        <f t="shared" si="71"/>
        <v>43.636014806789447</v>
      </c>
      <c r="Q966" s="35">
        <f>('Batt Capacity and Sys Weight'!$I$4) + (B966*$T$2)</f>
        <v>54.104503000000001</v>
      </c>
      <c r="R966" s="35">
        <f>'Batt Capacity and Sys Weight'!$H$4</f>
        <v>92.5</v>
      </c>
    </row>
    <row r="967" spans="1:18" x14ac:dyDescent="0.3">
      <c r="A967" s="35" t="s">
        <v>116</v>
      </c>
      <c r="B967" s="35">
        <v>13.47</v>
      </c>
      <c r="C967" s="35">
        <v>540</v>
      </c>
      <c r="D967" s="35" t="s">
        <v>46</v>
      </c>
      <c r="E967" s="36" t="str" cm="1">
        <f t="array" ref="E967">GetNumber(D967,1)</f>
        <v>13</v>
      </c>
      <c r="F967" s="36" t="str" cm="1">
        <f t="array" ref="F967">GetNumber(D967,2)</f>
        <v>10</v>
      </c>
      <c r="G967" s="35">
        <v>18.5</v>
      </c>
      <c r="H967" s="35">
        <v>8682</v>
      </c>
      <c r="I967" s="35">
        <f>60.91*($T$2)</f>
        <v>121.82</v>
      </c>
      <c r="J967" s="35">
        <f>1126.9*($T$2)</f>
        <v>2253.8000000000002</v>
      </c>
      <c r="K967" s="35">
        <f t="shared" si="74"/>
        <v>2.4625077646641227</v>
      </c>
      <c r="L967" s="35">
        <f t="shared" si="75"/>
        <v>2.4626498111968482</v>
      </c>
      <c r="M967" s="35">
        <f>6.653125*($T$2)</f>
        <v>13.30625</v>
      </c>
      <c r="N967" s="35">
        <f>82.2*(5280/3600)</f>
        <v>120.56</v>
      </c>
      <c r="O967" s="35">
        <f t="shared" si="73"/>
        <v>0.59039178276688253</v>
      </c>
      <c r="P967" s="35">
        <f t="shared" si="71"/>
        <v>32.766743943561984</v>
      </c>
      <c r="Q967" s="35">
        <f>('Batt Capacity and Sys Weight'!$I$4) + (B967*$T$2)</f>
        <v>54.104503000000001</v>
      </c>
      <c r="R967" s="35">
        <f>'Batt Capacity and Sys Weight'!$H$4</f>
        <v>92.5</v>
      </c>
    </row>
    <row r="968" spans="1:18" x14ac:dyDescent="0.3">
      <c r="A968" s="35" t="s">
        <v>116</v>
      </c>
      <c r="B968" s="35">
        <v>13.47</v>
      </c>
      <c r="C968" s="35">
        <v>540</v>
      </c>
      <c r="D968" s="35" t="s">
        <v>48</v>
      </c>
      <c r="E968" s="36" t="str" cm="1">
        <f t="array" ref="E968">GetNumber(D968,1)</f>
        <v>14</v>
      </c>
      <c r="F968" s="36" t="str" cm="1">
        <f t="array" ref="F968">GetNumber(D968,2)</f>
        <v>8</v>
      </c>
      <c r="G968" s="35">
        <v>18.5</v>
      </c>
      <c r="H968" s="35">
        <v>8815</v>
      </c>
      <c r="I968" s="35">
        <f>53.59*($T$2)</f>
        <v>107.18</v>
      </c>
      <c r="J968" s="35">
        <f>991.3*($T$2)</f>
        <v>1982.6</v>
      </c>
      <c r="K968" s="35">
        <f t="shared" si="74"/>
        <v>2.7993543831332595</v>
      </c>
      <c r="L968" s="35">
        <f t="shared" si="75"/>
        <v>2.799029669714499</v>
      </c>
      <c r="M968" s="35">
        <f>8.65375*($T$2)</f>
        <v>17.307500000000001</v>
      </c>
      <c r="N968" s="35">
        <f>66.8*(5280/3600)</f>
        <v>97.973333333333329</v>
      </c>
      <c r="O968" s="35">
        <f t="shared" si="73"/>
        <v>0.87296983758700708</v>
      </c>
      <c r="P968" s="35">
        <f t="shared" si="71"/>
        <v>48.449825986078892</v>
      </c>
      <c r="Q968" s="35">
        <f>('Batt Capacity and Sys Weight'!$I$4) + (B968*$T$2)</f>
        <v>54.104503000000001</v>
      </c>
      <c r="R968" s="35">
        <f>'Batt Capacity and Sys Weight'!$H$4</f>
        <v>92.5</v>
      </c>
    </row>
    <row r="969" spans="1:18" x14ac:dyDescent="0.3">
      <c r="A969" s="35" t="s">
        <v>116</v>
      </c>
      <c r="B969" s="35">
        <v>13.47</v>
      </c>
      <c r="C969" s="35">
        <v>540</v>
      </c>
      <c r="D969" s="35" t="s">
        <v>50</v>
      </c>
      <c r="E969" s="36" t="str" cm="1">
        <f t="array" ref="E969">GetNumber(D969,1)</f>
        <v>15</v>
      </c>
      <c r="F969" s="36" t="str" cm="1">
        <f t="array" ref="F969">GetNumber(D969,2)</f>
        <v>6</v>
      </c>
      <c r="G969" s="35">
        <v>18.5</v>
      </c>
      <c r="H969" s="35">
        <v>8721</v>
      </c>
      <c r="I969" s="35">
        <f>57.52*($T$2)</f>
        <v>115.04</v>
      </c>
      <c r="J969" s="35">
        <f>1064.1*($T$2)</f>
        <v>2128.1999999999998</v>
      </c>
      <c r="K969" s="35">
        <f t="shared" si="74"/>
        <v>2.6078376092472513</v>
      </c>
      <c r="L969" s="35">
        <f t="shared" si="75"/>
        <v>2.6077885952712099</v>
      </c>
      <c r="M969" s="35">
        <f>9.833125*($T$2)</f>
        <v>19.666250000000002</v>
      </c>
      <c r="N969" s="35">
        <f>49.6*(5280/3600)</f>
        <v>72.74666666666667</v>
      </c>
      <c r="O969" s="35">
        <f t="shared" si="73"/>
        <v>0.92407903392538304</v>
      </c>
      <c r="P969" s="35">
        <f t="shared" si="71"/>
        <v>51.286386382858758</v>
      </c>
      <c r="Q969" s="35">
        <f>('Batt Capacity and Sys Weight'!$I$4) + (B969*$T$2)</f>
        <v>54.104503000000001</v>
      </c>
      <c r="R969" s="35">
        <f>'Batt Capacity and Sys Weight'!$H$4</f>
        <v>92.5</v>
      </c>
    </row>
    <row r="970" spans="1:18" x14ac:dyDescent="0.3">
      <c r="A970" s="35" t="s">
        <v>116</v>
      </c>
      <c r="B970" s="35">
        <v>13.47</v>
      </c>
      <c r="C970" s="35">
        <v>540</v>
      </c>
      <c r="D970" s="35" t="s">
        <v>51</v>
      </c>
      <c r="E970" s="36" t="str" cm="1">
        <f t="array" ref="E970">GetNumber(D970,1)</f>
        <v>15</v>
      </c>
      <c r="F970" s="36" t="str" cm="1">
        <f t="array" ref="F970">GetNumber(D970,2)</f>
        <v>7</v>
      </c>
      <c r="G970" s="35">
        <v>18.5</v>
      </c>
      <c r="H970" s="35">
        <v>8702</v>
      </c>
      <c r="I970" s="35">
        <f>57.82*($T$2)</f>
        <v>115.64</v>
      </c>
      <c r="J970" s="35">
        <f>1069.7*($T$2)</f>
        <v>2139.4</v>
      </c>
      <c r="K970" s="35">
        <f t="shared" si="74"/>
        <v>2.5941852855940919</v>
      </c>
      <c r="L970" s="35">
        <f t="shared" si="75"/>
        <v>2.5942580421999311</v>
      </c>
      <c r="M970" s="35">
        <f>10.213125*($T$2)</f>
        <v>20.42625</v>
      </c>
      <c r="N970" s="35">
        <f>57.7*(5280/3600)</f>
        <v>84.626666666666665</v>
      </c>
      <c r="O970" s="35">
        <f t="shared" si="73"/>
        <v>0.9547653547723659</v>
      </c>
      <c r="P970" s="35">
        <f t="shared" si="71"/>
        <v>52.989477189866321</v>
      </c>
      <c r="Q970" s="35">
        <f>('Batt Capacity and Sys Weight'!$I$4) + (B970*$T$2)</f>
        <v>54.104503000000001</v>
      </c>
      <c r="R970" s="35">
        <f>'Batt Capacity and Sys Weight'!$H$4</f>
        <v>92.5</v>
      </c>
    </row>
    <row r="971" spans="1:18" x14ac:dyDescent="0.3">
      <c r="A971" s="35" t="s">
        <v>116</v>
      </c>
      <c r="B971" s="35">
        <v>13.47</v>
      </c>
      <c r="C971" s="35">
        <v>540</v>
      </c>
      <c r="D971" s="35" t="s">
        <v>16</v>
      </c>
      <c r="E971" s="36" t="str" cm="1">
        <f t="array" ref="E971">GetNumber(D971,1)</f>
        <v>15</v>
      </c>
      <c r="F971" s="36" t="str" cm="1">
        <f t="array" ref="F971">GetNumber(D971,2)</f>
        <v>8</v>
      </c>
      <c r="G971" s="35">
        <v>18.5</v>
      </c>
      <c r="H971" s="35">
        <v>8574</v>
      </c>
      <c r="I971" s="35">
        <f>64.58*($T$2)</f>
        <v>129.16</v>
      </c>
      <c r="J971" s="35">
        <f>1194.8*($T$2)</f>
        <v>2389.6</v>
      </c>
      <c r="K971" s="35">
        <f t="shared" si="74"/>
        <v>2.322564445932374</v>
      </c>
      <c r="L971" s="35">
        <f t="shared" si="75"/>
        <v>2.3227005264787861</v>
      </c>
      <c r="M971" s="35">
        <f>9.75*($T$2)</f>
        <v>19.5</v>
      </c>
      <c r="N971" s="35">
        <f>65*(5280/3600)</f>
        <v>95.333333333333329</v>
      </c>
      <c r="O971" s="35">
        <f t="shared" si="73"/>
        <v>0.81603615667894203</v>
      </c>
      <c r="P971" s="35">
        <f t="shared" si="71"/>
        <v>45.290006695681292</v>
      </c>
      <c r="Q971" s="35">
        <f>('Batt Capacity and Sys Weight'!$I$4) + (B971*$T$2)</f>
        <v>54.104503000000001</v>
      </c>
      <c r="R971" s="35">
        <f>'Batt Capacity and Sys Weight'!$H$4</f>
        <v>92.5</v>
      </c>
    </row>
    <row r="972" spans="1:18" x14ac:dyDescent="0.3">
      <c r="A972" s="35" t="s">
        <v>116</v>
      </c>
      <c r="B972" s="35">
        <v>13.47</v>
      </c>
      <c r="C972" s="35">
        <v>540</v>
      </c>
      <c r="D972" s="35" t="s">
        <v>52</v>
      </c>
      <c r="E972" s="36" t="str" cm="1">
        <f t="array" ref="E972">GetNumber(D972,1)</f>
        <v>16</v>
      </c>
      <c r="F972" s="36" t="str" cm="1">
        <f t="array" ref="F972">GetNumber(D972,2)</f>
        <v>6</v>
      </c>
      <c r="G972" s="35">
        <v>18.5</v>
      </c>
      <c r="H972" s="35">
        <v>8587</v>
      </c>
      <c r="I972" s="35">
        <f>66.71*($T$2)</f>
        <v>133.41999999999999</v>
      </c>
      <c r="J972" s="35">
        <f>1234.2*($T$2)</f>
        <v>2468.4</v>
      </c>
      <c r="K972" s="35">
        <f t="shared" si="74"/>
        <v>2.2484200291686922</v>
      </c>
      <c r="L972" s="35">
        <f t="shared" si="75"/>
        <v>2.2485384500074956</v>
      </c>
      <c r="M972" s="35">
        <f>11.593125*($T$2)</f>
        <v>23.186250000000001</v>
      </c>
      <c r="N972" s="35">
        <f>48.8*(5280/3600)</f>
        <v>71.573333333333323</v>
      </c>
      <c r="O972" s="35">
        <f t="shared" si="73"/>
        <v>0.93932304326689364</v>
      </c>
      <c r="P972" s="35">
        <f t="shared" si="71"/>
        <v>52.132428901312593</v>
      </c>
      <c r="Q972" s="35">
        <f>('Batt Capacity and Sys Weight'!$I$4) + (B972*$T$2)</f>
        <v>54.104503000000001</v>
      </c>
      <c r="R972" s="35">
        <f>'Batt Capacity and Sys Weight'!$H$4</f>
        <v>92.5</v>
      </c>
    </row>
    <row r="973" spans="1:18" x14ac:dyDescent="0.3">
      <c r="A973" s="35" t="s">
        <v>116</v>
      </c>
      <c r="B973" s="35">
        <v>13.47</v>
      </c>
      <c r="C973" s="35">
        <v>540</v>
      </c>
      <c r="D973" s="35" t="s">
        <v>54</v>
      </c>
      <c r="E973" s="36" t="str" cm="1">
        <f t="array" ref="E973">GetNumber(D973,1)</f>
        <v>12</v>
      </c>
      <c r="F973" s="36" t="str" cm="1">
        <f t="array" ref="F973">GetNumber(D973,2)</f>
        <v>8</v>
      </c>
      <c r="G973" s="35">
        <v>18.5</v>
      </c>
      <c r="H973" s="35">
        <v>8963</v>
      </c>
      <c r="I973" s="35">
        <f>46.33*($T$2)</f>
        <v>92.66</v>
      </c>
      <c r="J973" s="35">
        <f>857.2*($T$2)</f>
        <v>1714.4</v>
      </c>
      <c r="K973" s="35">
        <f t="shared" si="74"/>
        <v>3.237284181054596</v>
      </c>
      <c r="L973" s="35">
        <f t="shared" si="75"/>
        <v>3.2376429958989856</v>
      </c>
      <c r="M973" s="35">
        <f>7.835*($T$2)</f>
        <v>15.67</v>
      </c>
      <c r="N973" s="35">
        <f>67.9*(5280/3600)</f>
        <v>99.586666666666673</v>
      </c>
      <c r="O973" s="35">
        <f t="shared" si="73"/>
        <v>0.91402239850676625</v>
      </c>
      <c r="P973" s="35">
        <f t="shared" si="71"/>
        <v>50.728243117125523</v>
      </c>
      <c r="Q973" s="35">
        <f>('Batt Capacity and Sys Weight'!$I$4) + (B973*$T$2)</f>
        <v>54.104503000000001</v>
      </c>
      <c r="R973" s="35">
        <f>'Batt Capacity and Sys Weight'!$H$4</f>
        <v>92.5</v>
      </c>
    </row>
    <row r="974" spans="1:18" x14ac:dyDescent="0.3">
      <c r="A974" s="35" t="s">
        <v>116</v>
      </c>
      <c r="B974" s="35">
        <v>13.47</v>
      </c>
      <c r="C974" s="35">
        <v>540</v>
      </c>
      <c r="D974" s="35" t="s">
        <v>25</v>
      </c>
      <c r="E974" s="36" t="str" cm="1">
        <f t="array" ref="E974">GetNumber(D974,1)</f>
        <v>13</v>
      </c>
      <c r="F974" s="36" t="str" cm="1">
        <f t="array" ref="F974">GetNumber(D974,2)</f>
        <v>8</v>
      </c>
      <c r="G974" s="35">
        <v>18.5</v>
      </c>
      <c r="H974" s="35">
        <v>8840</v>
      </c>
      <c r="I974" s="35">
        <f>52.34*($T$2)</f>
        <v>104.68</v>
      </c>
      <c r="J974" s="35">
        <f>968.3*($T$2)</f>
        <v>1936.6</v>
      </c>
      <c r="K974" s="35">
        <f t="shared" si="74"/>
        <v>2.8658473613549518</v>
      </c>
      <c r="L974" s="35">
        <f t="shared" si="75"/>
        <v>2.8658769583492547</v>
      </c>
      <c r="M974" s="35">
        <f>8.83375*($T$2)</f>
        <v>17.6675</v>
      </c>
      <c r="N974" s="35">
        <f>67*(5280/3600)</f>
        <v>98.266666666666666</v>
      </c>
      <c r="O974" s="35">
        <f t="shared" si="73"/>
        <v>0.91229474336465977</v>
      </c>
      <c r="P974" s="35">
        <f t="shared" si="71"/>
        <v>50.632358256738613</v>
      </c>
      <c r="Q974" s="35">
        <f>('Batt Capacity and Sys Weight'!$I$4) + (B974*$T$2)</f>
        <v>54.104503000000001</v>
      </c>
      <c r="R974" s="35">
        <f>'Batt Capacity and Sys Weight'!$H$4</f>
        <v>92.5</v>
      </c>
    </row>
    <row r="975" spans="1:18" x14ac:dyDescent="0.3">
      <c r="A975" s="35" t="s">
        <v>116</v>
      </c>
      <c r="B975" s="35">
        <v>13.47</v>
      </c>
      <c r="C975" s="35">
        <v>540</v>
      </c>
      <c r="D975" s="35" t="s">
        <v>26</v>
      </c>
      <c r="E975" s="36" t="str" cm="1">
        <f t="array" ref="E975">GetNumber(D975,1)</f>
        <v>14</v>
      </c>
      <c r="F975" s="36" t="str" cm="1">
        <f t="array" ref="F975">GetNumber(D975,2)</f>
        <v>7</v>
      </c>
      <c r="G975" s="35">
        <v>18.5</v>
      </c>
      <c r="H975" s="35">
        <v>8653</v>
      </c>
      <c r="I975" s="35">
        <f>61.98*($T$2)</f>
        <v>123.96</v>
      </c>
      <c r="J975" s="35">
        <f>1146.6*($T$2)</f>
        <v>2293.1999999999998</v>
      </c>
      <c r="K975" s="35">
        <f t="shared" si="74"/>
        <v>2.4201988487702777</v>
      </c>
      <c r="L975" s="35">
        <f t="shared" si="75"/>
        <v>2.4201355275895451</v>
      </c>
      <c r="M975" s="35">
        <f>10.460625*($T$2)</f>
        <v>20.921250000000001</v>
      </c>
      <c r="N975" s="35">
        <f>57.4*(5280/3600)</f>
        <v>84.186666666666653</v>
      </c>
      <c r="O975" s="35">
        <f t="shared" si="73"/>
        <v>0.91231684981684991</v>
      </c>
      <c r="P975" s="35">
        <f t="shared" si="71"/>
        <v>50.633585164835175</v>
      </c>
      <c r="Q975" s="35">
        <f>('Batt Capacity and Sys Weight'!$I$4) + (B975*$T$2)</f>
        <v>54.104503000000001</v>
      </c>
      <c r="R975" s="35">
        <f>'Batt Capacity and Sys Weight'!$H$4</f>
        <v>92.5</v>
      </c>
    </row>
    <row r="976" spans="1:18" x14ac:dyDescent="0.3">
      <c r="A976" s="35" t="s">
        <v>116</v>
      </c>
      <c r="B976" s="35">
        <v>13.47</v>
      </c>
      <c r="C976" s="35">
        <v>540</v>
      </c>
      <c r="D976" s="35" t="s">
        <v>56</v>
      </c>
      <c r="E976" s="36" t="str" cm="1">
        <f t="array" ref="E976">GetNumber(D976,1)</f>
        <v>11</v>
      </c>
      <c r="F976" s="36" cm="1">
        <f t="array" ref="F976">GetNumber(D976,2)+(GetNumber(D976,3)/10)</f>
        <v>8.5</v>
      </c>
      <c r="G976" s="35">
        <v>22.2</v>
      </c>
      <c r="H976" s="35">
        <v>10861</v>
      </c>
      <c r="I976" s="35">
        <f>44.22*($T$2)</f>
        <v>88.44</v>
      </c>
      <c r="J976" s="35">
        <f>981.7*($T$2)</f>
        <v>1963.4</v>
      </c>
      <c r="K976" s="35">
        <f t="shared" si="74"/>
        <v>3.052867474788632</v>
      </c>
      <c r="L976" s="35">
        <f t="shared" si="75"/>
        <v>3.0529172320217097</v>
      </c>
      <c r="M976" s="35">
        <f>6.444375*($T$2)</f>
        <v>12.88875</v>
      </c>
      <c r="N976" s="35">
        <f>87.4*(5280/3600)</f>
        <v>128.18666666666667</v>
      </c>
      <c r="O976" s="35">
        <f t="shared" si="73"/>
        <v>0.65645054497300592</v>
      </c>
      <c r="P976" s="35">
        <f t="shared" si="71"/>
        <v>39.347645665681981</v>
      </c>
      <c r="Q976" s="35">
        <f>('Batt Capacity and Sys Weight'!$I$5) + (B976*$T$2)</f>
        <v>58.513753000000001</v>
      </c>
      <c r="R976" s="35">
        <f>'Batt Capacity and Sys Weight'!$H$5</f>
        <v>99.9</v>
      </c>
    </row>
    <row r="977" spans="1:18" x14ac:dyDescent="0.3">
      <c r="A977" s="35" t="s">
        <v>116</v>
      </c>
      <c r="B977" s="35">
        <v>13.47</v>
      </c>
      <c r="C977" s="35">
        <v>540</v>
      </c>
      <c r="D977" s="35" t="s">
        <v>57</v>
      </c>
      <c r="E977" s="36" t="str" cm="1">
        <f t="array" ref="E977">GetNumber(D977,1)</f>
        <v>11</v>
      </c>
      <c r="F977" s="36" t="str" cm="1">
        <f t="array" ref="F977">GetNumber(D977,2)</f>
        <v>10</v>
      </c>
      <c r="G977" s="35">
        <v>22.2</v>
      </c>
      <c r="H977" s="35">
        <v>10704</v>
      </c>
      <c r="I977" s="35">
        <f>51.49*($T$2)</f>
        <v>102.98</v>
      </c>
      <c r="J977" s="35">
        <f>1143.1*($T$2)</f>
        <v>2286.1999999999998</v>
      </c>
      <c r="K977" s="35">
        <f t="shared" si="74"/>
        <v>2.6218178637039631</v>
      </c>
      <c r="L977" s="35">
        <f t="shared" si="75"/>
        <v>2.6218683239463973</v>
      </c>
      <c r="M977" s="35">
        <f>6.0475*($T$2)</f>
        <v>12.095000000000001</v>
      </c>
      <c r="N977" s="35">
        <f>101.4*(5280/3600)</f>
        <v>148.72</v>
      </c>
      <c r="O977" s="35">
        <f t="shared" si="73"/>
        <v>0.52904382818651052</v>
      </c>
      <c r="P977" s="35">
        <f t="shared" ref="P977:P1040" si="76">M977*K977</f>
        <v>31.710887061499434</v>
      </c>
      <c r="Q977" s="35">
        <f>('Batt Capacity and Sys Weight'!$I$5) + (B977*$T$2)</f>
        <v>58.513753000000001</v>
      </c>
      <c r="R977" s="35">
        <f>'Batt Capacity and Sys Weight'!$H$5</f>
        <v>99.9</v>
      </c>
    </row>
    <row r="978" spans="1:18" x14ac:dyDescent="0.3">
      <c r="A978" s="35" t="s">
        <v>116</v>
      </c>
      <c r="B978" s="35">
        <v>13.47</v>
      </c>
      <c r="C978" s="35">
        <v>540</v>
      </c>
      <c r="D978" s="35" t="s">
        <v>32</v>
      </c>
      <c r="E978" s="36" t="str" cm="1">
        <f t="array" ref="E978">GetNumber(D978,1)</f>
        <v>12</v>
      </c>
      <c r="F978" s="36" t="str" cm="1">
        <f t="array" ref="F978">GetNumber(D978,2)</f>
        <v>8</v>
      </c>
      <c r="G978" s="35">
        <v>22.2</v>
      </c>
      <c r="H978" s="35">
        <v>10685</v>
      </c>
      <c r="I978" s="35">
        <f>52.68*($T$2)</f>
        <v>105.36</v>
      </c>
      <c r="J978" s="35">
        <f>1169.6*($T$2)</f>
        <v>2339.1999999999998</v>
      </c>
      <c r="K978" s="35">
        <f t="shared" si="74"/>
        <v>2.5624145006839951</v>
      </c>
      <c r="L978" s="35">
        <f t="shared" si="75"/>
        <v>2.5626423690205011</v>
      </c>
      <c r="M978" s="35">
        <f>7.36125*($T$2)</f>
        <v>14.7225</v>
      </c>
      <c r="N978" s="35">
        <f>80.9*(5280/3600)</f>
        <v>118.65333333333334</v>
      </c>
      <c r="O978" s="35">
        <f t="shared" si="73"/>
        <v>0.62938183994528052</v>
      </c>
      <c r="P978" s="35">
        <f t="shared" si="76"/>
        <v>37.725147486320118</v>
      </c>
      <c r="Q978" s="35">
        <f>('Batt Capacity and Sys Weight'!$I$5) + (B978*$T$2)</f>
        <v>58.513753000000001</v>
      </c>
      <c r="R978" s="35">
        <f>'Batt Capacity and Sys Weight'!$H$5</f>
        <v>99.9</v>
      </c>
    </row>
    <row r="979" spans="1:18" x14ac:dyDescent="0.3">
      <c r="A979" s="35" t="s">
        <v>116</v>
      </c>
      <c r="B979" s="35">
        <v>13.47</v>
      </c>
      <c r="C979" s="35">
        <v>540</v>
      </c>
      <c r="D979" s="35" t="s">
        <v>33</v>
      </c>
      <c r="E979" s="36" t="str" cm="1">
        <f t="array" ref="E979">GetNumber(D979,1)</f>
        <v>12</v>
      </c>
      <c r="F979" s="36" t="str" cm="1">
        <f t="array" ref="F979">GetNumber(D979,2)</f>
        <v>10</v>
      </c>
      <c r="G979" s="35">
        <v>22.2</v>
      </c>
      <c r="H979" s="35">
        <v>10380</v>
      </c>
      <c r="I979" s="35">
        <f>65.84*($T$2)</f>
        <v>131.68</v>
      </c>
      <c r="J979" s="35">
        <f>1461.7*($T$2)</f>
        <v>2923.4</v>
      </c>
      <c r="K979" s="35">
        <f t="shared" si="74"/>
        <v>2.0503523294793733</v>
      </c>
      <c r="L979" s="35">
        <f t="shared" si="75"/>
        <v>2.0504252733900361</v>
      </c>
      <c r="M979" s="35">
        <f>7.749375*($T$2)</f>
        <v>15.498749999999999</v>
      </c>
      <c r="N979" s="35">
        <f>98.3*(5280/3600)</f>
        <v>144.17333333333332</v>
      </c>
      <c r="O979" s="35">
        <f t="shared" si="73"/>
        <v>0.53016179790654716</v>
      </c>
      <c r="P979" s="35">
        <f t="shared" si="76"/>
        <v>31.777898166518437</v>
      </c>
      <c r="Q979" s="35">
        <f>('Batt Capacity and Sys Weight'!$I$5) + (B979*$T$2)</f>
        <v>58.513753000000001</v>
      </c>
      <c r="R979" s="35">
        <f>'Batt Capacity and Sys Weight'!$H$5</f>
        <v>99.9</v>
      </c>
    </row>
    <row r="980" spans="1:18" x14ac:dyDescent="0.3">
      <c r="A980" s="35" t="s">
        <v>116</v>
      </c>
      <c r="B980" s="35">
        <v>13.47</v>
      </c>
      <c r="C980" s="35">
        <v>540</v>
      </c>
      <c r="D980" s="35" t="s">
        <v>59</v>
      </c>
      <c r="E980" s="36" t="str" cm="1">
        <f t="array" ref="E980">GetNumber(D980,1)</f>
        <v>13</v>
      </c>
      <c r="F980" s="36" cm="1">
        <f t="array" ref="F980">GetNumber(D980,2)+(GetNumber(D980,3)/10)</f>
        <v>5.5</v>
      </c>
      <c r="G980" s="35">
        <v>22.2</v>
      </c>
      <c r="H980" s="35">
        <v>10860</v>
      </c>
      <c r="I980" s="35">
        <f>44.07*($T$2)</f>
        <v>88.14</v>
      </c>
      <c r="J980" s="35">
        <f>978.3*($T$2)</f>
        <v>1956.6</v>
      </c>
      <c r="K980" s="35">
        <f t="shared" si="74"/>
        <v>3.0634774609015643</v>
      </c>
      <c r="L980" s="35">
        <f t="shared" si="75"/>
        <v>3.0633083730428865</v>
      </c>
      <c r="M980" s="35">
        <f>8.884375*($T$2)</f>
        <v>17.768750000000001</v>
      </c>
      <c r="N980" s="35">
        <f>56.6*(5280/3600)</f>
        <v>83.013333333333335</v>
      </c>
      <c r="O980" s="35">
        <f t="shared" si="73"/>
        <v>0.90814422978636422</v>
      </c>
      <c r="P980" s="35">
        <f t="shared" si="76"/>
        <v>54.434165133394671</v>
      </c>
      <c r="Q980" s="35">
        <f>('Batt Capacity and Sys Weight'!$I$5) + (B980*$T$2)</f>
        <v>58.513753000000001</v>
      </c>
      <c r="R980" s="35">
        <f>'Batt Capacity and Sys Weight'!$H$5</f>
        <v>99.9</v>
      </c>
    </row>
    <row r="981" spans="1:18" x14ac:dyDescent="0.3">
      <c r="A981" s="35" t="s">
        <v>116</v>
      </c>
      <c r="B981" s="35">
        <v>13.47</v>
      </c>
      <c r="C981" s="35">
        <v>540</v>
      </c>
      <c r="D981" s="35" t="s">
        <v>35</v>
      </c>
      <c r="E981" s="36" t="str" cm="1">
        <f t="array" ref="E981">GetNumber(D981,1)</f>
        <v>13</v>
      </c>
      <c r="F981" s="36" cm="1">
        <f t="array" ref="F981">GetNumber(D981,2)+(GetNumber(D981,3)/10)</f>
        <v>6.5</v>
      </c>
      <c r="G981" s="35">
        <v>22.2</v>
      </c>
      <c r="H981" s="35">
        <v>10463</v>
      </c>
      <c r="I981" s="35">
        <f>63.31*($T$2)</f>
        <v>126.62</v>
      </c>
      <c r="J981" s="35">
        <f>1405.4*($T$2)</f>
        <v>2810.8</v>
      </c>
      <c r="K981" s="35">
        <f t="shared" si="74"/>
        <v>2.1324889711114272</v>
      </c>
      <c r="L981" s="35">
        <f t="shared" si="75"/>
        <v>2.1323645553625017</v>
      </c>
      <c r="M981" s="35">
        <f>9.4625*($T$2)</f>
        <v>18.925000000000001</v>
      </c>
      <c r="N981" s="35">
        <f>64.4*(5280/3600)</f>
        <v>94.453333333333333</v>
      </c>
      <c r="O981" s="35">
        <f t="shared" si="73"/>
        <v>0.67329585883022625</v>
      </c>
      <c r="P981" s="35">
        <f t="shared" si="76"/>
        <v>40.357353778283759</v>
      </c>
      <c r="Q981" s="35">
        <f>('Batt Capacity and Sys Weight'!$I$5) + (B981*$T$2)</f>
        <v>58.513753000000001</v>
      </c>
      <c r="R981" s="35">
        <f>'Batt Capacity and Sys Weight'!$H$5</f>
        <v>99.9</v>
      </c>
    </row>
    <row r="982" spans="1:18" x14ac:dyDescent="0.3">
      <c r="A982" s="35" t="s">
        <v>116</v>
      </c>
      <c r="B982" s="35">
        <v>13.47</v>
      </c>
      <c r="C982" s="35">
        <v>540</v>
      </c>
      <c r="D982" s="35" t="s">
        <v>36</v>
      </c>
      <c r="E982" s="36" t="str" cm="1">
        <f t="array" ref="E982">GetNumber(D982,1)</f>
        <v>13</v>
      </c>
      <c r="F982" s="36" t="str" cm="1">
        <f t="array" ref="F982">GetNumber(D982,2)</f>
        <v>8</v>
      </c>
      <c r="G982" s="35">
        <v>22.2</v>
      </c>
      <c r="H982" s="35">
        <v>10380</v>
      </c>
      <c r="I982" s="35">
        <f>67.19*($T$2)</f>
        <v>134.38</v>
      </c>
      <c r="J982" s="35">
        <f>1491.7*($T$2)</f>
        <v>2983.4</v>
      </c>
      <c r="K982" s="35">
        <f t="shared" si="74"/>
        <v>2.0091171147013474</v>
      </c>
      <c r="L982" s="35">
        <f t="shared" si="75"/>
        <v>2.0092275636255392</v>
      </c>
      <c r="M982" s="35">
        <f>10.090625*($T$2)</f>
        <v>20.181249999999999</v>
      </c>
      <c r="N982" s="35">
        <f>78.6*(5280/3600)</f>
        <v>115.27999999999999</v>
      </c>
      <c r="O982" s="35">
        <f t="shared" si="73"/>
        <v>0.6764513642153247</v>
      </c>
      <c r="P982" s="35">
        <f t="shared" si="76"/>
        <v>40.546494771066563</v>
      </c>
      <c r="Q982" s="35">
        <f>('Batt Capacity and Sys Weight'!$I$5) + (B982*$T$2)</f>
        <v>58.513753000000001</v>
      </c>
      <c r="R982" s="35">
        <f>'Batt Capacity and Sys Weight'!$H$5</f>
        <v>99.9</v>
      </c>
    </row>
    <row r="983" spans="1:18" x14ac:dyDescent="0.3">
      <c r="A983" s="35" t="s">
        <v>116</v>
      </c>
      <c r="B983" s="35">
        <v>13.47</v>
      </c>
      <c r="C983" s="35">
        <v>540</v>
      </c>
      <c r="D983" s="35" t="s">
        <v>38</v>
      </c>
      <c r="E983" s="36" t="str" cm="1">
        <f t="array" ref="E983">GetNumber(D983,1)</f>
        <v>14</v>
      </c>
      <c r="F983" s="36" t="str" cm="1">
        <f t="array" ref="F983">GetNumber(D983,2)</f>
        <v>6</v>
      </c>
      <c r="G983" s="35">
        <v>22.2</v>
      </c>
      <c r="H983" s="35">
        <v>10645</v>
      </c>
      <c r="I983" s="35">
        <f>55.26*($T$2)</f>
        <v>110.52</v>
      </c>
      <c r="J983" s="35">
        <f>1226.7*($T$2)</f>
        <v>2453.4</v>
      </c>
      <c r="K983" s="35">
        <f t="shared" si="74"/>
        <v>2.4431401320616288</v>
      </c>
      <c r="L983" s="35">
        <f t="shared" si="75"/>
        <v>2.44299674267101</v>
      </c>
      <c r="M983" s="35">
        <f>10.890625*($T$2)</f>
        <v>21.78125</v>
      </c>
      <c r="N983" s="35">
        <f>60.5*(5280/3600)</f>
        <v>88.73333333333332</v>
      </c>
      <c r="O983" s="35">
        <f t="shared" si="73"/>
        <v>0.8877985652563789</v>
      </c>
      <c r="P983" s="35">
        <f t="shared" si="76"/>
        <v>53.214646001467351</v>
      </c>
      <c r="Q983" s="35">
        <f>('Batt Capacity and Sys Weight'!$I$5) + (B983*$T$2)</f>
        <v>58.513753000000001</v>
      </c>
      <c r="R983" s="35">
        <f>'Batt Capacity and Sys Weight'!$H$5</f>
        <v>99.9</v>
      </c>
    </row>
    <row r="984" spans="1:18" x14ac:dyDescent="0.3">
      <c r="A984" s="35" t="s">
        <v>116</v>
      </c>
      <c r="B984" s="35">
        <v>13.47</v>
      </c>
      <c r="C984" s="35">
        <v>540</v>
      </c>
      <c r="D984" s="35" t="s">
        <v>60</v>
      </c>
      <c r="E984" s="36" t="str" cm="1">
        <f t="array" ref="E984">GetNumber(D984,1)</f>
        <v>15</v>
      </c>
      <c r="F984" s="36" t="str" cm="1">
        <f t="array" ref="F984">GetNumber(D984,2)</f>
        <v>4</v>
      </c>
      <c r="G984" s="35">
        <v>22.2</v>
      </c>
      <c r="H984" s="35">
        <v>10519</v>
      </c>
      <c r="I984" s="35">
        <f>61.46*($T$2)</f>
        <v>122.92</v>
      </c>
      <c r="J984" s="35">
        <f>1364.3*($T$2)</f>
        <v>2728.6</v>
      </c>
      <c r="K984" s="35">
        <f t="shared" si="74"/>
        <v>2.1967309242835156</v>
      </c>
      <c r="L984" s="35">
        <f t="shared" si="75"/>
        <v>2.1965506020175725</v>
      </c>
      <c r="M984" s="35">
        <f>12.206875*($T$2)</f>
        <v>24.41375</v>
      </c>
      <c r="N984" s="35">
        <f>39.8*(5280/3600)</f>
        <v>58.373333333333328</v>
      </c>
      <c r="O984" s="35">
        <f t="shared" si="73"/>
        <v>0.89473539544088543</v>
      </c>
      <c r="P984" s="35">
        <f t="shared" si="76"/>
        <v>53.630439602726682</v>
      </c>
      <c r="Q984" s="35">
        <f>('Batt Capacity and Sys Weight'!$I$5) + (B984*$T$2)</f>
        <v>58.513753000000001</v>
      </c>
      <c r="R984" s="35">
        <f>'Batt Capacity and Sys Weight'!$H$5</f>
        <v>99.9</v>
      </c>
    </row>
    <row r="985" spans="1:18" x14ac:dyDescent="0.3">
      <c r="A985" s="35" t="s">
        <v>116</v>
      </c>
      <c r="B985" s="35">
        <v>13.47</v>
      </c>
      <c r="C985" s="35">
        <v>540</v>
      </c>
      <c r="D985" s="35" t="s">
        <v>64</v>
      </c>
      <c r="E985" s="36" t="str" cm="1">
        <f t="array" ref="E985">GetNumber(D985,1)</f>
        <v>12</v>
      </c>
      <c r="F985" s="36" t="str" cm="1">
        <f t="array" ref="F985">GetNumber(D985,2)</f>
        <v>8</v>
      </c>
      <c r="G985" s="35">
        <v>22.2</v>
      </c>
      <c r="H985" s="35">
        <v>10674</v>
      </c>
      <c r="I985" s="35">
        <f>53.15*($T$2)</f>
        <v>106.3</v>
      </c>
      <c r="J985" s="35">
        <f>1179.9*($T$2)</f>
        <v>2359.8000000000002</v>
      </c>
      <c r="K985" s="35">
        <f t="shared" si="74"/>
        <v>2.5400457665903891</v>
      </c>
      <c r="L985" s="35">
        <f t="shared" si="75"/>
        <v>2.5399811853245531</v>
      </c>
      <c r="M985" s="35">
        <f>6.55375*($T$2)</f>
        <v>13.1075</v>
      </c>
      <c r="N985" s="35">
        <f>80.9*(5280/3600)</f>
        <v>118.65333333333334</v>
      </c>
      <c r="O985" s="35">
        <f t="shared" si="73"/>
        <v>0.55544961437409945</v>
      </c>
      <c r="P985" s="35">
        <f t="shared" si="76"/>
        <v>33.293649885583527</v>
      </c>
      <c r="Q985" s="35">
        <f>('Batt Capacity and Sys Weight'!$I$5) + (B985*$T$2)</f>
        <v>58.513753000000001</v>
      </c>
      <c r="R985" s="35">
        <f>'Batt Capacity and Sys Weight'!$H$5</f>
        <v>99.9</v>
      </c>
    </row>
    <row r="986" spans="1:18" x14ac:dyDescent="0.3">
      <c r="A986" s="35" t="s">
        <v>116</v>
      </c>
      <c r="B986" s="35">
        <v>13.47</v>
      </c>
      <c r="C986" s="35">
        <v>540</v>
      </c>
      <c r="D986" s="35" t="s">
        <v>65</v>
      </c>
      <c r="E986" s="36" t="str" cm="1">
        <f t="array" ref="E986">GetNumber(D986,1)</f>
        <v>13</v>
      </c>
      <c r="F986" s="36" t="str" cm="1">
        <f t="array" ref="F986">GetNumber(D986,2)</f>
        <v>6</v>
      </c>
      <c r="G986" s="35">
        <v>22.2</v>
      </c>
      <c r="H986" s="35">
        <v>10875</v>
      </c>
      <c r="I986" s="35">
        <f>44.13*($T$2)</f>
        <v>88.26</v>
      </c>
      <c r="J986" s="35">
        <f>979.6*($T$2)</f>
        <v>1959.2</v>
      </c>
      <c r="K986" s="35">
        <f t="shared" si="74"/>
        <v>3.0594120048999591</v>
      </c>
      <c r="L986" s="35">
        <f t="shared" si="75"/>
        <v>3.0591434398368458</v>
      </c>
      <c r="M986" s="35">
        <f>8.45375*($T$2)</f>
        <v>16.907499999999999</v>
      </c>
      <c r="N986" s="35">
        <f>61.8*(5280/3600)</f>
        <v>90.639999999999986</v>
      </c>
      <c r="O986" s="35">
        <f t="shared" si="73"/>
        <v>0.86297978766843608</v>
      </c>
      <c r="P986" s="35">
        <f t="shared" si="76"/>
        <v>51.727008472846059</v>
      </c>
      <c r="Q986" s="35">
        <f>('Batt Capacity and Sys Weight'!$I$5) + (B986*$T$2)</f>
        <v>58.513753000000001</v>
      </c>
      <c r="R986" s="35">
        <f>'Batt Capacity and Sys Weight'!$H$5</f>
        <v>99.9</v>
      </c>
    </row>
    <row r="987" spans="1:18" x14ac:dyDescent="0.3">
      <c r="A987" s="35" t="s">
        <v>116</v>
      </c>
      <c r="B987" s="35">
        <v>13.47</v>
      </c>
      <c r="C987" s="35">
        <v>540</v>
      </c>
      <c r="D987" s="35" t="s">
        <v>45</v>
      </c>
      <c r="E987" s="36" t="str" cm="1">
        <f t="array" ref="E987">GetNumber(D987,1)</f>
        <v>13</v>
      </c>
      <c r="F987" s="36" t="str" cm="1">
        <f t="array" ref="F987">GetNumber(D987,2)</f>
        <v>8</v>
      </c>
      <c r="G987" s="35">
        <v>22.2</v>
      </c>
      <c r="H987" s="35">
        <v>10417</v>
      </c>
      <c r="I987" s="35">
        <f>65.57*($T$2)</f>
        <v>131.13999999999999</v>
      </c>
      <c r="J987" s="35">
        <f>1455.6*($T$2)</f>
        <v>2911.2</v>
      </c>
      <c r="K987" s="35">
        <f t="shared" si="74"/>
        <v>2.0589447650453425</v>
      </c>
      <c r="L987" s="35">
        <f t="shared" si="75"/>
        <v>2.0588683849321336</v>
      </c>
      <c r="M987" s="35">
        <f>8.9075*($T$2)</f>
        <v>17.815000000000001</v>
      </c>
      <c r="N987" s="35">
        <f>78.9*(5280/3600)</f>
        <v>115.72</v>
      </c>
      <c r="O987" s="35">
        <f t="shared" si="73"/>
        <v>0.61194696345149779</v>
      </c>
      <c r="P987" s="35">
        <f t="shared" si="76"/>
        <v>36.680100989282778</v>
      </c>
      <c r="Q987" s="35">
        <f>('Batt Capacity and Sys Weight'!$I$5) + (B987*$T$2)</f>
        <v>58.513753000000001</v>
      </c>
      <c r="R987" s="35">
        <f>'Batt Capacity and Sys Weight'!$H$5</f>
        <v>99.9</v>
      </c>
    </row>
    <row r="988" spans="1:18" x14ac:dyDescent="0.3">
      <c r="A988" s="35" t="s">
        <v>116</v>
      </c>
      <c r="B988" s="35">
        <v>13.47</v>
      </c>
      <c r="C988" s="35">
        <v>540</v>
      </c>
      <c r="D988" s="35" t="s">
        <v>47</v>
      </c>
      <c r="E988" s="36" t="str" cm="1">
        <f t="array" ref="E988">GetNumber(D988,1)</f>
        <v>14</v>
      </c>
      <c r="F988" s="36" t="str" cm="1">
        <f t="array" ref="F988">GetNumber(D988,2)</f>
        <v>6</v>
      </c>
      <c r="G988" s="35">
        <v>22.2</v>
      </c>
      <c r="H988" s="35">
        <v>10481</v>
      </c>
      <c r="I988" s="35">
        <f>61.51*($T$2)</f>
        <v>123.02</v>
      </c>
      <c r="J988" s="35">
        <f>1365.6*($T$2)</f>
        <v>2731.2</v>
      </c>
      <c r="K988" s="35">
        <f t="shared" si="74"/>
        <v>2.1946397188049214</v>
      </c>
      <c r="L988" s="35">
        <f t="shared" si="75"/>
        <v>2.1947650788489677</v>
      </c>
      <c r="M988" s="35">
        <f>10.54375*($T$2)</f>
        <v>21.087499999999999</v>
      </c>
      <c r="N988" s="35">
        <f>59.6*(5280/3600)</f>
        <v>87.413333333333327</v>
      </c>
      <c r="O988" s="35">
        <f t="shared" si="73"/>
        <v>0.77209651435266546</v>
      </c>
      <c r="P988" s="35">
        <f t="shared" si="76"/>
        <v>46.279465070298777</v>
      </c>
      <c r="Q988" s="35">
        <f>('Batt Capacity and Sys Weight'!$I$5) + (B988*$T$2)</f>
        <v>58.513753000000001</v>
      </c>
      <c r="R988" s="35">
        <f>'Batt Capacity and Sys Weight'!$H$5</f>
        <v>99.9</v>
      </c>
    </row>
    <row r="989" spans="1:18" x14ac:dyDescent="0.3">
      <c r="A989" s="35" t="s">
        <v>116</v>
      </c>
      <c r="B989" s="35">
        <v>13.47</v>
      </c>
      <c r="C989" s="35">
        <v>540</v>
      </c>
      <c r="D989" s="35" t="s">
        <v>54</v>
      </c>
      <c r="E989" s="36" t="str" cm="1">
        <f t="array" ref="E989">GetNumber(D989,1)</f>
        <v>12</v>
      </c>
      <c r="F989" s="36" t="str" cm="1">
        <f t="array" ref="F989">GetNumber(D989,2)</f>
        <v>8</v>
      </c>
      <c r="G989" s="35">
        <v>22.2</v>
      </c>
      <c r="H989" s="35">
        <v>10443</v>
      </c>
      <c r="I989" s="35">
        <f>63.47*($T$2)</f>
        <v>126.94</v>
      </c>
      <c r="J989" s="35">
        <f>1409.1*($T$2)</f>
        <v>2818.2</v>
      </c>
      <c r="K989" s="35">
        <f t="shared" si="74"/>
        <v>2.1268895039386844</v>
      </c>
      <c r="L989" s="35">
        <f t="shared" si="75"/>
        <v>2.1269891287222311</v>
      </c>
      <c r="M989" s="35">
        <f>10.760625*($T$2)</f>
        <v>21.521249999999998</v>
      </c>
      <c r="N989" s="35">
        <f>79.1*(5280/3600)</f>
        <v>116.01333333333332</v>
      </c>
      <c r="O989" s="35">
        <f t="shared" si="73"/>
        <v>0.76365233127528209</v>
      </c>
      <c r="P989" s="35">
        <f t="shared" si="76"/>
        <v>45.773320736640407</v>
      </c>
      <c r="Q989" s="35">
        <f>('Batt Capacity and Sys Weight'!$I$5) + (B989*$T$2)</f>
        <v>58.513753000000001</v>
      </c>
      <c r="R989" s="35">
        <f>'Batt Capacity and Sys Weight'!$H$5</f>
        <v>99.9</v>
      </c>
    </row>
    <row r="990" spans="1:18" x14ac:dyDescent="0.3">
      <c r="A990" s="35" t="s">
        <v>117</v>
      </c>
      <c r="B990" s="35">
        <v>13.51</v>
      </c>
      <c r="C990" s="35">
        <v>690</v>
      </c>
      <c r="D990" s="35" t="s">
        <v>33</v>
      </c>
      <c r="E990" s="36" t="str" cm="1">
        <f t="array" ref="E990">GetNumber(D990,1)</f>
        <v>12</v>
      </c>
      <c r="F990" s="36" t="str" cm="1">
        <f t="array" ref="F990">GetNumber(D990,2)</f>
        <v>10</v>
      </c>
      <c r="G990" s="35">
        <v>14.8</v>
      </c>
      <c r="H990" s="35">
        <v>8957</v>
      </c>
      <c r="I990" s="35">
        <f>56.75*($T$2)</f>
        <v>113.5</v>
      </c>
      <c r="J990" s="35">
        <f>839.9*($T$2)</f>
        <v>1679.8</v>
      </c>
      <c r="K990" s="35">
        <f t="shared" si="74"/>
        <v>3.4889867841409696</v>
      </c>
      <c r="L990" s="35">
        <f t="shared" si="75"/>
        <v>3.4889867841409696</v>
      </c>
      <c r="M990" s="35">
        <f>5.731875*($T$2)</f>
        <v>11.463749999999999</v>
      </c>
      <c r="N990" s="35">
        <f>84.8*(5280/3600)</f>
        <v>124.37333333333332</v>
      </c>
      <c r="O990" s="35">
        <f t="shared" si="73"/>
        <v>0.6824473151565662</v>
      </c>
      <c r="P990" s="35">
        <f t="shared" si="76"/>
        <v>39.996872246696036</v>
      </c>
      <c r="Q990" s="35">
        <f>('Batt Capacity and Sys Weight'!$I$3) + (B990*$T$2)</f>
        <v>53.408474999999996</v>
      </c>
      <c r="R990" s="35">
        <f>'Batt Capacity and Sys Weight'!$H$3</f>
        <v>97.68</v>
      </c>
    </row>
    <row r="991" spans="1:18" x14ac:dyDescent="0.3">
      <c r="A991" s="35" t="s">
        <v>117</v>
      </c>
      <c r="B991" s="35">
        <v>13.51</v>
      </c>
      <c r="C991" s="35">
        <v>690</v>
      </c>
      <c r="D991" s="35" t="s">
        <v>34</v>
      </c>
      <c r="E991" s="36" t="str" cm="1">
        <f t="array" ref="E991">GetNumber(D991,1)</f>
        <v>12</v>
      </c>
      <c r="F991" s="36" t="str" cm="1">
        <f t="array" ref="F991">GetNumber(D991,2)</f>
        <v>12</v>
      </c>
      <c r="G991" s="35">
        <v>14.8</v>
      </c>
      <c r="H991" s="35">
        <v>8811</v>
      </c>
      <c r="I991" s="35">
        <f>63.91*($T$2)</f>
        <v>127.82</v>
      </c>
      <c r="J991" s="35">
        <f>945.9*($T$2)</f>
        <v>1891.8</v>
      </c>
      <c r="K991" s="35">
        <f t="shared" si="74"/>
        <v>3.0980019029495725</v>
      </c>
      <c r="L991" s="35">
        <f t="shared" si="75"/>
        <v>3.0981067125645443</v>
      </c>
      <c r="M991" s="35">
        <f>5.3175*($T$2)</f>
        <v>10.635</v>
      </c>
      <c r="N991" s="35">
        <f>100.1*(5280/3600)</f>
        <v>146.8133333333333</v>
      </c>
      <c r="O991" s="35">
        <f t="shared" si="73"/>
        <v>0.56216301934665391</v>
      </c>
      <c r="P991" s="35">
        <f t="shared" si="76"/>
        <v>32.947250237868701</v>
      </c>
      <c r="Q991" s="35">
        <f>('Batt Capacity and Sys Weight'!$I$3) + (B991*$T$2)</f>
        <v>53.408474999999996</v>
      </c>
      <c r="R991" s="35">
        <f>'Batt Capacity and Sys Weight'!$H$3</f>
        <v>97.68</v>
      </c>
    </row>
    <row r="992" spans="1:18" x14ac:dyDescent="0.3">
      <c r="A992" s="35" t="s">
        <v>117</v>
      </c>
      <c r="B992" s="35">
        <v>13.51</v>
      </c>
      <c r="C992" s="35">
        <v>690</v>
      </c>
      <c r="D992" s="35" t="s">
        <v>35</v>
      </c>
      <c r="E992" s="36" t="str" cm="1">
        <f t="array" ref="E992">GetNumber(D992,1)</f>
        <v>13</v>
      </c>
      <c r="F992" s="36" cm="1">
        <f t="array" ref="F992">GetNumber(D992,2)+(GetNumber(D992,3)/10)</f>
        <v>6.5</v>
      </c>
      <c r="G992" s="35">
        <v>14.8</v>
      </c>
      <c r="H992" s="35">
        <v>9039</v>
      </c>
      <c r="I992" s="35">
        <f>51.89*($T$2)</f>
        <v>103.78</v>
      </c>
      <c r="J992" s="35">
        <f>767.9*($T$2)</f>
        <v>1535.8</v>
      </c>
      <c r="K992" s="35">
        <f t="shared" si="74"/>
        <v>3.8161218908712073</v>
      </c>
      <c r="L992" s="35">
        <f t="shared" si="75"/>
        <v>3.8157641164000773</v>
      </c>
      <c r="M992" s="35">
        <f>7.189375*($T$2)</f>
        <v>14.37875</v>
      </c>
      <c r="N992" s="35">
        <f>55.6*(5280/3600)</f>
        <v>81.546666666666667</v>
      </c>
      <c r="O992" s="35">
        <f t="shared" si="73"/>
        <v>0.93623844250553467</v>
      </c>
      <c r="P992" s="35">
        <f t="shared" si="76"/>
        <v>54.871062638364371</v>
      </c>
      <c r="Q992" s="35">
        <f>('Batt Capacity and Sys Weight'!$I$3) + (B992*$T$2)</f>
        <v>53.408474999999996</v>
      </c>
      <c r="R992" s="35">
        <f>'Batt Capacity and Sys Weight'!$H$3</f>
        <v>97.68</v>
      </c>
    </row>
    <row r="993" spans="1:18" x14ac:dyDescent="0.3">
      <c r="A993" s="35" t="s">
        <v>117</v>
      </c>
      <c r="B993" s="35">
        <v>13.51</v>
      </c>
      <c r="C993" s="35">
        <v>690</v>
      </c>
      <c r="D993" s="35" t="s">
        <v>36</v>
      </c>
      <c r="E993" s="36" t="str" cm="1">
        <f t="array" ref="E993">GetNumber(D993,1)</f>
        <v>13</v>
      </c>
      <c r="F993" s="36" t="str" cm="1">
        <f t="array" ref="F993">GetNumber(D993,2)</f>
        <v>8</v>
      </c>
      <c r="G993" s="35">
        <v>14.8</v>
      </c>
      <c r="H993" s="35">
        <v>8939</v>
      </c>
      <c r="I993" s="35">
        <f>57.64*($T$2)</f>
        <v>115.28</v>
      </c>
      <c r="J993" s="35">
        <f>853*($T$2)</f>
        <v>1706</v>
      </c>
      <c r="K993" s="35">
        <f t="shared" si="74"/>
        <v>3.4354044548651821</v>
      </c>
      <c r="L993" s="35">
        <f t="shared" si="75"/>
        <v>3.4351145038167941</v>
      </c>
      <c r="M993" s="35">
        <f>7.2775*($T$2)</f>
        <v>14.555</v>
      </c>
      <c r="N993" s="35">
        <f>67.7*(5280/3600)</f>
        <v>99.293333333333337</v>
      </c>
      <c r="O993" s="35">
        <f t="shared" si="73"/>
        <v>0.85316529894490023</v>
      </c>
      <c r="P993" s="35">
        <f t="shared" si="76"/>
        <v>50.002311840562726</v>
      </c>
      <c r="Q993" s="35">
        <f>('Batt Capacity and Sys Weight'!$I$3) + (B993*$T$2)</f>
        <v>53.408474999999996</v>
      </c>
      <c r="R993" s="35">
        <f>'Batt Capacity and Sys Weight'!$H$3</f>
        <v>97.68</v>
      </c>
    </row>
    <row r="994" spans="1:18" x14ac:dyDescent="0.3">
      <c r="A994" s="35" t="s">
        <v>117</v>
      </c>
      <c r="B994" s="35">
        <v>13.51</v>
      </c>
      <c r="C994" s="35">
        <v>690</v>
      </c>
      <c r="D994" s="35" t="s">
        <v>37</v>
      </c>
      <c r="E994" s="36" t="str" cm="1">
        <f t="array" ref="E994">GetNumber(D994,1)</f>
        <v>13</v>
      </c>
      <c r="F994" s="36" t="str" cm="1">
        <f t="array" ref="F994">GetNumber(D994,2)</f>
        <v>10</v>
      </c>
      <c r="G994" s="35">
        <v>14.8</v>
      </c>
      <c r="H994" s="35">
        <v>8456</v>
      </c>
      <c r="I994" s="35">
        <f>76.32*($T$2)</f>
        <v>152.63999999999999</v>
      </c>
      <c r="J994" s="35">
        <f>1129.6*($T$2)</f>
        <v>2259.1999999999998</v>
      </c>
      <c r="K994" s="35">
        <f t="shared" si="74"/>
        <v>2.5941926345609065</v>
      </c>
      <c r="L994" s="35">
        <f t="shared" si="75"/>
        <v>2.5943396226415096</v>
      </c>
      <c r="M994" s="35">
        <f>6.770625*($T$2)</f>
        <v>13.54125</v>
      </c>
      <c r="N994" s="35">
        <f>80.1*(5280/3600)</f>
        <v>117.47999999999999</v>
      </c>
      <c r="O994" s="35">
        <f t="shared" si="73"/>
        <v>0.5993825247875354</v>
      </c>
      <c r="P994" s="35">
        <f t="shared" si="76"/>
        <v>35.128611012747875</v>
      </c>
      <c r="Q994" s="35">
        <f>('Batt Capacity and Sys Weight'!$I$3) + (B994*$T$2)</f>
        <v>53.408474999999996</v>
      </c>
      <c r="R994" s="35">
        <f>'Batt Capacity and Sys Weight'!$H$3</f>
        <v>97.68</v>
      </c>
    </row>
    <row r="995" spans="1:18" x14ac:dyDescent="0.3">
      <c r="A995" s="35" t="s">
        <v>117</v>
      </c>
      <c r="B995" s="35">
        <v>13.51</v>
      </c>
      <c r="C995" s="35">
        <v>690</v>
      </c>
      <c r="D995" s="35" t="s">
        <v>115</v>
      </c>
      <c r="E995" s="36" t="str" cm="1">
        <f t="array" ref="E995">GetNumber(D995,1)</f>
        <v>13</v>
      </c>
      <c r="F995" s="36" t="str" cm="1">
        <f t="array" ref="F995">GetNumber(D995,2)</f>
        <v>10</v>
      </c>
      <c r="G995" s="35">
        <v>14.8</v>
      </c>
      <c r="H995" s="35">
        <v>8921</v>
      </c>
      <c r="I995" s="35">
        <f>58.42*($T$2)</f>
        <v>116.84</v>
      </c>
      <c r="J995" s="35">
        <f>864.6*($T$2)</f>
        <v>1729.2</v>
      </c>
      <c r="K995" s="35">
        <f t="shared" si="74"/>
        <v>3.389312977099237</v>
      </c>
      <c r="L995" s="35">
        <f t="shared" si="75"/>
        <v>3.3892502567613834</v>
      </c>
      <c r="M995" s="35">
        <f>7.67625*($T$2)</f>
        <v>15.352499999999999</v>
      </c>
      <c r="N995" s="35">
        <f>84.5*(5280/3600)</f>
        <v>123.93333333333332</v>
      </c>
      <c r="O995" s="35">
        <f t="shared" si="73"/>
        <v>0.88783830673143638</v>
      </c>
      <c r="P995" s="35">
        <f t="shared" si="76"/>
        <v>52.03442748091603</v>
      </c>
      <c r="Q995" s="35">
        <f>('Batt Capacity and Sys Weight'!$I$3) + (B995*$T$2)</f>
        <v>53.408474999999996</v>
      </c>
      <c r="R995" s="35">
        <f>'Batt Capacity and Sys Weight'!$H$3</f>
        <v>97.68</v>
      </c>
    </row>
    <row r="996" spans="1:18" x14ac:dyDescent="0.3">
      <c r="A996" s="35" t="s">
        <v>117</v>
      </c>
      <c r="B996" s="35">
        <v>13.51</v>
      </c>
      <c r="C996" s="35">
        <v>690</v>
      </c>
      <c r="D996" s="35" t="s">
        <v>38</v>
      </c>
      <c r="E996" s="36" t="str" cm="1">
        <f t="array" ref="E996">GetNumber(D996,1)</f>
        <v>14</v>
      </c>
      <c r="F996" s="36" t="str" cm="1">
        <f t="array" ref="F996">GetNumber(D996,2)</f>
        <v>6</v>
      </c>
      <c r="G996" s="35">
        <v>14.8</v>
      </c>
      <c r="H996" s="35">
        <v>9120</v>
      </c>
      <c r="I996" s="35">
        <f>48.05*($T$2)</f>
        <v>96.1</v>
      </c>
      <c r="J996" s="35">
        <f>711.2*($T$2)</f>
        <v>1422.4</v>
      </c>
      <c r="K996" s="35">
        <f t="shared" si="74"/>
        <v>4.1203599550056245</v>
      </c>
      <c r="L996" s="35">
        <f t="shared" si="75"/>
        <v>4.1207075962539026</v>
      </c>
      <c r="M996" s="35">
        <f>7.56625*($T$2)</f>
        <v>15.1325</v>
      </c>
      <c r="N996" s="35">
        <f>51.8*(5280/3600)</f>
        <v>75.973333333333329</v>
      </c>
      <c r="O996" s="35">
        <f t="shared" si="73"/>
        <v>1.0638709223847018</v>
      </c>
      <c r="P996" s="35">
        <f t="shared" si="76"/>
        <v>62.351347019122613</v>
      </c>
      <c r="Q996" s="35">
        <f>('Batt Capacity and Sys Weight'!$I$3) + (B996*$T$2)</f>
        <v>53.408474999999996</v>
      </c>
      <c r="R996" s="35">
        <f>'Batt Capacity and Sys Weight'!$H$3</f>
        <v>97.68</v>
      </c>
    </row>
    <row r="997" spans="1:18" x14ac:dyDescent="0.3">
      <c r="A997" s="35" t="s">
        <v>117</v>
      </c>
      <c r="B997" s="35">
        <v>13.51</v>
      </c>
      <c r="C997" s="35">
        <v>690</v>
      </c>
      <c r="D997" s="35" t="s">
        <v>39</v>
      </c>
      <c r="E997" s="36" t="str" cm="1">
        <f t="array" ref="E997">GetNumber(D997,1)</f>
        <v>14</v>
      </c>
      <c r="F997" s="36" t="str" cm="1">
        <f t="array" ref="F997">GetNumber(D997,2)</f>
        <v>7</v>
      </c>
      <c r="G997" s="35">
        <v>14.8</v>
      </c>
      <c r="H997" s="35">
        <v>8735</v>
      </c>
      <c r="I997" s="35">
        <f>68.3*($T$2)</f>
        <v>136.6</v>
      </c>
      <c r="J997" s="35">
        <f>1010.8*($T$2)</f>
        <v>2021.6</v>
      </c>
      <c r="K997" s="35">
        <f t="shared" si="74"/>
        <v>2.8990898298377523</v>
      </c>
      <c r="L997" s="35">
        <f t="shared" si="75"/>
        <v>2.8989751098096637</v>
      </c>
      <c r="M997" s="35">
        <f>8.64*($T$2)</f>
        <v>17.28</v>
      </c>
      <c r="N997" s="35">
        <f>57.9*(5280/3600)</f>
        <v>84.919999999999987</v>
      </c>
      <c r="O997" s="35">
        <f t="shared" si="73"/>
        <v>0.85476850019786321</v>
      </c>
      <c r="P997" s="35">
        <f t="shared" si="76"/>
        <v>50.096272259596361</v>
      </c>
      <c r="Q997" s="35">
        <f>('Batt Capacity and Sys Weight'!$I$3) + (B997*$T$2)</f>
        <v>53.408474999999996</v>
      </c>
      <c r="R997" s="35">
        <f>'Batt Capacity and Sys Weight'!$H$3</f>
        <v>97.68</v>
      </c>
    </row>
    <row r="998" spans="1:18" x14ac:dyDescent="0.3">
      <c r="A998" s="35" t="s">
        <v>117</v>
      </c>
      <c r="B998" s="35">
        <v>13.51</v>
      </c>
      <c r="C998" s="35">
        <v>690</v>
      </c>
      <c r="D998" s="35" t="s">
        <v>40</v>
      </c>
      <c r="E998" s="36" t="str" cm="1">
        <f t="array" ref="E998">GetNumber(D998,1)</f>
        <v>14</v>
      </c>
      <c r="F998" s="36" cm="1">
        <f t="array" ref="F998">GetNumber(D998,2)+(GetNumber(D998,3)/10)</f>
        <v>8.5</v>
      </c>
      <c r="G998" s="35">
        <v>14.8</v>
      </c>
      <c r="H998" s="35">
        <v>8694</v>
      </c>
      <c r="I998" s="35">
        <f>71.31*($T$2)</f>
        <v>142.62</v>
      </c>
      <c r="J998" s="35">
        <f>1055.4*($T$2)</f>
        <v>2110.8000000000002</v>
      </c>
      <c r="K998" s="35">
        <f t="shared" si="74"/>
        <v>2.7765776009096075</v>
      </c>
      <c r="L998" s="35">
        <f t="shared" si="75"/>
        <v>2.7766091712242322</v>
      </c>
      <c r="M998" s="35">
        <f>8.79875*($T$2)</f>
        <v>17.5975</v>
      </c>
      <c r="N998" s="35">
        <f>70*(5280/3600)</f>
        <v>102.66666666666666</v>
      </c>
      <c r="O998" s="35">
        <f t="shared" si="73"/>
        <v>0.83368864885351512</v>
      </c>
      <c r="P998" s="35">
        <f t="shared" si="76"/>
        <v>48.860824332006821</v>
      </c>
      <c r="Q998" s="35">
        <f>('Batt Capacity and Sys Weight'!$I$3) + (B998*$T$2)</f>
        <v>53.408474999999996</v>
      </c>
      <c r="R998" s="35">
        <f>'Batt Capacity and Sys Weight'!$H$3</f>
        <v>97.68</v>
      </c>
    </row>
    <row r="999" spans="1:18" x14ac:dyDescent="0.3">
      <c r="A999" s="35" t="s">
        <v>117</v>
      </c>
      <c r="B999" s="35">
        <v>13.51</v>
      </c>
      <c r="C999" s="35">
        <v>690</v>
      </c>
      <c r="D999" s="35" t="s">
        <v>41</v>
      </c>
      <c r="E999" s="36" t="str" cm="1">
        <f t="array" ref="E999">GetNumber(D999,1)</f>
        <v>14</v>
      </c>
      <c r="F999" s="36" t="str" cm="1">
        <f t="array" ref="F999">GetNumber(D999,2)</f>
        <v>10</v>
      </c>
      <c r="G999" s="35">
        <v>14.8</v>
      </c>
      <c r="H999" s="35">
        <v>8688</v>
      </c>
      <c r="I999" s="35">
        <f>71.14*($T$2)</f>
        <v>142.28</v>
      </c>
      <c r="J999" s="35">
        <f>1052.9*($T$2)</f>
        <v>2105.8000000000002</v>
      </c>
      <c r="K999" s="35">
        <f t="shared" si="74"/>
        <v>2.7831702915756482</v>
      </c>
      <c r="L999" s="35">
        <f t="shared" si="75"/>
        <v>2.783244307000281</v>
      </c>
      <c r="M999" s="35">
        <f>8.681875*($T$2)</f>
        <v>17.36375</v>
      </c>
      <c r="N999" s="35">
        <f>82.3*(5280/3600)</f>
        <v>120.70666666666665</v>
      </c>
      <c r="O999" s="35">
        <f t="shared" si="73"/>
        <v>0.82456786019564998</v>
      </c>
      <c r="P999" s="35">
        <f t="shared" si="76"/>
        <v>48.326273150346658</v>
      </c>
      <c r="Q999" s="35">
        <f>('Batt Capacity and Sys Weight'!$I$3) + (B999*$T$2)</f>
        <v>53.408474999999996</v>
      </c>
      <c r="R999" s="35">
        <f>'Batt Capacity and Sys Weight'!$H$3</f>
        <v>97.68</v>
      </c>
    </row>
    <row r="1000" spans="1:18" x14ac:dyDescent="0.3">
      <c r="A1000" s="35" t="s">
        <v>117</v>
      </c>
      <c r="B1000" s="35">
        <v>13.51</v>
      </c>
      <c r="C1000" s="35">
        <v>690</v>
      </c>
      <c r="D1000" s="35" t="s">
        <v>112</v>
      </c>
      <c r="E1000" s="36" t="str" cm="1">
        <f t="array" ref="E1000">GetNumber(D1000,1)</f>
        <v>14</v>
      </c>
      <c r="F1000" s="36" t="str" cm="1">
        <f t="array" ref="F1000">GetNumber(D1000,2)</f>
        <v>10</v>
      </c>
      <c r="G1000" s="35">
        <v>14.8</v>
      </c>
      <c r="H1000" s="35">
        <v>8653</v>
      </c>
      <c r="I1000" s="35">
        <f>71.36*($T$2)</f>
        <v>142.72</v>
      </c>
      <c r="J1000" s="35">
        <f>1056.1*($T$2)</f>
        <v>2112.1999999999998</v>
      </c>
      <c r="K1000" s="35">
        <f t="shared" si="74"/>
        <v>2.7747372407915925</v>
      </c>
      <c r="L1000" s="35">
        <f t="shared" si="75"/>
        <v>2.7746636771300448</v>
      </c>
      <c r="M1000" s="35">
        <f>9.568125*($T$2)</f>
        <v>19.13625</v>
      </c>
      <c r="N1000" s="35">
        <f>81.9*(5280/3600)</f>
        <v>120.12</v>
      </c>
      <c r="O1000" s="35">
        <f t="shared" si="73"/>
        <v>0.90598664899157288</v>
      </c>
      <c r="P1000" s="35">
        <f t="shared" si="76"/>
        <v>53.098065524098111</v>
      </c>
      <c r="Q1000" s="35">
        <f>('Batt Capacity and Sys Weight'!$I$3) + (B1000*$T$2)</f>
        <v>53.408474999999996</v>
      </c>
      <c r="R1000" s="35">
        <f>'Batt Capacity and Sys Weight'!$H$3</f>
        <v>97.68</v>
      </c>
    </row>
    <row r="1001" spans="1:18" x14ac:dyDescent="0.3">
      <c r="A1001" s="35" t="s">
        <v>117</v>
      </c>
      <c r="B1001" s="35">
        <v>13.51</v>
      </c>
      <c r="C1001" s="35">
        <v>690</v>
      </c>
      <c r="D1001" s="35" t="s">
        <v>60</v>
      </c>
      <c r="E1001" s="36" t="str" cm="1">
        <f t="array" ref="E1001">GetNumber(D1001,1)</f>
        <v>15</v>
      </c>
      <c r="F1001" s="36" t="str" cm="1">
        <f t="array" ref="F1001">GetNumber(D1001,2)</f>
        <v>4</v>
      </c>
      <c r="G1001" s="35">
        <v>14.8</v>
      </c>
      <c r="H1001" s="35">
        <v>9050</v>
      </c>
      <c r="I1001" s="35">
        <f>52.09*($T$2)</f>
        <v>104.18</v>
      </c>
      <c r="J1001" s="35">
        <f>770.9*($T$2)</f>
        <v>1541.8</v>
      </c>
      <c r="K1001" s="35">
        <f t="shared" si="74"/>
        <v>3.8012712414061491</v>
      </c>
      <c r="L1001" s="35">
        <f t="shared" si="75"/>
        <v>3.8011134574774434</v>
      </c>
      <c r="M1001" s="35">
        <f>8.496875*($T$2)</f>
        <v>16.993749999999999</v>
      </c>
      <c r="N1001" s="35">
        <f>34.3*(5280/3600)</f>
        <v>50.306666666666658</v>
      </c>
      <c r="O1001" s="35">
        <f t="shared" si="73"/>
        <v>1.1022019717213645</v>
      </c>
      <c r="P1001" s="35">
        <f t="shared" si="76"/>
        <v>64.597853158645748</v>
      </c>
      <c r="Q1001" s="35">
        <f>('Batt Capacity and Sys Weight'!$I$3) + (B1001*$T$2)</f>
        <v>53.408474999999996</v>
      </c>
      <c r="R1001" s="35">
        <f>'Batt Capacity and Sys Weight'!$H$3</f>
        <v>97.68</v>
      </c>
    </row>
    <row r="1002" spans="1:18" x14ac:dyDescent="0.3">
      <c r="A1002" s="35" t="s">
        <v>117</v>
      </c>
      <c r="B1002" s="35">
        <v>13.51</v>
      </c>
      <c r="C1002" s="35">
        <v>690</v>
      </c>
      <c r="D1002" s="35" t="s">
        <v>43</v>
      </c>
      <c r="E1002" s="36" t="str" cm="1">
        <f t="array" ref="E1002">GetNumber(D1002,1)</f>
        <v>15</v>
      </c>
      <c r="F1002" s="36" t="str" cm="1">
        <f t="array" ref="F1002">GetNumber(D1002,2)</f>
        <v>6</v>
      </c>
      <c r="G1002" s="35">
        <v>14.8</v>
      </c>
      <c r="H1002" s="35">
        <v>8677</v>
      </c>
      <c r="I1002" s="35">
        <f>71.17*($T$2)</f>
        <v>142.34</v>
      </c>
      <c r="J1002" s="35">
        <f>1053.3*($T$2)</f>
        <v>2106.6</v>
      </c>
      <c r="K1002" s="35">
        <f t="shared" si="74"/>
        <v>2.7821133580176589</v>
      </c>
      <c r="L1002" s="35">
        <f t="shared" si="75"/>
        <v>2.7820710973724885</v>
      </c>
      <c r="M1002" s="35">
        <f>9.978125*($T$2)</f>
        <v>19.956250000000001</v>
      </c>
      <c r="N1002" s="35">
        <f>49.3*(5280/3600)</f>
        <v>72.306666666666658</v>
      </c>
      <c r="O1002" s="35">
        <f t="shared" si="73"/>
        <v>0.94732032659261378</v>
      </c>
      <c r="P1002" s="35">
        <f t="shared" si="76"/>
        <v>55.52054970093991</v>
      </c>
      <c r="Q1002" s="35">
        <f>('Batt Capacity and Sys Weight'!$I$3) + (B1002*$T$2)</f>
        <v>53.408474999999996</v>
      </c>
      <c r="R1002" s="35">
        <f>'Batt Capacity and Sys Weight'!$H$3</f>
        <v>97.68</v>
      </c>
    </row>
    <row r="1003" spans="1:18" x14ac:dyDescent="0.3">
      <c r="A1003" s="35" t="s">
        <v>117</v>
      </c>
      <c r="B1003" s="35">
        <v>13.51</v>
      </c>
      <c r="C1003" s="35">
        <v>690</v>
      </c>
      <c r="D1003" s="35" t="s">
        <v>44</v>
      </c>
      <c r="E1003" s="36" t="str" cm="1">
        <f t="array" ref="E1003">GetNumber(D1003,1)</f>
        <v>15</v>
      </c>
      <c r="F1003" s="36" t="str" cm="1">
        <f t="array" ref="F1003">GetNumber(D1003,2)</f>
        <v>7</v>
      </c>
      <c r="G1003" s="35">
        <v>14.8</v>
      </c>
      <c r="H1003" s="35">
        <v>8729</v>
      </c>
      <c r="I1003" s="35">
        <f>69.41*($T$2)</f>
        <v>138.82</v>
      </c>
      <c r="J1003" s="35">
        <f>1027.3*($T$2)</f>
        <v>2054.6</v>
      </c>
      <c r="K1003" s="35">
        <f t="shared" si="74"/>
        <v>2.8525260391317047</v>
      </c>
      <c r="L1003" s="35">
        <f t="shared" si="75"/>
        <v>2.8526148969889071</v>
      </c>
      <c r="M1003" s="35">
        <f>9.923125*($T$2)</f>
        <v>19.846250000000001</v>
      </c>
      <c r="N1003" s="35">
        <f>57.9*(5280/3600)</f>
        <v>84.919999999999987</v>
      </c>
      <c r="O1003" s="35">
        <f t="shared" si="73"/>
        <v>0.96594227586878234</v>
      </c>
      <c r="P1003" s="35">
        <f t="shared" si="76"/>
        <v>56.6119449041176</v>
      </c>
      <c r="Q1003" s="35">
        <f>('Batt Capacity and Sys Weight'!$I$3) + (B1003*$T$2)</f>
        <v>53.408474999999996</v>
      </c>
      <c r="R1003" s="35">
        <f>'Batt Capacity and Sys Weight'!$H$3</f>
        <v>97.68</v>
      </c>
    </row>
    <row r="1004" spans="1:18" x14ac:dyDescent="0.3">
      <c r="A1004" s="35" t="s">
        <v>117</v>
      </c>
      <c r="B1004" s="35">
        <v>13.51</v>
      </c>
      <c r="C1004" s="35">
        <v>690</v>
      </c>
      <c r="D1004" s="35" t="s">
        <v>0</v>
      </c>
      <c r="E1004" s="36" t="str" cm="1">
        <f t="array" ref="E1004">GetNumber(D1004,1)</f>
        <v>15</v>
      </c>
      <c r="F1004" s="36" t="str" cm="1">
        <f t="array" ref="F1004">GetNumber(D1004,2)</f>
        <v>8</v>
      </c>
      <c r="G1004" s="35">
        <v>14.8</v>
      </c>
      <c r="H1004" s="35">
        <v>8586</v>
      </c>
      <c r="I1004" s="35">
        <f>76.38*($T$2)</f>
        <v>152.76</v>
      </c>
      <c r="J1004" s="35">
        <f>1130.4*($T$2)</f>
        <v>2260.8000000000002</v>
      </c>
      <c r="K1004" s="35">
        <f t="shared" si="74"/>
        <v>2.5923566878980888</v>
      </c>
      <c r="L1004" s="35">
        <f t="shared" si="75"/>
        <v>2.592301649646505</v>
      </c>
      <c r="M1004" s="35">
        <f>9.828125*($T$2)</f>
        <v>19.65625</v>
      </c>
      <c r="N1004" s="35">
        <f>65*(5280/3600)</f>
        <v>95.333333333333329</v>
      </c>
      <c r="O1004" s="35">
        <f t="shared" si="73"/>
        <v>0.86943780962491157</v>
      </c>
      <c r="P1004" s="35">
        <f t="shared" si="76"/>
        <v>50.956011146496806</v>
      </c>
      <c r="Q1004" s="35">
        <f>('Batt Capacity and Sys Weight'!$I$3) + (B1004*$T$2)</f>
        <v>53.408474999999996</v>
      </c>
      <c r="R1004" s="35">
        <f>'Batt Capacity and Sys Weight'!$H$3</f>
        <v>97.68</v>
      </c>
    </row>
    <row r="1005" spans="1:18" x14ac:dyDescent="0.3">
      <c r="A1005" s="35" t="s">
        <v>117</v>
      </c>
      <c r="B1005" s="35">
        <v>13.51</v>
      </c>
      <c r="C1005" s="35">
        <v>690</v>
      </c>
      <c r="D1005" s="35" t="s">
        <v>45</v>
      </c>
      <c r="E1005" s="36" t="str" cm="1">
        <f t="array" ref="E1005">GetNumber(D1005,1)</f>
        <v>13</v>
      </c>
      <c r="F1005" s="36" t="str" cm="1">
        <f t="array" ref="F1005">GetNumber(D1005,2)</f>
        <v>8</v>
      </c>
      <c r="G1005" s="35">
        <v>14.8</v>
      </c>
      <c r="H1005" s="35">
        <v>8971</v>
      </c>
      <c r="I1005" s="35">
        <f>56.24*($T$2)</f>
        <v>112.48</v>
      </c>
      <c r="J1005" s="35">
        <f>832.3*($T$2)</f>
        <v>1664.6</v>
      </c>
      <c r="K1005" s="35">
        <f t="shared" si="74"/>
        <v>3.5208458488525776</v>
      </c>
      <c r="L1005" s="35">
        <f t="shared" si="75"/>
        <v>3.5206258890469417</v>
      </c>
      <c r="M1005" s="35">
        <f>6.424375*($T$2)</f>
        <v>12.848750000000001</v>
      </c>
      <c r="N1005" s="35">
        <f>68*(5280/3600)</f>
        <v>99.73333333333332</v>
      </c>
      <c r="O1005" s="35">
        <f t="shared" si="73"/>
        <v>0.77188213384596904</v>
      </c>
      <c r="P1005" s="35">
        <f t="shared" si="76"/>
        <v>45.238468100444557</v>
      </c>
      <c r="Q1005" s="35">
        <f>('Batt Capacity and Sys Weight'!$I$3) + (B1005*$T$2)</f>
        <v>53.408474999999996</v>
      </c>
      <c r="R1005" s="35">
        <f>'Batt Capacity and Sys Weight'!$H$3</f>
        <v>97.68</v>
      </c>
    </row>
    <row r="1006" spans="1:18" x14ac:dyDescent="0.3">
      <c r="A1006" s="35" t="s">
        <v>117</v>
      </c>
      <c r="B1006" s="35">
        <v>13.51</v>
      </c>
      <c r="C1006" s="35">
        <v>690</v>
      </c>
      <c r="D1006" s="35" t="s">
        <v>46</v>
      </c>
      <c r="E1006" s="36" t="str" cm="1">
        <f t="array" ref="E1006">GetNumber(D1006,1)</f>
        <v>13</v>
      </c>
      <c r="F1006" s="36" t="str" cm="1">
        <f t="array" ref="F1006">GetNumber(D1006,2)</f>
        <v>10</v>
      </c>
      <c r="G1006" s="35">
        <v>14.8</v>
      </c>
      <c r="H1006" s="35">
        <v>8521</v>
      </c>
      <c r="I1006" s="35">
        <f>73.55*($T$2)</f>
        <v>147.1</v>
      </c>
      <c r="J1006" s="35">
        <f>1088.6*($T$2)</f>
        <v>2177.1999999999998</v>
      </c>
      <c r="K1006" s="35">
        <f t="shared" si="74"/>
        <v>2.6918978504501201</v>
      </c>
      <c r="L1006" s="35">
        <f t="shared" si="75"/>
        <v>2.6920462270564243</v>
      </c>
      <c r="M1006" s="35">
        <f>6.413125*($T$2)</f>
        <v>12.82625</v>
      </c>
      <c r="N1006" s="35">
        <f>80.7*(5280/3600)</f>
        <v>118.36</v>
      </c>
      <c r="O1006" s="35">
        <f t="shared" si="73"/>
        <v>0.58911675546573583</v>
      </c>
      <c r="P1006" s="35">
        <f t="shared" si="76"/>
        <v>34.526954804335851</v>
      </c>
      <c r="Q1006" s="35">
        <f>('Batt Capacity and Sys Weight'!$I$3) + (B1006*$T$2)</f>
        <v>53.408474999999996</v>
      </c>
      <c r="R1006" s="35">
        <f>'Batt Capacity and Sys Weight'!$H$3</f>
        <v>97.68</v>
      </c>
    </row>
    <row r="1007" spans="1:18" x14ac:dyDescent="0.3">
      <c r="A1007" s="35" t="s">
        <v>117</v>
      </c>
      <c r="B1007" s="35">
        <v>13.51</v>
      </c>
      <c r="C1007" s="35">
        <v>690</v>
      </c>
      <c r="D1007" s="35" t="s">
        <v>47</v>
      </c>
      <c r="E1007" s="36" t="str" cm="1">
        <f t="array" ref="E1007">GetNumber(D1007,1)</f>
        <v>14</v>
      </c>
      <c r="F1007" s="36" t="str" cm="1">
        <f t="array" ref="F1007">GetNumber(D1007,2)</f>
        <v>6</v>
      </c>
      <c r="G1007" s="35">
        <v>14.8</v>
      </c>
      <c r="H1007" s="35">
        <v>8980</v>
      </c>
      <c r="I1007" s="35">
        <f>53.49*($T$2)</f>
        <v>106.98</v>
      </c>
      <c r="J1007" s="35">
        <f>791.7*($T$2)</f>
        <v>1583.4</v>
      </c>
      <c r="K1007" s="35">
        <f t="shared" si="74"/>
        <v>3.7014020462296324</v>
      </c>
      <c r="L1007" s="35">
        <f t="shared" si="75"/>
        <v>3.7016264722378014</v>
      </c>
      <c r="M1007" s="35">
        <f>7.325625*($T$2)</f>
        <v>14.651249999999999</v>
      </c>
      <c r="N1007" s="35">
        <f>51*(5280/3600)</f>
        <v>74.8</v>
      </c>
      <c r="O1007" s="35">
        <f t="shared" si="73"/>
        <v>0.92530314513073131</v>
      </c>
      <c r="P1007" s="35">
        <f t="shared" si="76"/>
        <v>54.230166729821896</v>
      </c>
      <c r="Q1007" s="35">
        <f>('Batt Capacity and Sys Weight'!$I$3) + (B1007*$T$2)</f>
        <v>53.408474999999996</v>
      </c>
      <c r="R1007" s="35">
        <f>'Batt Capacity and Sys Weight'!$H$3</f>
        <v>97.68</v>
      </c>
    </row>
    <row r="1008" spans="1:18" x14ac:dyDescent="0.3">
      <c r="A1008" s="35" t="s">
        <v>117</v>
      </c>
      <c r="B1008" s="35">
        <v>13.51</v>
      </c>
      <c r="C1008" s="35">
        <v>690</v>
      </c>
      <c r="D1008" s="35" t="s">
        <v>48</v>
      </c>
      <c r="E1008" s="36" t="str" cm="1">
        <f t="array" ref="E1008">GetNumber(D1008,1)</f>
        <v>14</v>
      </c>
      <c r="F1008" s="36" t="str" cm="1">
        <f t="array" ref="F1008">GetNumber(D1008,2)</f>
        <v>8</v>
      </c>
      <c r="G1008" s="35">
        <v>14.8</v>
      </c>
      <c r="H1008" s="35">
        <v>8784</v>
      </c>
      <c r="I1008" s="35">
        <f>66.5*($T$2)</f>
        <v>133</v>
      </c>
      <c r="J1008" s="35">
        <f>984.2*($T$2)</f>
        <v>1968.4</v>
      </c>
      <c r="K1008" s="35">
        <f t="shared" si="74"/>
        <v>2.9774436090225564</v>
      </c>
      <c r="L1008" s="35">
        <f t="shared" si="75"/>
        <v>2.9774436090225569</v>
      </c>
      <c r="M1008" s="35">
        <f>8.51125*($T$2)</f>
        <v>17.022500000000001</v>
      </c>
      <c r="N1008" s="35">
        <f>66.5*(5280/3600)</f>
        <v>97.533333333333331</v>
      </c>
      <c r="O1008" s="35">
        <f t="shared" si="73"/>
        <v>0.86478866084129247</v>
      </c>
      <c r="P1008" s="35">
        <f t="shared" si="76"/>
        <v>50.68353383458647</v>
      </c>
      <c r="Q1008" s="35">
        <f>('Batt Capacity and Sys Weight'!$I$3) + (B1008*$T$2)</f>
        <v>53.408474999999996</v>
      </c>
      <c r="R1008" s="35">
        <f>'Batt Capacity and Sys Weight'!$H$3</f>
        <v>97.68</v>
      </c>
    </row>
    <row r="1009" spans="1:18" x14ac:dyDescent="0.3">
      <c r="A1009" s="35" t="s">
        <v>117</v>
      </c>
      <c r="B1009" s="35">
        <v>13.51</v>
      </c>
      <c r="C1009" s="35">
        <v>690</v>
      </c>
      <c r="D1009" s="35" t="s">
        <v>50</v>
      </c>
      <c r="E1009" s="36" t="str" cm="1">
        <f t="array" ref="E1009">GetNumber(D1009,1)</f>
        <v>15</v>
      </c>
      <c r="F1009" s="36" t="str" cm="1">
        <f t="array" ref="F1009">GetNumber(D1009,2)</f>
        <v>6</v>
      </c>
      <c r="G1009" s="35">
        <v>14.8</v>
      </c>
      <c r="H1009" s="35">
        <v>8677</v>
      </c>
      <c r="I1009" s="35">
        <f>71.44*($T$2)</f>
        <v>142.88</v>
      </c>
      <c r="J1009" s="35">
        <f>1057.3*($T$2)</f>
        <v>2114.6</v>
      </c>
      <c r="K1009" s="35">
        <f t="shared" si="74"/>
        <v>2.7715880071881211</v>
      </c>
      <c r="L1009" s="35">
        <f t="shared" si="75"/>
        <v>2.7715565509518481</v>
      </c>
      <c r="M1009" s="35">
        <f>9.58125*($T$2)</f>
        <v>19.162500000000001</v>
      </c>
      <c r="N1009" s="35">
        <f>49.3*(5280/3600)</f>
        <v>72.306666666666658</v>
      </c>
      <c r="O1009" s="35">
        <f t="shared" si="73"/>
        <v>0.90619975409060827</v>
      </c>
      <c r="P1009" s="35">
        <f t="shared" si="76"/>
        <v>53.110555187742378</v>
      </c>
      <c r="Q1009" s="35">
        <f>('Batt Capacity and Sys Weight'!$I$3) + (B1009*$T$2)</f>
        <v>53.408474999999996</v>
      </c>
      <c r="R1009" s="35">
        <f>'Batt Capacity and Sys Weight'!$H$3</f>
        <v>97.68</v>
      </c>
    </row>
    <row r="1010" spans="1:18" x14ac:dyDescent="0.3">
      <c r="A1010" s="35" t="s">
        <v>117</v>
      </c>
      <c r="B1010" s="35">
        <v>13.51</v>
      </c>
      <c r="C1010" s="35">
        <v>690</v>
      </c>
      <c r="D1010" s="35" t="s">
        <v>51</v>
      </c>
      <c r="E1010" s="36" t="str" cm="1">
        <f t="array" ref="E1010">GetNumber(D1010,1)</f>
        <v>15</v>
      </c>
      <c r="F1010" s="36" t="str" cm="1">
        <f t="array" ref="F1010">GetNumber(D1010,2)</f>
        <v>7</v>
      </c>
      <c r="G1010" s="35">
        <v>14.8</v>
      </c>
      <c r="H1010" s="35">
        <v>8676</v>
      </c>
      <c r="I1010" s="35">
        <f>72.14*($T$2)</f>
        <v>144.28</v>
      </c>
      <c r="J1010" s="35">
        <f>1067.7*($T$2)</f>
        <v>2135.4</v>
      </c>
      <c r="K1010" s="35">
        <f t="shared" si="74"/>
        <v>2.7445911772969938</v>
      </c>
      <c r="L1010" s="35">
        <f t="shared" si="75"/>
        <v>2.7446631549764349</v>
      </c>
      <c r="M1010" s="35">
        <f>9.965*($T$2)</f>
        <v>19.93</v>
      </c>
      <c r="N1010" s="35">
        <f>57.5*(5280/3600)</f>
        <v>84.333333333333329</v>
      </c>
      <c r="O1010" s="35">
        <f t="shared" si="73"/>
        <v>0.93331460147981637</v>
      </c>
      <c r="P1010" s="35">
        <f t="shared" si="76"/>
        <v>54.699702163529082</v>
      </c>
      <c r="Q1010" s="35">
        <f>('Batt Capacity and Sys Weight'!$I$3) + (B1010*$T$2)</f>
        <v>53.408474999999996</v>
      </c>
      <c r="R1010" s="35">
        <f>'Batt Capacity and Sys Weight'!$H$3</f>
        <v>97.68</v>
      </c>
    </row>
    <row r="1011" spans="1:18" x14ac:dyDescent="0.3">
      <c r="A1011" s="35" t="s">
        <v>117</v>
      </c>
      <c r="B1011" s="35">
        <v>13.51</v>
      </c>
      <c r="C1011" s="35">
        <v>690</v>
      </c>
      <c r="D1011" s="35" t="s">
        <v>16</v>
      </c>
      <c r="E1011" s="36" t="str" cm="1">
        <f t="array" ref="E1011">GetNumber(D1011,1)</f>
        <v>15</v>
      </c>
      <c r="F1011" s="36" t="str" cm="1">
        <f t="array" ref="F1011">GetNumber(D1011,2)</f>
        <v>8</v>
      </c>
      <c r="G1011" s="35">
        <v>14.8</v>
      </c>
      <c r="H1011" s="35">
        <v>8515</v>
      </c>
      <c r="I1011" s="35">
        <f>79.95*($T$2)</f>
        <v>159.9</v>
      </c>
      <c r="J1011" s="35">
        <f>1183.3*($T$2)</f>
        <v>2366.6</v>
      </c>
      <c r="K1011" s="35">
        <f t="shared" si="74"/>
        <v>2.4764641257500215</v>
      </c>
      <c r="L1011" s="35">
        <f t="shared" si="75"/>
        <v>2.4765478424015011</v>
      </c>
      <c r="M1011" s="35">
        <f>9.47375*($T$2)</f>
        <v>18.947500000000002</v>
      </c>
      <c r="N1011" s="35">
        <f>64.5*(5280/3600)</f>
        <v>94.6</v>
      </c>
      <c r="O1011" s="35">
        <f t="shared" si="73"/>
        <v>0.80062114425758479</v>
      </c>
      <c r="P1011" s="35">
        <f t="shared" si="76"/>
        <v>46.922804022648535</v>
      </c>
      <c r="Q1011" s="35">
        <f>('Batt Capacity and Sys Weight'!$I$3) + (B1011*$T$2)</f>
        <v>53.408474999999996</v>
      </c>
      <c r="R1011" s="35">
        <f>'Batt Capacity and Sys Weight'!$H$3</f>
        <v>97.68</v>
      </c>
    </row>
    <row r="1012" spans="1:18" x14ac:dyDescent="0.3">
      <c r="A1012" s="35" t="s">
        <v>117</v>
      </c>
      <c r="B1012" s="35">
        <v>13.51</v>
      </c>
      <c r="C1012" s="35">
        <v>690</v>
      </c>
      <c r="D1012" s="35" t="s">
        <v>54</v>
      </c>
      <c r="E1012" s="36" t="str" cm="1">
        <f t="array" ref="E1012">GetNumber(D1012,1)</f>
        <v>12</v>
      </c>
      <c r="F1012" s="36" t="str" cm="1">
        <f t="array" ref="F1012">GetNumber(D1012,2)</f>
        <v>8</v>
      </c>
      <c r="G1012" s="35">
        <v>14.8</v>
      </c>
      <c r="H1012" s="35">
        <v>8937</v>
      </c>
      <c r="I1012" s="35">
        <f>58.04*($T$2)</f>
        <v>116.08</v>
      </c>
      <c r="J1012" s="35">
        <f>859*($T$2)</f>
        <v>1718</v>
      </c>
      <c r="K1012" s="35">
        <f t="shared" si="74"/>
        <v>3.4114086146682192</v>
      </c>
      <c r="L1012" s="35">
        <f t="shared" si="75"/>
        <v>3.4114403859407307</v>
      </c>
      <c r="M1012" s="35">
        <f>7.663125*($T$2)</f>
        <v>15.32625</v>
      </c>
      <c r="N1012" s="35">
        <f>67.7*(5280/3600)</f>
        <v>99.293333333333337</v>
      </c>
      <c r="O1012" s="35">
        <f t="shared" si="73"/>
        <v>0.8920983701979045</v>
      </c>
      <c r="P1012" s="35">
        <f t="shared" si="76"/>
        <v>52.284101280558794</v>
      </c>
      <c r="Q1012" s="35">
        <f>('Batt Capacity and Sys Weight'!$I$3) + (B1012*$T$2)</f>
        <v>53.408474999999996</v>
      </c>
      <c r="R1012" s="35">
        <f>'Batt Capacity and Sys Weight'!$H$3</f>
        <v>97.68</v>
      </c>
    </row>
    <row r="1013" spans="1:18" x14ac:dyDescent="0.3">
      <c r="A1013" s="35" t="s">
        <v>117</v>
      </c>
      <c r="B1013" s="35">
        <v>13.51</v>
      </c>
      <c r="C1013" s="35">
        <v>690</v>
      </c>
      <c r="D1013" s="35" t="s">
        <v>25</v>
      </c>
      <c r="E1013" s="36" t="str" cm="1">
        <f t="array" ref="E1013">GetNumber(D1013,1)</f>
        <v>13</v>
      </c>
      <c r="F1013" s="36" t="str" cm="1">
        <f t="array" ref="F1013">GetNumber(D1013,2)</f>
        <v>8</v>
      </c>
      <c r="G1013" s="35">
        <v>14.8</v>
      </c>
      <c r="H1013" s="35">
        <v>8807</v>
      </c>
      <c r="I1013" s="35">
        <f>64.78*($T$2)</f>
        <v>129.56</v>
      </c>
      <c r="J1013" s="35">
        <f>958.7*($T$2)</f>
        <v>1917.4</v>
      </c>
      <c r="K1013" s="35">
        <f t="shared" si="74"/>
        <v>3.0566391989151978</v>
      </c>
      <c r="L1013" s="35">
        <f t="shared" si="75"/>
        <v>3.0564989194195742</v>
      </c>
      <c r="M1013" s="35">
        <f>8.514375*($T$2)</f>
        <v>17.028749999999999</v>
      </c>
      <c r="N1013" s="35">
        <f>66.7*(5280/3600)</f>
        <v>97.826666666666668</v>
      </c>
      <c r="O1013" s="35">
        <f t="shared" si="73"/>
        <v>0.8881167205590903</v>
      </c>
      <c r="P1013" s="35">
        <f t="shared" si="76"/>
        <v>52.050744758527166</v>
      </c>
      <c r="Q1013" s="35">
        <f>('Batt Capacity and Sys Weight'!$I$3) + (B1013*$T$2)</f>
        <v>53.408474999999996</v>
      </c>
      <c r="R1013" s="35">
        <f>'Batt Capacity and Sys Weight'!$H$3</f>
        <v>97.68</v>
      </c>
    </row>
    <row r="1014" spans="1:18" x14ac:dyDescent="0.3">
      <c r="A1014" s="35" t="s">
        <v>117</v>
      </c>
      <c r="B1014" s="35">
        <v>13.51</v>
      </c>
      <c r="C1014" s="35">
        <v>690</v>
      </c>
      <c r="D1014" s="35" t="s">
        <v>26</v>
      </c>
      <c r="E1014" s="36" t="str" cm="1">
        <f t="array" ref="E1014">GetNumber(D1014,1)</f>
        <v>14</v>
      </c>
      <c r="F1014" s="36" t="str" cm="1">
        <f t="array" ref="F1014">GetNumber(D1014,2)</f>
        <v>7</v>
      </c>
      <c r="G1014" s="35">
        <v>14.8</v>
      </c>
      <c r="H1014" s="35">
        <v>8570</v>
      </c>
      <c r="I1014" s="35">
        <f>76.97*($T$2)</f>
        <v>153.94</v>
      </c>
      <c r="J1014" s="35">
        <f>1139.1*($T$2)</f>
        <v>2278.1999999999998</v>
      </c>
      <c r="K1014" s="35">
        <f t="shared" si="74"/>
        <v>2.5725572820647882</v>
      </c>
      <c r="L1014" s="35">
        <f t="shared" si="75"/>
        <v>2.5724308172015071</v>
      </c>
      <c r="M1014" s="35">
        <f>10.330625*($T$2)</f>
        <v>20.661249999999999</v>
      </c>
      <c r="N1014" s="35">
        <f>56.8*(5280/3600)</f>
        <v>83.306666666666658</v>
      </c>
      <c r="O1014" s="35">
        <f t="shared" si="73"/>
        <v>0.90691115793170052</v>
      </c>
      <c r="P1014" s="35">
        <f t="shared" si="76"/>
        <v>53.152249144061102</v>
      </c>
      <c r="Q1014" s="35">
        <f>('Batt Capacity and Sys Weight'!$I$3) + (B1014*$T$2)</f>
        <v>53.408474999999996</v>
      </c>
      <c r="R1014" s="35">
        <f>'Batt Capacity and Sys Weight'!$H$3</f>
        <v>97.68</v>
      </c>
    </row>
    <row r="1015" spans="1:18" x14ac:dyDescent="0.3">
      <c r="A1015" s="35" t="s">
        <v>117</v>
      </c>
      <c r="B1015" s="35">
        <v>13.51</v>
      </c>
      <c r="C1015" s="35">
        <v>690</v>
      </c>
      <c r="D1015" s="35" t="s">
        <v>71</v>
      </c>
      <c r="E1015" s="36" t="str" cm="1">
        <f t="array" ref="E1015">GetNumber(D1015,1)</f>
        <v>11</v>
      </c>
      <c r="F1015" s="36" t="str" cm="1">
        <f t="array" ref="F1015">GetNumber(D1015,2)</f>
        <v>7</v>
      </c>
      <c r="G1015" s="35">
        <v>18.5</v>
      </c>
      <c r="H1015" s="35">
        <v>11468</v>
      </c>
      <c r="I1015" s="35">
        <f>50.12*($T$2)</f>
        <v>100.24</v>
      </c>
      <c r="J1015" s="35">
        <f>927.2*($T$2)</f>
        <v>1854.4</v>
      </c>
      <c r="K1015" s="35">
        <f t="shared" si="74"/>
        <v>2.9928817946505606</v>
      </c>
      <c r="L1015" s="35">
        <f t="shared" si="75"/>
        <v>2.9928172386272949</v>
      </c>
      <c r="M1015" s="35">
        <f>6.94875*($T$2)</f>
        <v>13.897500000000001</v>
      </c>
      <c r="N1015" s="35">
        <f>76*(5280/3600)</f>
        <v>111.46666666666665</v>
      </c>
      <c r="O1015" s="35">
        <f t="shared" si="73"/>
        <v>0.74943377911993092</v>
      </c>
      <c r="P1015" s="35">
        <f t="shared" si="76"/>
        <v>41.593574741156168</v>
      </c>
      <c r="Q1015" s="35">
        <f>('Batt Capacity and Sys Weight'!$I$4) + (B1015*$T$2)</f>
        <v>54.184502999999999</v>
      </c>
      <c r="R1015" s="35">
        <f>'Batt Capacity and Sys Weight'!$H$4</f>
        <v>92.5</v>
      </c>
    </row>
    <row r="1016" spans="1:18" x14ac:dyDescent="0.3">
      <c r="A1016" s="35" t="s">
        <v>117</v>
      </c>
      <c r="B1016" s="35">
        <v>13.51</v>
      </c>
      <c r="C1016" s="35">
        <v>690</v>
      </c>
      <c r="D1016" s="35" t="s">
        <v>72</v>
      </c>
      <c r="E1016" s="36" t="str" cm="1">
        <f t="array" ref="E1016">GetNumber(D1016,1)</f>
        <v>11</v>
      </c>
      <c r="F1016" s="36" t="str" cm="1">
        <f t="array" ref="F1016">GetNumber(D1016,2)</f>
        <v>8</v>
      </c>
      <c r="G1016" s="35">
        <v>18.5</v>
      </c>
      <c r="H1016" s="35">
        <v>11309</v>
      </c>
      <c r="I1016" s="35">
        <f>56.3*($T$2)</f>
        <v>112.6</v>
      </c>
      <c r="J1016" s="35">
        <f>1041.5*($T$2)</f>
        <v>2083</v>
      </c>
      <c r="K1016" s="35">
        <f t="shared" si="74"/>
        <v>2.6644263082093134</v>
      </c>
      <c r="L1016" s="35">
        <f t="shared" si="75"/>
        <v>2.6642984014209592</v>
      </c>
      <c r="M1016" s="35">
        <f>6.618125*($T$2)</f>
        <v>13.23625</v>
      </c>
      <c r="N1016" s="35">
        <f>85.7*(5280/3600)</f>
        <v>125.69333333333333</v>
      </c>
      <c r="O1016" s="35">
        <f t="shared" si="73"/>
        <v>0.63544167066730683</v>
      </c>
      <c r="P1016" s="35">
        <f t="shared" si="76"/>
        <v>35.267012722035524</v>
      </c>
      <c r="Q1016" s="35">
        <f>('Batt Capacity and Sys Weight'!$I$4) + (B1016*$T$2)</f>
        <v>54.184502999999999</v>
      </c>
      <c r="R1016" s="35">
        <f>'Batt Capacity and Sys Weight'!$H$4</f>
        <v>92.5</v>
      </c>
    </row>
    <row r="1017" spans="1:18" x14ac:dyDescent="0.3">
      <c r="A1017" s="35" t="s">
        <v>117</v>
      </c>
      <c r="B1017" s="35">
        <v>13.51</v>
      </c>
      <c r="C1017" s="35">
        <v>690</v>
      </c>
      <c r="D1017" s="35" t="s">
        <v>56</v>
      </c>
      <c r="E1017" s="36" t="str" cm="1">
        <f t="array" ref="E1017">GetNumber(D1017,1)</f>
        <v>11</v>
      </c>
      <c r="F1017" s="36" cm="1">
        <f t="array" ref="F1017">GetNumber(D1017,2)+(GetNumber(D1017,3)/10)</f>
        <v>8.5</v>
      </c>
      <c r="G1017" s="35">
        <v>18.5</v>
      </c>
      <c r="H1017" s="35">
        <v>11236</v>
      </c>
      <c r="I1017" s="35">
        <f>60.91*($T$2)</f>
        <v>121.82</v>
      </c>
      <c r="J1017" s="35">
        <f>1126.9*($T$2)</f>
        <v>2253.8000000000002</v>
      </c>
      <c r="K1017" s="35">
        <f t="shared" si="74"/>
        <v>2.4625077646641227</v>
      </c>
      <c r="L1017" s="35">
        <f t="shared" si="75"/>
        <v>2.4626498111968482</v>
      </c>
      <c r="M1017" s="35">
        <f>6.8475*($T$2)</f>
        <v>13.695</v>
      </c>
      <c r="N1017" s="35">
        <f>90.4*(5280/3600)</f>
        <v>132.58666666666667</v>
      </c>
      <c r="O1017" s="35">
        <f t="shared" si="73"/>
        <v>0.60764042949684971</v>
      </c>
      <c r="P1017" s="35">
        <f t="shared" si="76"/>
        <v>33.724043837075158</v>
      </c>
      <c r="Q1017" s="35">
        <f>('Batt Capacity and Sys Weight'!$I$4) + (B1017*$T$2)</f>
        <v>54.184502999999999</v>
      </c>
      <c r="R1017" s="35">
        <f>'Batt Capacity and Sys Weight'!$H$4</f>
        <v>92.5</v>
      </c>
    </row>
    <row r="1018" spans="1:18" x14ac:dyDescent="0.3">
      <c r="A1018" s="35" t="s">
        <v>117</v>
      </c>
      <c r="B1018" s="35">
        <v>13.51</v>
      </c>
      <c r="C1018" s="35">
        <v>690</v>
      </c>
      <c r="D1018" s="35" t="s">
        <v>57</v>
      </c>
      <c r="E1018" s="36" t="str" cm="1">
        <f t="array" ref="E1018">GetNumber(D1018,1)</f>
        <v>11</v>
      </c>
      <c r="F1018" s="36" t="str" cm="1">
        <f t="array" ref="F1018">GetNumber(D1018,2)</f>
        <v>10</v>
      </c>
      <c r="G1018" s="35">
        <v>18.5</v>
      </c>
      <c r="H1018" s="35">
        <v>11045</v>
      </c>
      <c r="I1018" s="35">
        <f>70.17*($T$2)</f>
        <v>140.34</v>
      </c>
      <c r="J1018" s="35">
        <f>1298.2*($T$2)</f>
        <v>2596.4</v>
      </c>
      <c r="K1018" s="35">
        <f t="shared" si="74"/>
        <v>2.1375751039901401</v>
      </c>
      <c r="L1018" s="35">
        <f t="shared" si="75"/>
        <v>2.1376656690893543</v>
      </c>
      <c r="M1018" s="35">
        <f>6.40875*($T$2)</f>
        <v>12.817500000000001</v>
      </c>
      <c r="N1018" s="35">
        <f>104.6*(5280/3600)</f>
        <v>153.41333333333333</v>
      </c>
      <c r="O1018" s="35">
        <f t="shared" si="73"/>
        <v>0.49366430442150677</v>
      </c>
      <c r="P1018" s="35">
        <f t="shared" si="76"/>
        <v>27.39836889539362</v>
      </c>
      <c r="Q1018" s="35">
        <f>('Batt Capacity and Sys Weight'!$I$4) + (B1018*$T$2)</f>
        <v>54.184502999999999</v>
      </c>
      <c r="R1018" s="35">
        <f>'Batt Capacity and Sys Weight'!$H$4</f>
        <v>92.5</v>
      </c>
    </row>
    <row r="1019" spans="1:18" x14ac:dyDescent="0.3">
      <c r="A1019" s="35" t="s">
        <v>117</v>
      </c>
      <c r="B1019" s="35">
        <v>13.51</v>
      </c>
      <c r="C1019" s="35">
        <v>690</v>
      </c>
      <c r="D1019" s="35" t="s">
        <v>58</v>
      </c>
      <c r="E1019" s="36" t="str" cm="1">
        <f t="array" ref="E1019">GetNumber(D1019,1)</f>
        <v>12</v>
      </c>
      <c r="F1019" s="36" t="str" cm="1">
        <f t="array" ref="F1019">GetNumber(D1019,2)</f>
        <v>6</v>
      </c>
      <c r="G1019" s="35">
        <v>18.5</v>
      </c>
      <c r="H1019" s="35">
        <v>11314</v>
      </c>
      <c r="I1019" s="35">
        <f>57.47*($T$2)</f>
        <v>114.94</v>
      </c>
      <c r="J1019" s="35">
        <f>1063.1*($T$2)</f>
        <v>2126.1999999999998</v>
      </c>
      <c r="K1019" s="35">
        <f t="shared" si="74"/>
        <v>2.6102906593923434</v>
      </c>
      <c r="L1019" s="35">
        <f t="shared" si="75"/>
        <v>2.6100574212632677</v>
      </c>
      <c r="M1019" s="35">
        <f>8.46125*($T$2)</f>
        <v>16.922499999999999</v>
      </c>
      <c r="N1019" s="35">
        <f>64.3*(5280/3600)</f>
        <v>94.306666666666658</v>
      </c>
      <c r="O1019" s="35">
        <f t="shared" si="73"/>
        <v>0.79590348979399861</v>
      </c>
      <c r="P1019" s="35">
        <f t="shared" si="76"/>
        <v>44.172643683566932</v>
      </c>
      <c r="Q1019" s="35">
        <f>('Batt Capacity and Sys Weight'!$I$4) + (B1019*$T$2)</f>
        <v>54.184502999999999</v>
      </c>
      <c r="R1019" s="35">
        <f>'Batt Capacity and Sys Weight'!$H$4</f>
        <v>92.5</v>
      </c>
    </row>
    <row r="1020" spans="1:18" x14ac:dyDescent="0.3">
      <c r="A1020" s="35" t="s">
        <v>117</v>
      </c>
      <c r="B1020" s="35">
        <v>13.51</v>
      </c>
      <c r="C1020" s="35">
        <v>690</v>
      </c>
      <c r="D1020" s="35" t="s">
        <v>120</v>
      </c>
      <c r="E1020" s="36" t="str" cm="1">
        <f t="array" ref="E1020">GetNumber(D1020,1)</f>
        <v>12</v>
      </c>
      <c r="F1020" s="36" t="str" cm="1">
        <f t="array" ref="F1020">GetNumber(D1020,2)</f>
        <v>6</v>
      </c>
      <c r="G1020" s="35">
        <v>18.5</v>
      </c>
      <c r="H1020" s="35">
        <v>11247</v>
      </c>
      <c r="I1020" s="35">
        <f>58.11*($T$2)</f>
        <v>116.22</v>
      </c>
      <c r="J1020" s="35">
        <f>1075*($T$2)</f>
        <v>2150</v>
      </c>
      <c r="K1020" s="35">
        <f t="shared" si="74"/>
        <v>2.5813953488372094</v>
      </c>
      <c r="L1020" s="35">
        <f t="shared" si="75"/>
        <v>2.5813113061435211</v>
      </c>
      <c r="M1020" s="35">
        <f>8.525*($T$2)</f>
        <v>17.05</v>
      </c>
      <c r="N1020" s="35">
        <f>63.9*(5280/3600)</f>
        <v>93.719999999999985</v>
      </c>
      <c r="O1020" s="35">
        <f t="shared" si="73"/>
        <v>0.7930232558139535</v>
      </c>
      <c r="P1020" s="35">
        <f t="shared" si="76"/>
        <v>44.012790697674426</v>
      </c>
      <c r="Q1020" s="35">
        <f>('Batt Capacity and Sys Weight'!$I$4) + (B1020*$T$2)</f>
        <v>54.184502999999999</v>
      </c>
      <c r="R1020" s="35">
        <f>'Batt Capacity and Sys Weight'!$H$4</f>
        <v>92.5</v>
      </c>
    </row>
    <row r="1021" spans="1:18" x14ac:dyDescent="0.3">
      <c r="A1021" s="35" t="s">
        <v>117</v>
      </c>
      <c r="B1021" s="35">
        <v>13.51</v>
      </c>
      <c r="C1021" s="35">
        <v>690</v>
      </c>
      <c r="D1021" s="35" t="s">
        <v>121</v>
      </c>
      <c r="E1021" s="36">
        <v>12</v>
      </c>
      <c r="F1021" s="36">
        <v>6.5</v>
      </c>
      <c r="G1021" s="35">
        <v>18.5</v>
      </c>
      <c r="H1021" s="35">
        <v>11173</v>
      </c>
      <c r="I1021" s="35">
        <f>65.74*($T$2)</f>
        <v>131.47999999999999</v>
      </c>
      <c r="J1021" s="35">
        <f>1216.2*($T$2)</f>
        <v>2432.4</v>
      </c>
      <c r="K1021" s="35">
        <f t="shared" si="74"/>
        <v>2.2816970892945241</v>
      </c>
      <c r="L1021" s="35">
        <f t="shared" si="75"/>
        <v>2.2817158503194404</v>
      </c>
      <c r="M1021" s="35">
        <f>9.705*($T$2)</f>
        <v>19.41</v>
      </c>
      <c r="N1021" s="35">
        <f>68.8*(5280/3600)</f>
        <v>100.90666666666665</v>
      </c>
      <c r="O1021" s="35">
        <f t="shared" si="73"/>
        <v>0.79797730636408482</v>
      </c>
      <c r="P1021" s="35">
        <f t="shared" si="76"/>
        <v>44.287740503206713</v>
      </c>
      <c r="Q1021" s="35">
        <f>('Batt Capacity and Sys Weight'!$I$4) + (B1021*$T$2)</f>
        <v>54.184502999999999</v>
      </c>
      <c r="R1021" s="35">
        <f>'Batt Capacity and Sys Weight'!$H$4</f>
        <v>92.5</v>
      </c>
    </row>
    <row r="1022" spans="1:18" x14ac:dyDescent="0.3">
      <c r="A1022" s="35" t="s">
        <v>117</v>
      </c>
      <c r="B1022" s="35">
        <v>13.51</v>
      </c>
      <c r="C1022" s="35">
        <v>690</v>
      </c>
      <c r="D1022" s="35" t="s">
        <v>32</v>
      </c>
      <c r="E1022" s="36" t="str" cm="1">
        <f t="array" ref="E1022">GetNumber(D1022,1)</f>
        <v>12</v>
      </c>
      <c r="F1022" s="36" t="str" cm="1">
        <f t="array" ref="F1022">GetNumber(D1022,2)</f>
        <v>8</v>
      </c>
      <c r="G1022" s="35">
        <v>18.5</v>
      </c>
      <c r="H1022" s="35">
        <v>10990</v>
      </c>
      <c r="I1022" s="35">
        <f>71.54*($T$2)</f>
        <v>143.08000000000001</v>
      </c>
      <c r="J1022" s="35">
        <f>1323.6*($T$2)</f>
        <v>2647.2</v>
      </c>
      <c r="K1022" s="35">
        <f t="shared" si="74"/>
        <v>2.0965548504079781</v>
      </c>
      <c r="L1022" s="35">
        <f t="shared" si="75"/>
        <v>2.0967291025999439</v>
      </c>
      <c r="M1022" s="35">
        <f>7.768125*($T$2)</f>
        <v>15.536250000000001</v>
      </c>
      <c r="N1022" s="35">
        <f>83.3*(5280/3600)</f>
        <v>122.17333333333332</v>
      </c>
      <c r="O1022" s="35">
        <f t="shared" si="73"/>
        <v>0.58689369900271993</v>
      </c>
      <c r="P1022" s="35">
        <f t="shared" si="76"/>
        <v>32.572600294650954</v>
      </c>
      <c r="Q1022" s="35">
        <f>('Batt Capacity and Sys Weight'!$I$4) + (B1022*$T$2)</f>
        <v>54.184502999999999</v>
      </c>
      <c r="R1022" s="35">
        <f>'Batt Capacity and Sys Weight'!$H$4</f>
        <v>92.5</v>
      </c>
    </row>
    <row r="1023" spans="1:18" x14ac:dyDescent="0.3">
      <c r="A1023" s="35" t="s">
        <v>117</v>
      </c>
      <c r="B1023" s="35">
        <v>13.51</v>
      </c>
      <c r="C1023" s="35">
        <v>690</v>
      </c>
      <c r="D1023" s="35" t="s">
        <v>122</v>
      </c>
      <c r="E1023" s="36" t="str" cm="1">
        <f t="array" ref="E1023">GetNumber(D1023,1)</f>
        <v>13</v>
      </c>
      <c r="F1023" s="36" cm="1">
        <f t="array" ref="F1023">GetNumber(D1023,2)+(GetNumber(D1023,3)/10)</f>
        <v>4.5</v>
      </c>
      <c r="G1023" s="35">
        <v>18.5</v>
      </c>
      <c r="H1023" s="35">
        <v>11213</v>
      </c>
      <c r="I1023" s="35">
        <f>61.58*($T$2)</f>
        <v>123.16</v>
      </c>
      <c r="J1023" s="35">
        <f>1139.2*($T$2)</f>
        <v>2278.4</v>
      </c>
      <c r="K1023" s="35">
        <f t="shared" si="74"/>
        <v>2.4359199438202244</v>
      </c>
      <c r="L1023" s="35">
        <f t="shared" si="75"/>
        <v>2.4358557973367976</v>
      </c>
      <c r="M1023" s="35">
        <f>9.6075*($T$2)</f>
        <v>19.215</v>
      </c>
      <c r="N1023" s="35">
        <f>47.8*(5280/3600)</f>
        <v>70.106666666666655</v>
      </c>
      <c r="O1023" s="35">
        <f t="shared" si="73"/>
        <v>0.84335498595505609</v>
      </c>
      <c r="P1023" s="35">
        <f t="shared" si="76"/>
        <v>46.806201720505612</v>
      </c>
      <c r="Q1023" s="35">
        <f>('Batt Capacity and Sys Weight'!$I$4) + (B1023*$T$2)</f>
        <v>54.184502999999999</v>
      </c>
      <c r="R1023" s="35">
        <f>'Batt Capacity and Sys Weight'!$H$4</f>
        <v>92.5</v>
      </c>
    </row>
    <row r="1024" spans="1:18" x14ac:dyDescent="0.3">
      <c r="A1024" s="35" t="s">
        <v>117</v>
      </c>
      <c r="B1024" s="35">
        <v>13.51</v>
      </c>
      <c r="C1024" s="35">
        <v>690</v>
      </c>
      <c r="D1024" s="35" t="s">
        <v>59</v>
      </c>
      <c r="E1024" s="36" t="str" cm="1">
        <f t="array" ref="E1024">GetNumber(D1024,1)</f>
        <v>13</v>
      </c>
      <c r="F1024" s="36" cm="1">
        <f t="array" ref="F1024">GetNumber(D1024,2)+(GetNumber(D1024,3)/10)</f>
        <v>5.5</v>
      </c>
      <c r="G1024" s="35">
        <v>18.5</v>
      </c>
      <c r="H1024" s="35">
        <v>11239</v>
      </c>
      <c r="I1024" s="35">
        <f>60.72*($T$2)</f>
        <v>121.44</v>
      </c>
      <c r="J1024" s="35">
        <f>1123.3*($T$2)</f>
        <v>2246.6</v>
      </c>
      <c r="K1024" s="35">
        <f t="shared" si="74"/>
        <v>2.4703997151250778</v>
      </c>
      <c r="L1024" s="35">
        <f t="shared" si="75"/>
        <v>2.4703557312252964</v>
      </c>
      <c r="M1024" s="35">
        <f>9.565625*($T$2)</f>
        <v>19.131250000000001</v>
      </c>
      <c r="N1024" s="35">
        <f>58.5*(5280/3600)</f>
        <v>85.8</v>
      </c>
      <c r="O1024" s="35">
        <f t="shared" si="73"/>
        <v>0.851564586486246</v>
      </c>
      <c r="P1024" s="35">
        <f t="shared" si="76"/>
        <v>47.261834549986652</v>
      </c>
      <c r="Q1024" s="35">
        <f>('Batt Capacity and Sys Weight'!$I$4) + (B1024*$T$2)</f>
        <v>54.184502999999999</v>
      </c>
      <c r="R1024" s="35">
        <f>'Batt Capacity and Sys Weight'!$H$4</f>
        <v>92.5</v>
      </c>
    </row>
    <row r="1025" spans="1:18" x14ac:dyDescent="0.3">
      <c r="A1025" s="35" t="s">
        <v>117</v>
      </c>
      <c r="B1025" s="35">
        <v>13.51</v>
      </c>
      <c r="C1025" s="35">
        <v>690</v>
      </c>
      <c r="D1025" s="35" t="s">
        <v>38</v>
      </c>
      <c r="E1025" s="36" t="str" cm="1">
        <f t="array" ref="E1025">GetNumber(D1025,1)</f>
        <v>14</v>
      </c>
      <c r="F1025" s="36" t="str" cm="1">
        <f t="array" ref="F1025">GetNumber(D1025,2)</f>
        <v>6</v>
      </c>
      <c r="G1025" s="35">
        <v>18.5</v>
      </c>
      <c r="H1025" s="35">
        <v>10926</v>
      </c>
      <c r="I1025" s="35">
        <f>74.12*($T$2)</f>
        <v>148.24</v>
      </c>
      <c r="J1025" s="35">
        <f>1371.3*($T$2)</f>
        <v>2742.6</v>
      </c>
      <c r="K1025" s="35">
        <f t="shared" si="74"/>
        <v>2.0236272150514112</v>
      </c>
      <c r="L1025" s="35">
        <f t="shared" si="75"/>
        <v>2.0237452779276848</v>
      </c>
      <c r="M1025" s="35">
        <f>11.378125*($T$2)</f>
        <v>22.756250000000001</v>
      </c>
      <c r="N1025" s="35">
        <f>62.1*(5280/3600)</f>
        <v>91.08</v>
      </c>
      <c r="O1025" s="35">
        <f t="shared" si="73"/>
        <v>0.82973273536060677</v>
      </c>
      <c r="P1025" s="35">
        <f t="shared" si="76"/>
        <v>46.05016681251368</v>
      </c>
      <c r="Q1025" s="35">
        <f>('Batt Capacity and Sys Weight'!$I$4) + (B1025*$T$2)</f>
        <v>54.184502999999999</v>
      </c>
      <c r="R1025" s="35">
        <f>'Batt Capacity and Sys Weight'!$H$4</f>
        <v>92.5</v>
      </c>
    </row>
    <row r="1026" spans="1:18" x14ac:dyDescent="0.3">
      <c r="A1026" s="35" t="s">
        <v>117</v>
      </c>
      <c r="B1026" s="35">
        <v>13.51</v>
      </c>
      <c r="C1026" s="35">
        <v>690</v>
      </c>
      <c r="D1026" s="35" t="s">
        <v>61</v>
      </c>
      <c r="E1026" s="36" t="str" cm="1">
        <f t="array" ref="E1026">GetNumber(D1026,1)</f>
        <v>11</v>
      </c>
      <c r="F1026" s="36" t="str" cm="1">
        <f t="array" ref="F1026">GetNumber(D1026,2)</f>
        <v>8</v>
      </c>
      <c r="G1026" s="35">
        <v>18.5</v>
      </c>
      <c r="H1026" s="35">
        <v>11478</v>
      </c>
      <c r="I1026" s="35">
        <f>50.97*($T$2)</f>
        <v>101.94</v>
      </c>
      <c r="J1026" s="35">
        <f>943*($T$2)</f>
        <v>1886</v>
      </c>
      <c r="K1026" s="35">
        <f t="shared" si="74"/>
        <v>2.9427359490986218</v>
      </c>
      <c r="L1026" s="35">
        <f t="shared" si="75"/>
        <v>2.9429075927015891</v>
      </c>
      <c r="M1026" s="35">
        <f>5.459375*($T$2)</f>
        <v>10.918749999999999</v>
      </c>
      <c r="N1026" s="35">
        <f>87*(5280/3600)</f>
        <v>127.6</v>
      </c>
      <c r="O1026" s="35">
        <f t="shared" ref="O1026:O1089" si="77" xml:space="preserve"> (M1026/J1026)*100</f>
        <v>0.57893690349946969</v>
      </c>
      <c r="P1026" s="35">
        <f t="shared" si="76"/>
        <v>32.130998144220577</v>
      </c>
      <c r="Q1026" s="35">
        <f>('Batt Capacity and Sys Weight'!$I$4) + (B1026*$T$2)</f>
        <v>54.184502999999999</v>
      </c>
      <c r="R1026" s="35">
        <f>'Batt Capacity and Sys Weight'!$H$4</f>
        <v>92.5</v>
      </c>
    </row>
    <row r="1027" spans="1:18" x14ac:dyDescent="0.3">
      <c r="A1027" s="35" t="s">
        <v>117</v>
      </c>
      <c r="B1027" s="35">
        <v>13.51</v>
      </c>
      <c r="C1027" s="35">
        <v>690</v>
      </c>
      <c r="D1027" s="35" t="s">
        <v>62</v>
      </c>
      <c r="E1027" s="36" t="str" cm="1">
        <f t="array" ref="E1027">GetNumber(D1027,1)</f>
        <v>12</v>
      </c>
      <c r="F1027" s="36" t="str" cm="1">
        <f t="array" ref="F1027">GetNumber(D1027,2)</f>
        <v>6</v>
      </c>
      <c r="G1027" s="35">
        <v>18.5</v>
      </c>
      <c r="H1027" s="35">
        <v>11554</v>
      </c>
      <c r="I1027" s="35">
        <f>49.15*($T$2)</f>
        <v>98.3</v>
      </c>
      <c r="J1027" s="35">
        <f>909.2*($T$2)</f>
        <v>1818.4</v>
      </c>
      <c r="K1027" s="35">
        <f t="shared" ref="K1027:K1090" si="78" xml:space="preserve"> (R1027/J1027)*60</f>
        <v>3.0521337439507259</v>
      </c>
      <c r="L1027" s="35">
        <f t="shared" ref="L1027:L1090" si="79">( (R1027/G1027)/I1027)*60</f>
        <v>3.0518819938962363</v>
      </c>
      <c r="M1027" s="35">
        <f>7.088125*($T$2)</f>
        <v>14.17625</v>
      </c>
      <c r="N1027" s="35">
        <f>65.7*(5280/3600)</f>
        <v>96.36</v>
      </c>
      <c r="O1027" s="35">
        <f t="shared" si="77"/>
        <v>0.7796001979762428</v>
      </c>
      <c r="P1027" s="35">
        <f t="shared" si="76"/>
        <v>43.267810987681479</v>
      </c>
      <c r="Q1027" s="35">
        <f>('Batt Capacity and Sys Weight'!$I$4) + (B1027*$T$2)</f>
        <v>54.184502999999999</v>
      </c>
      <c r="R1027" s="35">
        <f>'Batt Capacity and Sys Weight'!$H$4</f>
        <v>92.5</v>
      </c>
    </row>
    <row r="1028" spans="1:18" x14ac:dyDescent="0.3">
      <c r="A1028" s="35" t="s">
        <v>117</v>
      </c>
      <c r="B1028" s="35">
        <v>13.51</v>
      </c>
      <c r="C1028" s="35">
        <v>690</v>
      </c>
      <c r="D1028" s="35" t="s">
        <v>63</v>
      </c>
      <c r="E1028" s="36" t="str" cm="1">
        <f t="array" ref="E1028">GetNumber(D1028,1)</f>
        <v>12</v>
      </c>
      <c r="F1028" s="36" t="str" cm="1">
        <f t="array" ref="F1028">GetNumber(D1028,2)</f>
        <v>7</v>
      </c>
      <c r="G1028" s="35">
        <v>18.5</v>
      </c>
      <c r="H1028" s="35">
        <v>11269</v>
      </c>
      <c r="I1028" s="35">
        <f>59.67*($T$2)</f>
        <v>119.34</v>
      </c>
      <c r="J1028" s="35">
        <f>1103.9*($T$2)</f>
        <v>2207.8000000000002</v>
      </c>
      <c r="K1028" s="35">
        <f t="shared" si="78"/>
        <v>2.5138146571247391</v>
      </c>
      <c r="L1028" s="35">
        <f t="shared" si="79"/>
        <v>2.5138260432378079</v>
      </c>
      <c r="M1028" s="35">
        <f>7.639375*($T$2)</f>
        <v>15.27875</v>
      </c>
      <c r="N1028" s="35">
        <f>74.7*(5280/3600)</f>
        <v>109.56</v>
      </c>
      <c r="O1028" s="35">
        <f t="shared" si="77"/>
        <v>0.69203505752332639</v>
      </c>
      <c r="P1028" s="35">
        <f t="shared" si="76"/>
        <v>38.407945692544608</v>
      </c>
      <c r="Q1028" s="35">
        <f>('Batt Capacity and Sys Weight'!$I$4) + (B1028*$T$2)</f>
        <v>54.184502999999999</v>
      </c>
      <c r="R1028" s="35">
        <f>'Batt Capacity and Sys Weight'!$H$4</f>
        <v>92.5</v>
      </c>
    </row>
    <row r="1029" spans="1:18" x14ac:dyDescent="0.3">
      <c r="A1029" s="35" t="s">
        <v>117</v>
      </c>
      <c r="B1029" s="35">
        <v>13.51</v>
      </c>
      <c r="C1029" s="35">
        <v>690</v>
      </c>
      <c r="D1029" s="35" t="s">
        <v>64</v>
      </c>
      <c r="E1029" s="36" t="str" cm="1">
        <f t="array" ref="E1029">GetNumber(D1029,1)</f>
        <v>12</v>
      </c>
      <c r="F1029" s="36" t="str" cm="1">
        <f t="array" ref="F1029">GetNumber(D1029,2)</f>
        <v>8</v>
      </c>
      <c r="G1029" s="35">
        <v>18.5</v>
      </c>
      <c r="H1029" s="35">
        <v>10979</v>
      </c>
      <c r="I1029" s="35">
        <f>72.17*($T$2)</f>
        <v>144.34</v>
      </c>
      <c r="J1029" s="35">
        <f>1335.2*($T$2)</f>
        <v>2670.4</v>
      </c>
      <c r="K1029" s="35">
        <f t="shared" si="78"/>
        <v>2.0783403235470339</v>
      </c>
      <c r="L1029" s="35">
        <f t="shared" si="79"/>
        <v>2.0784259387557156</v>
      </c>
      <c r="M1029" s="35">
        <f>6.915625*($T$2)</f>
        <v>13.831250000000001</v>
      </c>
      <c r="N1029" s="35">
        <f>83.2*(5280/3600)</f>
        <v>122.02666666666666</v>
      </c>
      <c r="O1029" s="35">
        <f t="shared" si="77"/>
        <v>0.51794674955062914</v>
      </c>
      <c r="P1029" s="35">
        <f t="shared" si="76"/>
        <v>28.746044600059914</v>
      </c>
      <c r="Q1029" s="35">
        <f>('Batt Capacity and Sys Weight'!$I$4) + (B1029*$T$2)</f>
        <v>54.184502999999999</v>
      </c>
      <c r="R1029" s="35">
        <f>'Batt Capacity and Sys Weight'!$H$4</f>
        <v>92.5</v>
      </c>
    </row>
    <row r="1030" spans="1:18" x14ac:dyDescent="0.3">
      <c r="A1030" s="35" t="s">
        <v>117</v>
      </c>
      <c r="B1030" s="35">
        <v>13.51</v>
      </c>
      <c r="C1030" s="35">
        <v>690</v>
      </c>
      <c r="D1030" s="35" t="s">
        <v>65</v>
      </c>
      <c r="E1030" s="36" t="str" cm="1">
        <f t="array" ref="E1030">GetNumber(D1030,1)</f>
        <v>13</v>
      </c>
      <c r="F1030" s="36" t="str" cm="1">
        <f t="array" ref="F1030">GetNumber(D1030,2)</f>
        <v>6</v>
      </c>
      <c r="G1030" s="35">
        <v>18.5</v>
      </c>
      <c r="H1030" s="35">
        <v>11254</v>
      </c>
      <c r="I1030" s="35">
        <f>60.8*($T$2)</f>
        <v>121.6</v>
      </c>
      <c r="J1030" s="35">
        <f>1124.8*($T$2)</f>
        <v>2249.6</v>
      </c>
      <c r="K1030" s="35">
        <f t="shared" si="78"/>
        <v>2.4671052631578947</v>
      </c>
      <c r="L1030" s="35">
        <f t="shared" si="79"/>
        <v>2.4671052631578947</v>
      </c>
      <c r="M1030" s="35">
        <f>9.101875*($T$2)</f>
        <v>18.203749999999999</v>
      </c>
      <c r="N1030" s="35">
        <f>63.9*(5280/3600)</f>
        <v>93.719999999999985</v>
      </c>
      <c r="O1030" s="35">
        <f t="shared" si="77"/>
        <v>0.80919941322901856</v>
      </c>
      <c r="P1030" s="35">
        <f t="shared" si="76"/>
        <v>44.910567434210527</v>
      </c>
      <c r="Q1030" s="35">
        <f>('Batt Capacity and Sys Weight'!$I$4) + (B1030*$T$2)</f>
        <v>54.184502999999999</v>
      </c>
      <c r="R1030" s="35">
        <f>'Batt Capacity and Sys Weight'!$H$4</f>
        <v>92.5</v>
      </c>
    </row>
    <row r="1031" spans="1:18" x14ac:dyDescent="0.3">
      <c r="A1031" s="35" t="s">
        <v>117</v>
      </c>
      <c r="B1031" s="35">
        <v>13.51</v>
      </c>
      <c r="C1031" s="35">
        <v>690</v>
      </c>
      <c r="D1031" s="35" t="s">
        <v>81</v>
      </c>
      <c r="E1031" s="36" t="str" cm="1">
        <f t="array" ref="E1031">GetNumber(D1031,1)</f>
        <v>11</v>
      </c>
      <c r="F1031" s="36" t="str" cm="1">
        <f t="array" ref="F1031">GetNumber(D1031,2)</f>
        <v>7</v>
      </c>
      <c r="G1031" s="35">
        <v>18.5</v>
      </c>
      <c r="H1031" s="35">
        <v>11454</v>
      </c>
      <c r="I1031" s="35">
        <f>51.62*($T$2)</f>
        <v>103.24</v>
      </c>
      <c r="J1031" s="35">
        <f>954.9*($T$2)</f>
        <v>1909.8</v>
      </c>
      <c r="K1031" s="35">
        <f t="shared" si="78"/>
        <v>2.9060634621426327</v>
      </c>
      <c r="L1031" s="35">
        <f t="shared" si="79"/>
        <v>2.9058504455637348</v>
      </c>
      <c r="M1031" s="35">
        <f>7.54875*($T$2)</f>
        <v>15.0975</v>
      </c>
      <c r="N1031" s="35">
        <f>75.9*(5280/3600)</f>
        <v>111.32000000000001</v>
      </c>
      <c r="O1031" s="35">
        <f t="shared" si="77"/>
        <v>0.79052780395852973</v>
      </c>
      <c r="P1031" s="35">
        <f t="shared" si="76"/>
        <v>43.8742931196984</v>
      </c>
      <c r="Q1031" s="35">
        <f>('Batt Capacity and Sys Weight'!$I$4) + (B1031*$T$2)</f>
        <v>54.184502999999999</v>
      </c>
      <c r="R1031" s="35">
        <f>'Batt Capacity and Sys Weight'!$H$4</f>
        <v>92.5</v>
      </c>
    </row>
    <row r="1032" spans="1:18" x14ac:dyDescent="0.3">
      <c r="A1032" s="35" t="s">
        <v>117</v>
      </c>
      <c r="B1032" s="35">
        <v>13.51</v>
      </c>
      <c r="C1032" s="35">
        <v>690</v>
      </c>
      <c r="D1032" s="35" t="s">
        <v>66</v>
      </c>
      <c r="E1032" s="36" t="str" cm="1">
        <f t="array" ref="E1032">GetNumber(D1032,1)</f>
        <v>11</v>
      </c>
      <c r="F1032" s="36" t="str" cm="1">
        <f t="array" ref="F1032">GetNumber(D1032,2)</f>
        <v>8</v>
      </c>
      <c r="G1032" s="35">
        <v>18.5</v>
      </c>
      <c r="H1032" s="35">
        <v>11337</v>
      </c>
      <c r="I1032" s="35">
        <f>56.75*($T$2)</f>
        <v>113.5</v>
      </c>
      <c r="J1032" s="35">
        <f>1049.9*($T$2)</f>
        <v>2099.8000000000002</v>
      </c>
      <c r="K1032" s="35">
        <f t="shared" si="78"/>
        <v>2.6431088675111916</v>
      </c>
      <c r="L1032" s="35">
        <f t="shared" si="79"/>
        <v>2.643171806167401</v>
      </c>
      <c r="M1032" s="35">
        <f>7.835*($T$2)</f>
        <v>15.67</v>
      </c>
      <c r="N1032" s="35">
        <f>85.9*(5280/3600)</f>
        <v>125.98666666666666</v>
      </c>
      <c r="O1032" s="35">
        <f t="shared" si="77"/>
        <v>0.74626154871892558</v>
      </c>
      <c r="P1032" s="35">
        <f t="shared" si="76"/>
        <v>41.41751595390037</v>
      </c>
      <c r="Q1032" s="35">
        <f>('Batt Capacity and Sys Weight'!$I$4) + (B1032*$T$2)</f>
        <v>54.184502999999999</v>
      </c>
      <c r="R1032" s="35">
        <f>'Batt Capacity and Sys Weight'!$H$4</f>
        <v>92.5</v>
      </c>
    </row>
    <row r="1033" spans="1:18" x14ac:dyDescent="0.3">
      <c r="A1033" s="35" t="s">
        <v>117</v>
      </c>
      <c r="B1033" s="35">
        <v>13.51</v>
      </c>
      <c r="C1033" s="35">
        <v>690</v>
      </c>
      <c r="D1033" s="35" t="s">
        <v>53</v>
      </c>
      <c r="E1033" s="36" t="str" cm="1">
        <f t="array" ref="E1033">GetNumber(D1033,1)</f>
        <v>12</v>
      </c>
      <c r="F1033" s="36" t="str" cm="1">
        <f t="array" ref="F1033">GetNumber(D1033,2)</f>
        <v>6</v>
      </c>
      <c r="G1033" s="35">
        <v>18.5</v>
      </c>
      <c r="H1033" s="35">
        <v>11276</v>
      </c>
      <c r="I1033" s="35">
        <f>59.24*($T$2)</f>
        <v>118.48</v>
      </c>
      <c r="J1033" s="35">
        <f>1096*($T$2)</f>
        <v>2192</v>
      </c>
      <c r="K1033" s="35">
        <f t="shared" si="78"/>
        <v>2.5319343065693429</v>
      </c>
      <c r="L1033" s="35">
        <f t="shared" si="79"/>
        <v>2.5320729237002029</v>
      </c>
      <c r="M1033" s="35">
        <f>8.75875*($T$2)</f>
        <v>17.517499999999998</v>
      </c>
      <c r="N1033" s="35">
        <f>64.1*(5280/3600)</f>
        <v>94.013333333333321</v>
      </c>
      <c r="O1033" s="35">
        <f t="shared" si="77"/>
        <v>0.7991560218978101</v>
      </c>
      <c r="P1033" s="35">
        <f t="shared" si="76"/>
        <v>44.353159215328461</v>
      </c>
      <c r="Q1033" s="35">
        <f>('Batt Capacity and Sys Weight'!$I$4) + (B1033*$T$2)</f>
        <v>54.184502999999999</v>
      </c>
      <c r="R1033" s="35">
        <f>'Batt Capacity and Sys Weight'!$H$4</f>
        <v>92.5</v>
      </c>
    </row>
    <row r="1034" spans="1:18" x14ac:dyDescent="0.3">
      <c r="A1034" s="35" t="s">
        <v>117</v>
      </c>
      <c r="B1034" s="35">
        <v>13.51</v>
      </c>
      <c r="C1034" s="35">
        <v>690</v>
      </c>
      <c r="D1034" s="35" t="s">
        <v>68</v>
      </c>
      <c r="E1034" s="36" t="str" cm="1">
        <f t="array" ref="E1034">GetNumber(D1034,1)</f>
        <v>10</v>
      </c>
      <c r="F1034" s="36" t="str" cm="1">
        <f t="array" ref="F1034">GetNumber(D1034,2)</f>
        <v>7</v>
      </c>
      <c r="G1034" s="35">
        <v>22.2</v>
      </c>
      <c r="H1034" s="35">
        <v>13785</v>
      </c>
      <c r="I1034" s="35">
        <f>54.05*($T$2)</f>
        <v>108.1</v>
      </c>
      <c r="J1034" s="35">
        <f>1200*($T$2)</f>
        <v>2400</v>
      </c>
      <c r="K1034" s="35">
        <f t="shared" si="78"/>
        <v>2.4975000000000001</v>
      </c>
      <c r="L1034" s="35">
        <f t="shared" si="79"/>
        <v>2.497687326549491</v>
      </c>
      <c r="M1034" s="35">
        <f>6.7725*($T$2)</f>
        <v>13.545</v>
      </c>
      <c r="N1034" s="35">
        <f>91.4*(5280/3600)</f>
        <v>134.05333333333334</v>
      </c>
      <c r="O1034" s="35">
        <f t="shared" si="77"/>
        <v>0.56437500000000007</v>
      </c>
      <c r="P1034" s="35">
        <f t="shared" si="76"/>
        <v>33.828637499999999</v>
      </c>
      <c r="Q1034" s="35">
        <f>('Batt Capacity and Sys Weight'!$I$5) + (B1034*$T$2)</f>
        <v>58.593753</v>
      </c>
      <c r="R1034" s="35">
        <f>'Batt Capacity and Sys Weight'!$H$5</f>
        <v>99.9</v>
      </c>
    </row>
    <row r="1035" spans="1:18" x14ac:dyDescent="0.3">
      <c r="A1035" s="35" t="s">
        <v>117</v>
      </c>
      <c r="B1035" s="35">
        <v>13.51</v>
      </c>
      <c r="C1035" s="35">
        <v>690</v>
      </c>
      <c r="D1035" s="35" t="s">
        <v>69</v>
      </c>
      <c r="E1035" s="36" t="str" cm="1">
        <f t="array" ref="E1035">GetNumber(D1035,1)</f>
        <v>10</v>
      </c>
      <c r="F1035" s="36" t="str" cm="1">
        <f t="array" ref="F1035">GetNumber(D1035,2)</f>
        <v>8</v>
      </c>
      <c r="G1035" s="35">
        <v>22.2</v>
      </c>
      <c r="H1035" s="35">
        <v>13619</v>
      </c>
      <c r="I1035" s="35">
        <f>61.65*($T$2)</f>
        <v>123.3</v>
      </c>
      <c r="J1035" s="35">
        <f>1368.6*($T$2)</f>
        <v>2737.2</v>
      </c>
      <c r="K1035" s="35">
        <f t="shared" si="78"/>
        <v>2.189829022358615</v>
      </c>
      <c r="L1035" s="35">
        <f t="shared" si="79"/>
        <v>2.1897810218978107</v>
      </c>
      <c r="M1035" s="35">
        <f>6.710625*($T$2)</f>
        <v>13.421250000000001</v>
      </c>
      <c r="N1035" s="35">
        <f>103.2*(5280/3600)</f>
        <v>151.35999999999999</v>
      </c>
      <c r="O1035" s="35">
        <f t="shared" si="77"/>
        <v>0.49032770714598867</v>
      </c>
      <c r="P1035" s="35">
        <f t="shared" si="76"/>
        <v>29.390242766330562</v>
      </c>
      <c r="Q1035" s="35">
        <f>('Batt Capacity and Sys Weight'!$I$5) + (B1035*$T$2)</f>
        <v>58.593753</v>
      </c>
      <c r="R1035" s="35">
        <f>'Batt Capacity and Sys Weight'!$H$5</f>
        <v>99.9</v>
      </c>
    </row>
    <row r="1036" spans="1:18" x14ac:dyDescent="0.3">
      <c r="A1036" s="35" t="s">
        <v>117</v>
      </c>
      <c r="B1036" s="35">
        <v>13.51</v>
      </c>
      <c r="C1036" s="35">
        <v>690</v>
      </c>
      <c r="D1036" s="35" t="s">
        <v>55</v>
      </c>
      <c r="E1036" s="36" t="str" cm="1">
        <f t="array" ref="E1036">GetNumber(D1036,1)</f>
        <v>10</v>
      </c>
      <c r="F1036" s="36" t="str" cm="1">
        <f t="array" ref="F1036">GetNumber(D1036,2)</f>
        <v>10</v>
      </c>
      <c r="G1036" s="35">
        <v>22.2</v>
      </c>
      <c r="H1036" s="35">
        <v>13254</v>
      </c>
      <c r="I1036" s="35">
        <f>78.9*($T$2)</f>
        <v>157.80000000000001</v>
      </c>
      <c r="J1036" s="35">
        <f>1751.5*($T$2)</f>
        <v>3503</v>
      </c>
      <c r="K1036" s="35">
        <f t="shared" si="78"/>
        <v>1.7111047673422781</v>
      </c>
      <c r="L1036" s="35">
        <f t="shared" si="79"/>
        <v>1.7110266159695815</v>
      </c>
      <c r="M1036" s="35">
        <f>6.42875*($T$2)</f>
        <v>12.8575</v>
      </c>
      <c r="N1036" s="35">
        <f>125.5*(5280/3600)</f>
        <v>184.06666666666666</v>
      </c>
      <c r="O1036" s="35">
        <f t="shared" si="77"/>
        <v>0.3670425349700257</v>
      </c>
      <c r="P1036" s="35">
        <f t="shared" si="76"/>
        <v>22.000529546103341</v>
      </c>
      <c r="Q1036" s="35">
        <f>('Batt Capacity and Sys Weight'!$I$5) + (B1036*$T$2)</f>
        <v>58.593753</v>
      </c>
      <c r="R1036" s="35">
        <f>'Batt Capacity and Sys Weight'!$H$5</f>
        <v>99.9</v>
      </c>
    </row>
    <row r="1037" spans="1:18" x14ac:dyDescent="0.3">
      <c r="A1037" s="35" t="s">
        <v>117</v>
      </c>
      <c r="B1037" s="35">
        <v>13.51</v>
      </c>
      <c r="C1037" s="35">
        <v>690</v>
      </c>
      <c r="D1037" s="35" t="s">
        <v>70</v>
      </c>
      <c r="E1037" s="36" t="str" cm="1">
        <f t="array" ref="E1037">GetNumber(D1037,1)</f>
        <v>11</v>
      </c>
      <c r="F1037" s="36" cm="1">
        <f t="array" ref="F1037">GetNumber(D1037,2)+(GetNumber(D1037,3)/10)</f>
        <v>5.5</v>
      </c>
      <c r="G1037" s="35">
        <v>22.2</v>
      </c>
      <c r="H1037" s="35">
        <v>13554</v>
      </c>
      <c r="I1037" s="35">
        <f>60.79*($T$2)</f>
        <v>121.58</v>
      </c>
      <c r="J1037" s="35">
        <f>1349.6*($T$2)</f>
        <v>2699.2</v>
      </c>
      <c r="K1037" s="35">
        <f t="shared" si="78"/>
        <v>2.2206579727326621</v>
      </c>
      <c r="L1037" s="35">
        <f t="shared" si="79"/>
        <v>2.2207599934199704</v>
      </c>
      <c r="M1037" s="35">
        <f>8.61375*($T$2)</f>
        <v>17.227499999999999</v>
      </c>
      <c r="N1037" s="35">
        <f>70.6*(5280/3600)</f>
        <v>103.54666666666665</v>
      </c>
      <c r="O1037" s="35">
        <f t="shared" si="77"/>
        <v>0.63824466508595135</v>
      </c>
      <c r="P1037" s="35">
        <f t="shared" si="76"/>
        <v>38.256385225251933</v>
      </c>
      <c r="Q1037" s="35">
        <f>('Batt Capacity and Sys Weight'!$I$5) + (B1037*$T$2)</f>
        <v>58.593753</v>
      </c>
      <c r="R1037" s="35">
        <f>'Batt Capacity and Sys Weight'!$H$5</f>
        <v>99.9</v>
      </c>
    </row>
    <row r="1038" spans="1:18" x14ac:dyDescent="0.3">
      <c r="A1038" s="35" t="s">
        <v>117</v>
      </c>
      <c r="B1038" s="35">
        <v>13.51</v>
      </c>
      <c r="C1038" s="35">
        <v>690</v>
      </c>
      <c r="D1038" s="35" t="s">
        <v>71</v>
      </c>
      <c r="E1038" s="36" t="str" cm="1">
        <f t="array" ref="E1038">GetNumber(D1038,1)</f>
        <v>11</v>
      </c>
      <c r="F1038" s="36" t="str" cm="1">
        <f t="array" ref="F1038">GetNumber(D1038,2)</f>
        <v>7</v>
      </c>
      <c r="G1038" s="35">
        <v>22.2</v>
      </c>
      <c r="H1038" s="35">
        <v>13295</v>
      </c>
      <c r="I1038" s="35">
        <f>75.39*($T$2)</f>
        <v>150.78</v>
      </c>
      <c r="J1038" s="35">
        <f>1673.7*($T$2)</f>
        <v>3347.4</v>
      </c>
      <c r="K1038" s="35">
        <f t="shared" si="78"/>
        <v>1.7906434844954293</v>
      </c>
      <c r="L1038" s="35">
        <f t="shared" si="79"/>
        <v>1.7906884202148825</v>
      </c>
      <c r="M1038" s="35">
        <f>9.455625*($T$2)</f>
        <v>18.911249999999999</v>
      </c>
      <c r="N1038" s="35">
        <f>88.1*(5280/3600)</f>
        <v>129.21333333333331</v>
      </c>
      <c r="O1038" s="35">
        <f t="shared" si="77"/>
        <v>0.56495339666606914</v>
      </c>
      <c r="P1038" s="35">
        <f t="shared" si="76"/>
        <v>33.863306596164186</v>
      </c>
      <c r="Q1038" s="35">
        <f>('Batt Capacity and Sys Weight'!$I$5) + (B1038*$T$2)</f>
        <v>58.593753</v>
      </c>
      <c r="R1038" s="35">
        <f>'Batt Capacity and Sys Weight'!$H$5</f>
        <v>99.9</v>
      </c>
    </row>
    <row r="1039" spans="1:18" x14ac:dyDescent="0.3">
      <c r="A1039" s="35" t="s">
        <v>117</v>
      </c>
      <c r="B1039" s="35">
        <v>13.51</v>
      </c>
      <c r="C1039" s="35">
        <v>690</v>
      </c>
      <c r="D1039" s="35" t="s">
        <v>75</v>
      </c>
      <c r="E1039" s="36" t="str" cm="1">
        <f t="array" ref="E1039">GetNumber(D1039,1)</f>
        <v>10</v>
      </c>
      <c r="F1039" s="36" t="str" cm="1">
        <f t="array" ref="F1039">GetNumber(D1039,2)</f>
        <v>8</v>
      </c>
      <c r="G1039" s="35">
        <v>22.2</v>
      </c>
      <c r="H1039" s="35">
        <v>13774</v>
      </c>
      <c r="I1039" s="35">
        <f>56.31*($T$2)</f>
        <v>112.62</v>
      </c>
      <c r="J1039" s="35">
        <f>1250*($T$2)</f>
        <v>2500</v>
      </c>
      <c r="K1039" s="35">
        <f t="shared" si="78"/>
        <v>2.3976000000000002</v>
      </c>
      <c r="L1039" s="35">
        <f t="shared" si="79"/>
        <v>2.3974427277570594</v>
      </c>
      <c r="M1039" s="35">
        <f>6.014375*($T$2)</f>
        <v>12.02875</v>
      </c>
      <c r="N1039" s="35">
        <f>104.4*(5280/3600)</f>
        <v>153.12</v>
      </c>
      <c r="O1039" s="35">
        <f t="shared" si="77"/>
        <v>0.48114999999999997</v>
      </c>
      <c r="P1039" s="35">
        <f t="shared" si="76"/>
        <v>28.840131000000003</v>
      </c>
      <c r="Q1039" s="35">
        <f>('Batt Capacity and Sys Weight'!$I$5) + (B1039*$T$2)</f>
        <v>58.593753</v>
      </c>
      <c r="R1039" s="35">
        <f>'Batt Capacity and Sys Weight'!$H$5</f>
        <v>99.9</v>
      </c>
    </row>
    <row r="1040" spans="1:18" x14ac:dyDescent="0.3">
      <c r="A1040" s="35" t="s">
        <v>117</v>
      </c>
      <c r="B1040" s="35">
        <v>13.51</v>
      </c>
      <c r="C1040" s="35">
        <v>690</v>
      </c>
      <c r="D1040" s="35" t="s">
        <v>77</v>
      </c>
      <c r="E1040" s="36" t="str" cm="1">
        <f t="array" ref="E1040">GetNumber(D1040,1)</f>
        <v>11</v>
      </c>
      <c r="F1040" s="36" t="str" cm="1">
        <f t="array" ref="F1040">GetNumber(D1040,2)</f>
        <v>6</v>
      </c>
      <c r="G1040" s="35">
        <v>22.2</v>
      </c>
      <c r="H1040" s="35">
        <v>13755</v>
      </c>
      <c r="I1040" s="35">
        <f>53.98*($T$2)</f>
        <v>107.96</v>
      </c>
      <c r="J1040" s="35">
        <f>1198.4*($T$2)</f>
        <v>2396.8000000000002</v>
      </c>
      <c r="K1040" s="35">
        <f t="shared" si="78"/>
        <v>2.5008344459279037</v>
      </c>
      <c r="L1040" s="35">
        <f t="shared" si="79"/>
        <v>2.5009262689885143</v>
      </c>
      <c r="M1040" s="35">
        <f>7.908125*($T$2)</f>
        <v>15.81625</v>
      </c>
      <c r="N1040" s="35">
        <f>78.2*(5280/3600)</f>
        <v>114.69333333333333</v>
      </c>
      <c r="O1040" s="35">
        <f t="shared" si="77"/>
        <v>0.65989027036048054</v>
      </c>
      <c r="P1040" s="35">
        <f t="shared" si="76"/>
        <v>39.553822805407208</v>
      </c>
      <c r="Q1040" s="35">
        <f>('Batt Capacity and Sys Weight'!$I$5) + (B1040*$T$2)</f>
        <v>58.593753</v>
      </c>
      <c r="R1040" s="35">
        <f>'Batt Capacity and Sys Weight'!$H$5</f>
        <v>99.9</v>
      </c>
    </row>
    <row r="1041" spans="1:18" x14ac:dyDescent="0.3">
      <c r="A1041" s="35" t="s">
        <v>117</v>
      </c>
      <c r="B1041" s="35">
        <v>13.51</v>
      </c>
      <c r="C1041" s="35">
        <v>690</v>
      </c>
      <c r="D1041" s="35" t="s">
        <v>78</v>
      </c>
      <c r="E1041" s="36" t="str" cm="1">
        <f t="array" ref="E1041">GetNumber(D1041,1)</f>
        <v>11</v>
      </c>
      <c r="F1041" s="36" t="str" cm="1">
        <f t="array" ref="F1041">GetNumber(D1041,2)</f>
        <v>7</v>
      </c>
      <c r="G1041" s="35">
        <v>22.2</v>
      </c>
      <c r="H1041" s="35">
        <v>13692</v>
      </c>
      <c r="I1041" s="35">
        <f>58.56*($T$2)</f>
        <v>117.12</v>
      </c>
      <c r="J1041" s="35">
        <f>1300*($T$2)</f>
        <v>2600</v>
      </c>
      <c r="K1041" s="35">
        <f t="shared" si="78"/>
        <v>2.3053846153846158</v>
      </c>
      <c r="L1041" s="35">
        <f t="shared" si="79"/>
        <v>2.305327868852459</v>
      </c>
      <c r="M1041" s="35">
        <f>8.00375*($T$2)</f>
        <v>16.0075</v>
      </c>
      <c r="N1041" s="35">
        <f>90.8*(5280/3600)</f>
        <v>133.17333333333332</v>
      </c>
      <c r="O1041" s="35">
        <f t="shared" si="77"/>
        <v>0.61567307692307693</v>
      </c>
      <c r="P1041" s="35">
        <f t="shared" ref="P1041:P1104" si="80">M1041*K1041</f>
        <v>36.903444230769239</v>
      </c>
      <c r="Q1041" s="35">
        <f>('Batt Capacity and Sys Weight'!$I$5) + (B1041*$T$2)</f>
        <v>58.593753</v>
      </c>
      <c r="R1041" s="35">
        <f>'Batt Capacity and Sys Weight'!$H$5</f>
        <v>99.9</v>
      </c>
    </row>
    <row r="1042" spans="1:18" x14ac:dyDescent="0.3">
      <c r="A1042" s="35" t="s">
        <v>117</v>
      </c>
      <c r="B1042" s="35">
        <v>13.51</v>
      </c>
      <c r="C1042" s="35">
        <v>690</v>
      </c>
      <c r="D1042" s="35" t="s">
        <v>61</v>
      </c>
      <c r="E1042" s="36" t="str" cm="1">
        <f t="array" ref="E1042">GetNumber(D1042,1)</f>
        <v>11</v>
      </c>
      <c r="F1042" s="36" t="str" cm="1">
        <f t="array" ref="F1042">GetNumber(D1042,2)</f>
        <v>8</v>
      </c>
      <c r="G1042" s="35">
        <v>22.2</v>
      </c>
      <c r="H1042" s="35">
        <v>13329</v>
      </c>
      <c r="I1042" s="35">
        <f>75.43*($T$2)</f>
        <v>150.86000000000001</v>
      </c>
      <c r="J1042" s="35">
        <f>1674.6*($T$2)</f>
        <v>3349.2</v>
      </c>
      <c r="K1042" s="35">
        <f t="shared" si="78"/>
        <v>1.7896811178788965</v>
      </c>
      <c r="L1042" s="35">
        <f t="shared" si="79"/>
        <v>1.7897388307039639</v>
      </c>
      <c r="M1042" s="35">
        <f>7.423125*($T$2)</f>
        <v>14.84625</v>
      </c>
      <c r="N1042" s="35">
        <f>101*(5280/3600)</f>
        <v>148.13333333333333</v>
      </c>
      <c r="O1042" s="35">
        <f t="shared" si="77"/>
        <v>0.44327749910426373</v>
      </c>
      <c r="P1042" s="35">
        <f t="shared" si="80"/>
        <v>26.570053296309567</v>
      </c>
      <c r="Q1042" s="35">
        <f>('Batt Capacity and Sys Weight'!$I$5) + (B1042*$T$2)</f>
        <v>58.593753</v>
      </c>
      <c r="R1042" s="35">
        <f>'Batt Capacity and Sys Weight'!$H$5</f>
        <v>99.9</v>
      </c>
    </row>
    <row r="1043" spans="1:18" x14ac:dyDescent="0.3">
      <c r="A1043" s="35" t="s">
        <v>117</v>
      </c>
      <c r="B1043" s="35">
        <v>13.51</v>
      </c>
      <c r="C1043" s="35">
        <v>690</v>
      </c>
      <c r="D1043" s="35" t="s">
        <v>62</v>
      </c>
      <c r="E1043" s="36" t="str" cm="1">
        <f t="array" ref="E1043">GetNumber(D1043,1)</f>
        <v>12</v>
      </c>
      <c r="F1043" s="36" t="str" cm="1">
        <f t="array" ref="F1043">GetNumber(D1043,2)</f>
        <v>6</v>
      </c>
      <c r="G1043" s="35">
        <v>22.2</v>
      </c>
      <c r="H1043" s="35">
        <v>13338</v>
      </c>
      <c r="I1043" s="35">
        <f>74.47*($T$2)</f>
        <v>148.94</v>
      </c>
      <c r="J1043" s="35">
        <f>1653.3*($T$2)</f>
        <v>3306.6</v>
      </c>
      <c r="K1043" s="35">
        <f t="shared" si="78"/>
        <v>1.8127381600435495</v>
      </c>
      <c r="L1043" s="35">
        <f t="shared" si="79"/>
        <v>1.812810527729287</v>
      </c>
      <c r="M1043" s="35">
        <f>9.440625*($T$2)</f>
        <v>18.881250000000001</v>
      </c>
      <c r="N1043" s="35">
        <f>75.8*(5280/3600)</f>
        <v>111.17333333333332</v>
      </c>
      <c r="O1043" s="35">
        <f t="shared" si="77"/>
        <v>0.57101705679549997</v>
      </c>
      <c r="P1043" s="35">
        <f t="shared" si="80"/>
        <v>34.226762384322271</v>
      </c>
      <c r="Q1043" s="35">
        <f>('Batt Capacity and Sys Weight'!$I$5) + (B1043*$T$2)</f>
        <v>58.593753</v>
      </c>
      <c r="R1043" s="35">
        <f>'Batt Capacity and Sys Weight'!$H$5</f>
        <v>99.9</v>
      </c>
    </row>
    <row r="1044" spans="1:18" x14ac:dyDescent="0.3">
      <c r="A1044" s="35" t="s">
        <v>117</v>
      </c>
      <c r="B1044" s="35">
        <v>13.51</v>
      </c>
      <c r="C1044" s="35">
        <v>690</v>
      </c>
      <c r="D1044" s="35" t="s">
        <v>80</v>
      </c>
      <c r="E1044" s="36" t="str" cm="1">
        <f t="array" ref="E1044">GetNumber(D1044,1)</f>
        <v>10</v>
      </c>
      <c r="F1044" s="36" t="str" cm="1">
        <f t="array" ref="F1044">GetNumber(D1044,2)</f>
        <v>7</v>
      </c>
      <c r="G1044" s="35">
        <v>22.2</v>
      </c>
      <c r="H1044" s="35">
        <v>13688</v>
      </c>
      <c r="I1044" s="35">
        <f>57.66*($T$2)</f>
        <v>115.32</v>
      </c>
      <c r="J1044" s="35">
        <f>1279.9*($T$2)</f>
        <v>2559.8000000000002</v>
      </c>
      <c r="K1044" s="35">
        <f t="shared" si="78"/>
        <v>2.3415891866552077</v>
      </c>
      <c r="L1044" s="35">
        <f t="shared" si="79"/>
        <v>2.341311134235172</v>
      </c>
      <c r="M1044" s="35">
        <f>8.811875*($T$2)</f>
        <v>17.623750000000001</v>
      </c>
      <c r="N1044" s="35">
        <f>90.7*(5280/3600)</f>
        <v>133.02666666666667</v>
      </c>
      <c r="O1044" s="35">
        <f t="shared" si="77"/>
        <v>0.68848152199390578</v>
      </c>
      <c r="P1044" s="35">
        <f t="shared" si="80"/>
        <v>41.267582428314718</v>
      </c>
      <c r="Q1044" s="35">
        <f>('Batt Capacity and Sys Weight'!$I$5) + (B1044*$T$2)</f>
        <v>58.593753</v>
      </c>
      <c r="R1044" s="35">
        <f>'Batt Capacity and Sys Weight'!$H$5</f>
        <v>99.9</v>
      </c>
    </row>
    <row r="1045" spans="1:18" x14ac:dyDescent="0.3">
      <c r="A1045" s="35" t="s">
        <v>117</v>
      </c>
      <c r="B1045" s="35">
        <v>13.51</v>
      </c>
      <c r="C1045" s="35">
        <v>690</v>
      </c>
      <c r="D1045" s="35" t="s">
        <v>81</v>
      </c>
      <c r="E1045" s="36" t="str" cm="1">
        <f t="array" ref="E1045">GetNumber(D1045,1)</f>
        <v>11</v>
      </c>
      <c r="F1045" s="36" t="str" cm="1">
        <f t="array" ref="F1045">GetNumber(D1045,2)</f>
        <v>7</v>
      </c>
      <c r="G1045" s="35">
        <v>22.2</v>
      </c>
      <c r="H1045" s="35">
        <v>13423</v>
      </c>
      <c r="I1045" s="35">
        <f>71.16*($T$2)</f>
        <v>142.32</v>
      </c>
      <c r="J1045" s="35">
        <f>1579.7*($T$2)</f>
        <v>3159.4</v>
      </c>
      <c r="K1045" s="35">
        <f t="shared" si="78"/>
        <v>1.8971956700639363</v>
      </c>
      <c r="L1045" s="35">
        <f t="shared" si="79"/>
        <v>1.897133220910624</v>
      </c>
      <c r="M1045" s="35">
        <f>10.5825*($T$2)</f>
        <v>21.164999999999999</v>
      </c>
      <c r="N1045" s="35">
        <f>89*(5280/3600)</f>
        <v>130.53333333333333</v>
      </c>
      <c r="O1045" s="35">
        <f t="shared" si="77"/>
        <v>0.6699056782933468</v>
      </c>
      <c r="P1045" s="35">
        <f t="shared" si="80"/>
        <v>40.154146356903212</v>
      </c>
      <c r="Q1045" s="35">
        <f>('Batt Capacity and Sys Weight'!$I$5) + (B1045*$T$2)</f>
        <v>58.593753</v>
      </c>
      <c r="R1045" s="35">
        <f>'Batt Capacity and Sys Weight'!$H$5</f>
        <v>99.9</v>
      </c>
    </row>
    <row r="1046" spans="1:18" x14ac:dyDescent="0.3">
      <c r="A1046" s="35" t="s">
        <v>117</v>
      </c>
      <c r="B1046" s="35">
        <v>13.51</v>
      </c>
      <c r="C1046" s="35">
        <v>690</v>
      </c>
      <c r="D1046" s="35" t="s">
        <v>66</v>
      </c>
      <c r="E1046" s="36" t="str" cm="1">
        <f t="array" ref="E1046">GetNumber(D1046,1)</f>
        <v>11</v>
      </c>
      <c r="F1046" s="36" t="str" cm="1">
        <f t="array" ref="F1046">GetNumber(D1046,2)</f>
        <v>8</v>
      </c>
      <c r="G1046" s="35">
        <v>22.2</v>
      </c>
      <c r="H1046" s="35">
        <v>13240</v>
      </c>
      <c r="I1046" s="35">
        <f>78.79*($T$2)</f>
        <v>157.58000000000001</v>
      </c>
      <c r="J1046" s="35">
        <f>1749.2*($T$2)</f>
        <v>3498.4</v>
      </c>
      <c r="K1046" s="35">
        <f t="shared" si="78"/>
        <v>1.7133546764235079</v>
      </c>
      <c r="L1046" s="35">
        <f t="shared" si="79"/>
        <v>1.7134154080467063</v>
      </c>
      <c r="M1046" s="35">
        <f>10.613125*($T$2)</f>
        <v>21.22625</v>
      </c>
      <c r="N1046" s="35">
        <f>100.3*(5280/3600)</f>
        <v>147.10666666666665</v>
      </c>
      <c r="O1046" s="35">
        <f t="shared" si="77"/>
        <v>0.60674165332723529</v>
      </c>
      <c r="P1046" s="35">
        <f t="shared" si="80"/>
        <v>36.368094700434483</v>
      </c>
      <c r="Q1046" s="35">
        <f>('Batt Capacity and Sys Weight'!$I$5) + (B1046*$T$2)</f>
        <v>58.593753</v>
      </c>
      <c r="R1046" s="35">
        <f>'Batt Capacity and Sys Weight'!$H$5</f>
        <v>99.9</v>
      </c>
    </row>
    <row r="1047" spans="1:18" x14ac:dyDescent="0.3">
      <c r="A1047" s="35" t="s">
        <v>124</v>
      </c>
      <c r="B1047" s="35">
        <v>2.77</v>
      </c>
      <c r="C1047" s="35">
        <v>1000</v>
      </c>
      <c r="D1047" s="35" t="s">
        <v>127</v>
      </c>
      <c r="E1047" s="36" t="str" cm="1">
        <f t="array" ref="E1047">GetNumber(D1047,1)</f>
        <v>8</v>
      </c>
      <c r="F1047" s="36" t="str" cm="1">
        <f t="array" ref="F1047">GetNumber(D1047,2)</f>
        <v>6</v>
      </c>
      <c r="G1047" s="35">
        <v>11.1</v>
      </c>
      <c r="H1047" s="35">
        <v>9080</v>
      </c>
      <c r="I1047" s="35">
        <f>11.6*($T$2)</f>
        <v>23.2</v>
      </c>
      <c r="J1047" s="35">
        <f>128.8*($T$2)</f>
        <v>257.60000000000002</v>
      </c>
      <c r="K1047" s="35">
        <f t="shared" si="78"/>
        <v>23.268633540372669</v>
      </c>
      <c r="L1047" s="35">
        <f t="shared" si="79"/>
        <v>23.275862068965516</v>
      </c>
      <c r="M1047" s="35">
        <f>1.4725*($T$2)</f>
        <v>2.9449999999999998</v>
      </c>
      <c r="N1047" s="35">
        <f>51.6*(5280/3600)</f>
        <v>75.679999999999993</v>
      </c>
      <c r="O1047" s="35">
        <f t="shared" si="77"/>
        <v>1.1432453416149067</v>
      </c>
      <c r="P1047" s="35">
        <f t="shared" si="80"/>
        <v>68.526125776397507</v>
      </c>
      <c r="Q1047" s="35">
        <f>('Batt Capacity and Sys Weight'!$I$2) + (B1047*$T$2)</f>
        <v>36.373000000000005</v>
      </c>
      <c r="R1047" s="35">
        <f>'Batt Capacity and Sys Weight'!$H$2</f>
        <v>99.9</v>
      </c>
    </row>
    <row r="1048" spans="1:18" x14ac:dyDescent="0.3">
      <c r="A1048" s="35" t="s">
        <v>124</v>
      </c>
      <c r="B1048" s="35">
        <v>2.77</v>
      </c>
      <c r="C1048" s="35">
        <v>1000</v>
      </c>
      <c r="D1048" s="35" t="s">
        <v>128</v>
      </c>
      <c r="E1048" s="36" t="str" cm="1">
        <f t="array" ref="E1048">GetNumber(D1048,1)</f>
        <v>8</v>
      </c>
      <c r="F1048" s="36" t="str" cm="1">
        <f t="array" ref="F1048">GetNumber(D1048,2)</f>
        <v>8</v>
      </c>
      <c r="G1048" s="35">
        <v>11.1</v>
      </c>
      <c r="H1048" s="35">
        <v>8615</v>
      </c>
      <c r="I1048" s="35">
        <f>14.45*($T$2)</f>
        <v>28.9</v>
      </c>
      <c r="J1048" s="35">
        <f>160.3*($T$2)</f>
        <v>320.60000000000002</v>
      </c>
      <c r="K1048" s="35">
        <f t="shared" si="78"/>
        <v>18.696194635059264</v>
      </c>
      <c r="L1048" s="35">
        <f t="shared" si="79"/>
        <v>18.685121107266436</v>
      </c>
      <c r="M1048" s="35">
        <f>1.38875*($T$2)</f>
        <v>2.7774999999999999</v>
      </c>
      <c r="N1048" s="35">
        <f>65.3*(5280/3600)</f>
        <v>95.773333333333326</v>
      </c>
      <c r="O1048" s="35">
        <f t="shared" si="77"/>
        <v>0.86634435433562051</v>
      </c>
      <c r="P1048" s="35">
        <f t="shared" si="80"/>
        <v>51.928680598877101</v>
      </c>
      <c r="Q1048" s="35">
        <f>('Batt Capacity and Sys Weight'!$I$2) + (B1048*$T$2)</f>
        <v>36.373000000000005</v>
      </c>
      <c r="R1048" s="35">
        <f>'Batt Capacity and Sys Weight'!$H$2</f>
        <v>99.9</v>
      </c>
    </row>
    <row r="1049" spans="1:18" x14ac:dyDescent="0.3">
      <c r="A1049" s="35" t="s">
        <v>124</v>
      </c>
      <c r="B1049" s="35">
        <v>2.77</v>
      </c>
      <c r="C1049" s="35">
        <v>1000</v>
      </c>
      <c r="D1049" s="35" t="s">
        <v>129</v>
      </c>
      <c r="E1049" s="36" t="str" cm="1">
        <f t="array" ref="E1049">GetNumber(D1049,1)</f>
        <v>9</v>
      </c>
      <c r="F1049" s="36" cm="1">
        <f t="array" ref="F1049">GetNumber(D1049,2)+(GetNumber(D1049,3)/10)</f>
        <v>4.5</v>
      </c>
      <c r="G1049" s="35">
        <v>11.1</v>
      </c>
      <c r="H1049" s="35">
        <v>9080</v>
      </c>
      <c r="I1049" s="35">
        <f>11.68*($T$2)</f>
        <v>23.36</v>
      </c>
      <c r="J1049" s="35">
        <f>129.6*($T$2)</f>
        <v>259.2</v>
      </c>
      <c r="K1049" s="35">
        <f t="shared" si="78"/>
        <v>23.125</v>
      </c>
      <c r="L1049" s="35">
        <f t="shared" si="79"/>
        <v>23.116438356164384</v>
      </c>
      <c r="M1049" s="35">
        <f>1.741875*($T$2)</f>
        <v>3.4837500000000001</v>
      </c>
      <c r="N1049" s="35">
        <f>38.7*(5280/3600)</f>
        <v>56.76</v>
      </c>
      <c r="O1049" s="35">
        <f t="shared" si="77"/>
        <v>1.3440393518518521</v>
      </c>
      <c r="P1049" s="35">
        <f t="shared" si="80"/>
        <v>80.561718749999997</v>
      </c>
      <c r="Q1049" s="35">
        <f>('Batt Capacity and Sys Weight'!$I$2) + (B1049*$T$2)</f>
        <v>36.373000000000005</v>
      </c>
      <c r="R1049" s="35">
        <f>'Batt Capacity and Sys Weight'!$H$2</f>
        <v>99.9</v>
      </c>
    </row>
    <row r="1050" spans="1:18" x14ac:dyDescent="0.3">
      <c r="A1050" s="35" t="s">
        <v>124</v>
      </c>
      <c r="B1050" s="35">
        <v>2.77</v>
      </c>
      <c r="C1050" s="35">
        <v>1000</v>
      </c>
      <c r="D1050" s="35" t="s">
        <v>107</v>
      </c>
      <c r="E1050" s="36" t="str" cm="1">
        <f t="array" ref="E1050">GetNumber(D1050,1)</f>
        <v>9</v>
      </c>
      <c r="F1050" s="36" t="str" cm="1">
        <f t="array" ref="F1050">GetNumber(D1050,2)</f>
        <v>6</v>
      </c>
      <c r="G1050" s="35">
        <v>11.1</v>
      </c>
      <c r="H1050" s="35">
        <v>8788</v>
      </c>
      <c r="I1050" s="35">
        <f>13.52*($T$2)</f>
        <v>27.04</v>
      </c>
      <c r="J1050" s="35">
        <f>150*($T$2)</f>
        <v>300</v>
      </c>
      <c r="K1050" s="35">
        <f t="shared" si="78"/>
        <v>19.98</v>
      </c>
      <c r="L1050" s="35">
        <f t="shared" si="79"/>
        <v>19.970414201183434</v>
      </c>
      <c r="M1050" s="35">
        <f>1.77*($T$2)</f>
        <v>3.54</v>
      </c>
      <c r="N1050" s="35">
        <f>49.9*(5280/3600)</f>
        <v>73.186666666666653</v>
      </c>
      <c r="O1050" s="35">
        <f t="shared" si="77"/>
        <v>1.18</v>
      </c>
      <c r="P1050" s="35">
        <f t="shared" si="80"/>
        <v>70.729200000000006</v>
      </c>
      <c r="Q1050" s="35">
        <f>('Batt Capacity and Sys Weight'!$I$2) + (B1050*$T$2)</f>
        <v>36.373000000000005</v>
      </c>
      <c r="R1050" s="35">
        <f>'Batt Capacity and Sys Weight'!$H$2</f>
        <v>99.9</v>
      </c>
    </row>
    <row r="1051" spans="1:18" x14ac:dyDescent="0.3">
      <c r="A1051" s="35" t="s">
        <v>124</v>
      </c>
      <c r="B1051" s="35">
        <v>2.77</v>
      </c>
      <c r="C1051" s="35">
        <v>1000</v>
      </c>
      <c r="D1051" s="35" t="s">
        <v>99</v>
      </c>
      <c r="E1051" s="36" t="str" cm="1">
        <f t="array" ref="E1051">GetNumber(D1051,1)</f>
        <v>10</v>
      </c>
      <c r="F1051" s="36" t="str" cm="1">
        <f t="array" ref="F1051">GetNumber(D1051,2)</f>
        <v>5</v>
      </c>
      <c r="G1051" s="35">
        <v>11.1</v>
      </c>
      <c r="H1051" s="35">
        <v>8414</v>
      </c>
      <c r="I1051" s="35">
        <f>15.66*($T$2)</f>
        <v>31.32</v>
      </c>
      <c r="J1051" s="35">
        <f>173.8*($T$2)</f>
        <v>347.6</v>
      </c>
      <c r="K1051" s="35">
        <f t="shared" si="78"/>
        <v>17.243958573072497</v>
      </c>
      <c r="L1051" s="35">
        <f t="shared" si="79"/>
        <v>17.241379310344826</v>
      </c>
      <c r="M1051" s="35">
        <f>2.15625*($T$2)</f>
        <v>4.3125</v>
      </c>
      <c r="N1051" s="35">
        <f>39.8*(5280/3600)</f>
        <v>58.373333333333328</v>
      </c>
      <c r="O1051" s="35">
        <f t="shared" si="77"/>
        <v>1.2406501726121979</v>
      </c>
      <c r="P1051" s="35">
        <f t="shared" si="80"/>
        <v>74.364571346375143</v>
      </c>
      <c r="Q1051" s="35">
        <f>('Batt Capacity and Sys Weight'!$I$2) + (B1051*$T$2)</f>
        <v>36.373000000000005</v>
      </c>
      <c r="R1051" s="35">
        <f>'Batt Capacity and Sys Weight'!$H$2</f>
        <v>99.9</v>
      </c>
    </row>
    <row r="1052" spans="1:18" x14ac:dyDescent="0.3">
      <c r="A1052" s="35" t="s">
        <v>124</v>
      </c>
      <c r="B1052" s="35">
        <v>2.77</v>
      </c>
      <c r="C1052" s="35">
        <v>1000</v>
      </c>
      <c r="D1052" s="35" t="s">
        <v>67</v>
      </c>
      <c r="E1052" s="36" t="str" cm="1">
        <f t="array" ref="E1052">GetNumber(D1052,1)</f>
        <v>10</v>
      </c>
      <c r="F1052" s="36" t="str" cm="1">
        <f t="array" ref="F1052">GetNumber(D1052,2)</f>
        <v>6</v>
      </c>
      <c r="G1052" s="35">
        <v>11.1</v>
      </c>
      <c r="H1052" s="35">
        <v>8146</v>
      </c>
      <c r="I1052" s="35">
        <f>17.3*($T$2)</f>
        <v>34.6</v>
      </c>
      <c r="J1052" s="35">
        <f>192*($T$2)</f>
        <v>384</v>
      </c>
      <c r="K1052" s="35">
        <f t="shared" si="78"/>
        <v>15.609375000000002</v>
      </c>
      <c r="L1052" s="35">
        <f t="shared" si="79"/>
        <v>15.60693641618497</v>
      </c>
      <c r="M1052" s="35">
        <f>2.24625*($T$2)</f>
        <v>4.4924999999999997</v>
      </c>
      <c r="N1052" s="35">
        <f>46.3*(5280/3600)</f>
        <v>67.906666666666652</v>
      </c>
      <c r="O1052" s="35">
        <f t="shared" si="77"/>
        <v>1.1699218749999998</v>
      </c>
      <c r="P1052" s="35">
        <f t="shared" si="80"/>
        <v>70.12511718750001</v>
      </c>
      <c r="Q1052" s="35">
        <f>('Batt Capacity and Sys Weight'!$I$2) + (B1052*$T$2)</f>
        <v>36.373000000000005</v>
      </c>
      <c r="R1052" s="35">
        <f>'Batt Capacity and Sys Weight'!$H$2</f>
        <v>99.9</v>
      </c>
    </row>
    <row r="1053" spans="1:18" x14ac:dyDescent="0.3">
      <c r="A1053" s="35" t="s">
        <v>124</v>
      </c>
      <c r="B1053" s="35">
        <v>2.77</v>
      </c>
      <c r="C1053" s="35">
        <v>1000</v>
      </c>
      <c r="D1053" s="35" t="s">
        <v>131</v>
      </c>
      <c r="E1053" s="36" t="str" cm="1">
        <f t="array" ref="E1053">GetNumber(D1053,1)</f>
        <v>10</v>
      </c>
      <c r="F1053" s="36" t="str" cm="1">
        <f t="array" ref="F1053">GetNumber(D1053,2)</f>
        <v>6</v>
      </c>
      <c r="G1053" s="35">
        <v>11.1</v>
      </c>
      <c r="H1053" s="35">
        <v>8587</v>
      </c>
      <c r="I1053" s="35">
        <f>14.68*($T$2)</f>
        <v>29.36</v>
      </c>
      <c r="J1053" s="35">
        <f>163*($T$2)</f>
        <v>326</v>
      </c>
      <c r="K1053" s="35">
        <f t="shared" si="78"/>
        <v>18.386503067484664</v>
      </c>
      <c r="L1053" s="35">
        <f t="shared" si="79"/>
        <v>18.392370572207085</v>
      </c>
      <c r="M1053" s="35">
        <f>1.96*($T$2)</f>
        <v>3.92</v>
      </c>
      <c r="N1053" s="35">
        <f>48.8*(5280/3600)</f>
        <v>71.573333333333323</v>
      </c>
      <c r="O1053" s="35">
        <f t="shared" si="77"/>
        <v>1.2024539877300613</v>
      </c>
      <c r="P1053" s="35">
        <f t="shared" si="80"/>
        <v>72.075092024539885</v>
      </c>
      <c r="Q1053" s="35">
        <f>('Batt Capacity and Sys Weight'!$I$2) + (B1053*$T$2)</f>
        <v>36.373000000000005</v>
      </c>
      <c r="R1053" s="35">
        <f>'Batt Capacity and Sys Weight'!$H$2</f>
        <v>99.9</v>
      </c>
    </row>
    <row r="1054" spans="1:18" x14ac:dyDescent="0.3">
      <c r="A1054" s="35" t="s">
        <v>124</v>
      </c>
      <c r="B1054" s="35">
        <v>2.77</v>
      </c>
      <c r="C1054" s="35">
        <v>1000</v>
      </c>
      <c r="D1054" s="35" t="s">
        <v>133</v>
      </c>
      <c r="E1054" s="36" t="str" cm="1">
        <f t="array" ref="E1054">GetNumber(D1054,1)</f>
        <v>10</v>
      </c>
      <c r="F1054" s="36" t="str" cm="1">
        <f t="array" ref="F1054">GetNumber(D1054,2)</f>
        <v>5</v>
      </c>
      <c r="G1054" s="35">
        <v>11.1</v>
      </c>
      <c r="H1054" s="35">
        <v>8565</v>
      </c>
      <c r="I1054" s="35">
        <f>14.94*($T$2)</f>
        <v>29.88</v>
      </c>
      <c r="J1054" s="35">
        <f>165.8*($T$2)</f>
        <v>331.6</v>
      </c>
      <c r="K1054" s="35">
        <f t="shared" si="78"/>
        <v>18.075995174909529</v>
      </c>
      <c r="L1054" s="35">
        <f t="shared" si="79"/>
        <v>18.072289156626507</v>
      </c>
      <c r="M1054" s="35">
        <f>1.955625*($T$2)</f>
        <v>3.9112499999999999</v>
      </c>
      <c r="N1054" s="35">
        <f>40.6*(5280/3600)</f>
        <v>59.546666666666667</v>
      </c>
      <c r="O1054" s="35">
        <f t="shared" si="77"/>
        <v>1.1795084439083232</v>
      </c>
      <c r="P1054" s="35">
        <f t="shared" si="80"/>
        <v>70.699736127864895</v>
      </c>
      <c r="Q1054" s="35">
        <f>('Batt Capacity and Sys Weight'!$I$2) + (B1054*$T$2)</f>
        <v>36.373000000000005</v>
      </c>
      <c r="R1054" s="35">
        <f>'Batt Capacity and Sys Weight'!$H$2</f>
        <v>99.9</v>
      </c>
    </row>
    <row r="1055" spans="1:18" x14ac:dyDescent="0.3">
      <c r="A1055" s="35" t="s">
        <v>124</v>
      </c>
      <c r="B1055" s="35">
        <v>2.77</v>
      </c>
      <c r="C1055" s="35">
        <v>1000</v>
      </c>
      <c r="D1055" s="35" t="s">
        <v>142</v>
      </c>
      <c r="E1055" s="36">
        <v>7.5</v>
      </c>
      <c r="F1055" s="36" t="str" cm="1">
        <f t="array" ref="F1055">GetNumber(D1055,3)</f>
        <v>4</v>
      </c>
      <c r="G1055" s="35">
        <v>11.1</v>
      </c>
      <c r="H1055" s="35">
        <v>8850</v>
      </c>
      <c r="I1055" s="35">
        <f>13.03*($T$2)</f>
        <v>26.06</v>
      </c>
      <c r="J1055" s="35">
        <f>144.7*($T$2)</f>
        <v>289.39999999999998</v>
      </c>
      <c r="K1055" s="35">
        <f t="shared" si="78"/>
        <v>20.711817553559094</v>
      </c>
      <c r="L1055" s="35">
        <f t="shared" si="79"/>
        <v>20.721412125863392</v>
      </c>
      <c r="M1055" s="35">
        <f>1.09375*($T$2)</f>
        <v>2.1875</v>
      </c>
      <c r="N1055" s="35">
        <f>33.5*(5280/3600)</f>
        <v>49.133333333333333</v>
      </c>
      <c r="O1055" s="35">
        <f t="shared" si="77"/>
        <v>0.7558742225293712</v>
      </c>
      <c r="P1055" s="35">
        <f t="shared" si="80"/>
        <v>45.307100898410518</v>
      </c>
      <c r="Q1055" s="35">
        <f>('Batt Capacity and Sys Weight'!$I$2) + (B1055*$T$2)</f>
        <v>36.373000000000005</v>
      </c>
      <c r="R1055" s="35">
        <f>'Batt Capacity and Sys Weight'!$H$2</f>
        <v>99.9</v>
      </c>
    </row>
    <row r="1056" spans="1:18" x14ac:dyDescent="0.3">
      <c r="A1056" s="35" t="s">
        <v>124</v>
      </c>
      <c r="B1056" s="35">
        <v>2.77</v>
      </c>
      <c r="C1056" s="35">
        <v>1000</v>
      </c>
      <c r="D1056" s="35" t="s">
        <v>130</v>
      </c>
      <c r="E1056" s="36" t="str" cm="1">
        <f t="array" ref="E1056">GetNumber(D1056,1)</f>
        <v>9</v>
      </c>
      <c r="F1056" s="36" t="str" cm="1">
        <f t="array" ref="F1056">GetNumber(D1056,2)</f>
        <v>5</v>
      </c>
      <c r="G1056" s="35">
        <v>11.1</v>
      </c>
      <c r="H1056" s="35">
        <v>9069</v>
      </c>
      <c r="I1056" s="35">
        <f>11.27*($T$2)</f>
        <v>22.54</v>
      </c>
      <c r="J1056" s="35">
        <f>125.1*($T$2)</f>
        <v>250.2</v>
      </c>
      <c r="K1056" s="35">
        <f t="shared" si="78"/>
        <v>23.956834532374103</v>
      </c>
      <c r="L1056" s="35">
        <f t="shared" si="79"/>
        <v>23.957409050576754</v>
      </c>
      <c r="M1056" s="35">
        <f>1.68625*($T$2)</f>
        <v>3.3725000000000001</v>
      </c>
      <c r="N1056" s="35">
        <f>42.9*(5280/3600)</f>
        <v>62.919999999999995</v>
      </c>
      <c r="O1056" s="35">
        <f t="shared" si="77"/>
        <v>1.3479216626698642</v>
      </c>
      <c r="P1056" s="35">
        <f t="shared" si="80"/>
        <v>80.794424460431657</v>
      </c>
      <c r="Q1056" s="35">
        <f>('Batt Capacity and Sys Weight'!$I$2) + (B1056*$T$2)</f>
        <v>36.373000000000005</v>
      </c>
      <c r="R1056" s="35">
        <f>'Batt Capacity and Sys Weight'!$H$2</f>
        <v>99.9</v>
      </c>
    </row>
    <row r="1057" spans="1:18" x14ac:dyDescent="0.3">
      <c r="A1057" s="35" t="s">
        <v>124</v>
      </c>
      <c r="B1057" s="35">
        <v>2.77</v>
      </c>
      <c r="C1057" s="35">
        <v>1000</v>
      </c>
      <c r="D1057" s="35" t="s">
        <v>131</v>
      </c>
      <c r="E1057" s="36" t="str" cm="1">
        <f t="array" ref="E1057">GetNumber(D1057,1)</f>
        <v>10</v>
      </c>
      <c r="F1057" s="36" t="str" cm="1">
        <f t="array" ref="F1057">GetNumber(D1057,2)</f>
        <v>6</v>
      </c>
      <c r="G1057" s="35">
        <v>11.1</v>
      </c>
      <c r="H1057" s="35">
        <v>8375</v>
      </c>
      <c r="I1057" s="35">
        <f>16.01*($T$2)</f>
        <v>32.020000000000003</v>
      </c>
      <c r="J1057" s="35">
        <f>177.8*($T$2)</f>
        <v>355.6</v>
      </c>
      <c r="K1057" s="35">
        <f t="shared" si="78"/>
        <v>16.856017997750282</v>
      </c>
      <c r="L1057" s="35">
        <f t="shared" si="79"/>
        <v>16.864459712679576</v>
      </c>
      <c r="M1057" s="35">
        <f>2.15375*($T$2)</f>
        <v>4.3075000000000001</v>
      </c>
      <c r="N1057" s="35">
        <f>47.6*(5280/3600)</f>
        <v>69.813333333333333</v>
      </c>
      <c r="O1057" s="35">
        <f t="shared" si="77"/>
        <v>1.2113329583802024</v>
      </c>
      <c r="P1057" s="35">
        <f t="shared" si="80"/>
        <v>72.607297525309335</v>
      </c>
      <c r="Q1057" s="35">
        <f>('Batt Capacity and Sys Weight'!$I$2) + (B1057*$T$2)</f>
        <v>36.373000000000005</v>
      </c>
      <c r="R1057" s="35">
        <f>'Batt Capacity and Sys Weight'!$H$2</f>
        <v>99.9</v>
      </c>
    </row>
    <row r="1058" spans="1:18" x14ac:dyDescent="0.3">
      <c r="A1058" s="35" t="s">
        <v>124</v>
      </c>
      <c r="B1058" s="35">
        <v>2.77</v>
      </c>
      <c r="C1058" s="35">
        <v>1000</v>
      </c>
      <c r="D1058" s="35" t="s">
        <v>145</v>
      </c>
      <c r="E1058" s="36" t="str" cm="1">
        <f t="array" ref="E1058">GetNumber(D1058,1)</f>
        <v>8</v>
      </c>
      <c r="F1058" s="36" t="str" cm="1">
        <f t="array" ref="F1058">GetNumber(D1058,2)</f>
        <v>6</v>
      </c>
      <c r="G1058" s="35">
        <v>11.1</v>
      </c>
      <c r="H1058" s="35">
        <v>8967</v>
      </c>
      <c r="I1058" s="35">
        <f>12.38*($T$2)</f>
        <v>24.76</v>
      </c>
      <c r="J1058" s="35">
        <f>137.4*($T$2)</f>
        <v>274.8</v>
      </c>
      <c r="K1058" s="35">
        <f t="shared" si="78"/>
        <v>21.812227074235807</v>
      </c>
      <c r="L1058" s="35">
        <f t="shared" si="79"/>
        <v>21.809369951534734</v>
      </c>
      <c r="M1058" s="35">
        <f>1.508125*($T$2)</f>
        <v>3.0162499999999999</v>
      </c>
      <c r="N1058" s="35">
        <f>50.9*(5280/3600)</f>
        <v>74.653333333333322</v>
      </c>
      <c r="O1058" s="35">
        <f t="shared" si="77"/>
        <v>1.0976164483260551</v>
      </c>
      <c r="P1058" s="35">
        <f t="shared" si="80"/>
        <v>65.791129912663749</v>
      </c>
      <c r="Q1058" s="35">
        <f>('Batt Capacity and Sys Weight'!$I$2) + (B1058*$T$2)</f>
        <v>36.373000000000005</v>
      </c>
      <c r="R1058" s="35">
        <f>'Batt Capacity and Sys Weight'!$H$2</f>
        <v>99.9</v>
      </c>
    </row>
    <row r="1059" spans="1:18" x14ac:dyDescent="0.3">
      <c r="A1059" s="35" t="s">
        <v>124</v>
      </c>
      <c r="B1059" s="35">
        <v>2.77</v>
      </c>
      <c r="C1059" s="35">
        <v>1000</v>
      </c>
      <c r="D1059" s="35" t="s">
        <v>79</v>
      </c>
      <c r="E1059" s="36" t="str" cm="1">
        <f t="array" ref="E1059">GetNumber(D1059,1)</f>
        <v>10</v>
      </c>
      <c r="F1059" s="36" t="str" cm="1">
        <f t="array" ref="F1059">GetNumber(D1059,2)</f>
        <v>5</v>
      </c>
      <c r="G1059" s="35">
        <v>11.1</v>
      </c>
      <c r="H1059" s="35">
        <v>8278</v>
      </c>
      <c r="I1059" s="35">
        <f>16.5*($T$2)</f>
        <v>33</v>
      </c>
      <c r="J1059" s="35">
        <f>183.2*($T$2)</f>
        <v>366.4</v>
      </c>
      <c r="K1059" s="35">
        <f t="shared" si="78"/>
        <v>16.359170305676859</v>
      </c>
      <c r="L1059" s="35">
        <f t="shared" si="79"/>
        <v>16.363636363636363</v>
      </c>
      <c r="M1059" s="35">
        <f>2.20875*($T$2)</f>
        <v>4.4175000000000004</v>
      </c>
      <c r="N1059" s="35">
        <f>39.2*(5280/3600)</f>
        <v>57.493333333333332</v>
      </c>
      <c r="O1059" s="35">
        <f t="shared" si="77"/>
        <v>1.2056495633187776</v>
      </c>
      <c r="P1059" s="35">
        <f t="shared" si="80"/>
        <v>72.266634825327529</v>
      </c>
      <c r="Q1059" s="35">
        <f>('Batt Capacity and Sys Weight'!$I$2) + (B1059*$T$2)</f>
        <v>36.373000000000005</v>
      </c>
      <c r="R1059" s="35">
        <f>'Batt Capacity and Sys Weight'!$H$2</f>
        <v>99.9</v>
      </c>
    </row>
    <row r="1060" spans="1:18" x14ac:dyDescent="0.3">
      <c r="A1060" s="35" t="s">
        <v>124</v>
      </c>
      <c r="B1060" s="35">
        <v>2.77</v>
      </c>
      <c r="C1060" s="35">
        <v>1000</v>
      </c>
      <c r="D1060" s="35" t="s">
        <v>148</v>
      </c>
      <c r="E1060" s="36" t="str" cm="1">
        <f t="array" ref="E1060">GetNumber(D1060,1)</f>
        <v>7</v>
      </c>
      <c r="F1060" s="36" t="str" cm="1">
        <f t="array" ref="F1060">GetNumber(D1060,2)</f>
        <v>5</v>
      </c>
      <c r="G1060" s="35">
        <v>14.8</v>
      </c>
      <c r="H1060" s="35">
        <v>12450</v>
      </c>
      <c r="I1060" s="35">
        <f>11.62*($T$2)</f>
        <v>23.24</v>
      </c>
      <c r="J1060" s="35">
        <f>171.9*($T$2)</f>
        <v>343.8</v>
      </c>
      <c r="K1060" s="35">
        <f t="shared" si="78"/>
        <v>17.047120418848166</v>
      </c>
      <c r="L1060" s="35">
        <f t="shared" si="79"/>
        <v>17.039586919104995</v>
      </c>
      <c r="M1060" s="35">
        <f>1.534375*($T$2)</f>
        <v>3.0687500000000001</v>
      </c>
      <c r="N1060" s="35">
        <f>58.9*(5280/3600)</f>
        <v>86.386666666666656</v>
      </c>
      <c r="O1060" s="35">
        <f t="shared" si="77"/>
        <v>0.89259744037230948</v>
      </c>
      <c r="P1060" s="35">
        <f t="shared" si="80"/>
        <v>52.313350785340312</v>
      </c>
      <c r="Q1060" s="35">
        <f>('Batt Capacity and Sys Weight'!$I$3) + (B1060*$T$2)</f>
        <v>31.928474999999999</v>
      </c>
      <c r="R1060" s="35">
        <f>'Batt Capacity and Sys Weight'!$H$3</f>
        <v>97.68</v>
      </c>
    </row>
    <row r="1061" spans="1:18" x14ac:dyDescent="0.3">
      <c r="A1061" s="35" t="s">
        <v>124</v>
      </c>
      <c r="B1061" s="35">
        <v>2.77</v>
      </c>
      <c r="C1061" s="35">
        <v>1000</v>
      </c>
      <c r="D1061" s="35" t="s">
        <v>149</v>
      </c>
      <c r="E1061" s="36" t="str" cm="1">
        <f t="array" ref="E1061">GetNumber(D1061,1)</f>
        <v>7</v>
      </c>
      <c r="F1061" s="36" t="str" cm="1">
        <f t="array" ref="F1061">GetNumber(D1061,2)</f>
        <v>6</v>
      </c>
      <c r="G1061" s="35">
        <v>14.8</v>
      </c>
      <c r="H1061" s="35">
        <v>12350</v>
      </c>
      <c r="I1061" s="35">
        <f>12.18*($T$2)</f>
        <v>24.36</v>
      </c>
      <c r="J1061" s="35">
        <f>180.3*($T$2)</f>
        <v>360.6</v>
      </c>
      <c r="K1061" s="35">
        <f t="shared" si="78"/>
        <v>16.252911813643927</v>
      </c>
      <c r="L1061" s="35">
        <f t="shared" si="79"/>
        <v>16.256157635467979</v>
      </c>
      <c r="M1061" s="35">
        <f>1.66875*($T$2)</f>
        <v>3.3374999999999999</v>
      </c>
      <c r="N1061" s="35">
        <f>70.2*(5280/3600)</f>
        <v>102.96</v>
      </c>
      <c r="O1061" s="35">
        <f t="shared" si="77"/>
        <v>0.92554076539101482</v>
      </c>
      <c r="P1061" s="35">
        <f t="shared" si="80"/>
        <v>54.2440931780366</v>
      </c>
      <c r="Q1061" s="35">
        <f>('Batt Capacity and Sys Weight'!$I$3) + (B1061*$T$2)</f>
        <v>31.928474999999999</v>
      </c>
      <c r="R1061" s="35">
        <f>'Batt Capacity and Sys Weight'!$H$3</f>
        <v>97.68</v>
      </c>
    </row>
    <row r="1062" spans="1:18" x14ac:dyDescent="0.3">
      <c r="A1062" s="35" t="s">
        <v>124</v>
      </c>
      <c r="B1062" s="35">
        <v>2.77</v>
      </c>
      <c r="C1062" s="35">
        <v>1000</v>
      </c>
      <c r="D1062" s="35" t="s">
        <v>125</v>
      </c>
      <c r="E1062" s="36" t="str" cm="1">
        <f t="array" ref="E1062">GetNumber(D1062,1)</f>
        <v>7</v>
      </c>
      <c r="F1062" s="36" t="str" cm="1">
        <f t="array" ref="F1062">GetNumber(D1062,2)</f>
        <v>7</v>
      </c>
      <c r="G1062" s="35">
        <v>14.8</v>
      </c>
      <c r="H1062" s="35">
        <v>11950</v>
      </c>
      <c r="I1062" s="35">
        <f>14.8*($T$2)</f>
        <v>29.6</v>
      </c>
      <c r="J1062" s="35">
        <f>219*($T$2)</f>
        <v>438</v>
      </c>
      <c r="K1062" s="35">
        <f t="shared" si="78"/>
        <v>13.38082191780822</v>
      </c>
      <c r="L1062" s="35">
        <f t="shared" si="79"/>
        <v>13.378378378378379</v>
      </c>
      <c r="M1062" s="35">
        <f>1.655625*($T$2)</f>
        <v>3.3112499999999998</v>
      </c>
      <c r="N1062" s="35">
        <f>79.2*(5280/3600)</f>
        <v>116.16</v>
      </c>
      <c r="O1062" s="35">
        <f t="shared" si="77"/>
        <v>0.75599315068493145</v>
      </c>
      <c r="P1062" s="35">
        <f t="shared" si="80"/>
        <v>44.307246575342468</v>
      </c>
      <c r="Q1062" s="35">
        <f>('Batt Capacity and Sys Weight'!$I$3) + (B1062*$T$2)</f>
        <v>31.928474999999999</v>
      </c>
      <c r="R1062" s="35">
        <f>'Batt Capacity and Sys Weight'!$H$3</f>
        <v>97.68</v>
      </c>
    </row>
    <row r="1063" spans="1:18" x14ac:dyDescent="0.3">
      <c r="A1063" s="35" t="s">
        <v>124</v>
      </c>
      <c r="B1063" s="35">
        <v>2.77</v>
      </c>
      <c r="C1063" s="35">
        <v>1000</v>
      </c>
      <c r="D1063" s="35" t="s">
        <v>126</v>
      </c>
      <c r="E1063" s="36" t="str" cm="1">
        <f t="array" ref="E1063">GetNumber(D1063,1)</f>
        <v>8</v>
      </c>
      <c r="F1063" s="36" t="str" cm="1">
        <f t="array" ref="F1063">GetNumber(D1063,2)</f>
        <v>4</v>
      </c>
      <c r="G1063" s="35">
        <v>14.8</v>
      </c>
      <c r="H1063" s="35">
        <v>12138</v>
      </c>
      <c r="I1063" s="35">
        <f>13.45*($T$2)</f>
        <v>26.9</v>
      </c>
      <c r="J1063" s="35">
        <f>199*($T$2)</f>
        <v>398</v>
      </c>
      <c r="K1063" s="35">
        <f t="shared" si="78"/>
        <v>14.725628140703519</v>
      </c>
      <c r="L1063" s="35">
        <f t="shared" si="79"/>
        <v>14.721189591078069</v>
      </c>
      <c r="M1063" s="35">
        <f>2.091875*($T$2)</f>
        <v>4.1837499999999999</v>
      </c>
      <c r="N1063" s="35">
        <f>46*(5280/3600)</f>
        <v>67.466666666666669</v>
      </c>
      <c r="O1063" s="35">
        <f t="shared" si="77"/>
        <v>1.0511934673366834</v>
      </c>
      <c r="P1063" s="35">
        <f t="shared" si="80"/>
        <v>61.608346733668341</v>
      </c>
      <c r="Q1063" s="35">
        <f>('Batt Capacity and Sys Weight'!$I$3) + (B1063*$T$2)</f>
        <v>31.928474999999999</v>
      </c>
      <c r="R1063" s="35">
        <f>'Batt Capacity and Sys Weight'!$H$3</f>
        <v>97.68</v>
      </c>
    </row>
    <row r="1064" spans="1:18" x14ac:dyDescent="0.3">
      <c r="A1064" s="35" t="s">
        <v>124</v>
      </c>
      <c r="B1064" s="35">
        <v>2.77</v>
      </c>
      <c r="C1064" s="35">
        <v>1000</v>
      </c>
      <c r="D1064" s="35" t="s">
        <v>127</v>
      </c>
      <c r="E1064" s="36" t="str" cm="1">
        <f t="array" ref="E1064">GetNumber(D1064,1)</f>
        <v>8</v>
      </c>
      <c r="F1064" s="36" t="str" cm="1">
        <f t="array" ref="F1064">GetNumber(D1064,2)</f>
        <v>6</v>
      </c>
      <c r="G1064" s="35">
        <v>14.8</v>
      </c>
      <c r="H1064" s="35">
        <v>11275</v>
      </c>
      <c r="I1064" s="35">
        <f>18.66*($T$2)</f>
        <v>37.32</v>
      </c>
      <c r="J1064" s="35">
        <f>276.2*($T$2)</f>
        <v>552.4</v>
      </c>
      <c r="K1064" s="35">
        <f t="shared" si="78"/>
        <v>10.609703113685736</v>
      </c>
      <c r="L1064" s="35">
        <f t="shared" si="79"/>
        <v>10.610932475884244</v>
      </c>
      <c r="M1064" s="35">
        <f>2.339375*($T$2)</f>
        <v>4.67875</v>
      </c>
      <c r="N1064" s="35">
        <f>64.1*(5280/3600)</f>
        <v>94.013333333333321</v>
      </c>
      <c r="O1064" s="35">
        <f t="shared" si="77"/>
        <v>0.84698587979724838</v>
      </c>
      <c r="P1064" s="35">
        <f t="shared" si="80"/>
        <v>49.640148443157138</v>
      </c>
      <c r="Q1064" s="35">
        <f>('Batt Capacity and Sys Weight'!$I$3) + (B1064*$T$2)</f>
        <v>31.928474999999999</v>
      </c>
      <c r="R1064" s="35">
        <f>'Batt Capacity and Sys Weight'!$H$3</f>
        <v>97.68</v>
      </c>
    </row>
    <row r="1065" spans="1:18" x14ac:dyDescent="0.3">
      <c r="A1065" s="35" t="s">
        <v>124</v>
      </c>
      <c r="B1065" s="35">
        <v>2.77</v>
      </c>
      <c r="C1065" s="35">
        <v>1000</v>
      </c>
      <c r="D1065" s="35" t="s">
        <v>130</v>
      </c>
      <c r="E1065" s="36" t="str" cm="1">
        <f t="array" ref="E1065">GetNumber(D1065,1)</f>
        <v>9</v>
      </c>
      <c r="F1065" s="36" t="str" cm="1">
        <f t="array" ref="F1065">GetNumber(D1065,2)</f>
        <v>5</v>
      </c>
      <c r="G1065" s="35">
        <v>14.8</v>
      </c>
      <c r="H1065" s="35">
        <v>11725</v>
      </c>
      <c r="I1065" s="35">
        <f>16.2*($T$2)</f>
        <v>32.4</v>
      </c>
      <c r="J1065" s="35">
        <f>239.7*($T$2)</f>
        <v>479.4</v>
      </c>
      <c r="K1065" s="35">
        <f t="shared" si="78"/>
        <v>12.225281602002504</v>
      </c>
      <c r="L1065" s="35">
        <f t="shared" si="79"/>
        <v>12.222222222222223</v>
      </c>
      <c r="M1065" s="35">
        <f>2.37625*($T$2)</f>
        <v>4.7525000000000004</v>
      </c>
      <c r="N1065" s="35">
        <f>55.5*(5280/3600)</f>
        <v>81.399999999999991</v>
      </c>
      <c r="O1065" s="35">
        <f t="shared" si="77"/>
        <v>0.99134334584897799</v>
      </c>
      <c r="P1065" s="35">
        <f t="shared" si="80"/>
        <v>58.100650813516907</v>
      </c>
      <c r="Q1065" s="35">
        <f>('Batt Capacity and Sys Weight'!$I$3) + (B1065*$T$2)</f>
        <v>31.928474999999999</v>
      </c>
      <c r="R1065" s="35">
        <f>'Batt Capacity and Sys Weight'!$H$3</f>
        <v>97.68</v>
      </c>
    </row>
    <row r="1066" spans="1:18" x14ac:dyDescent="0.3">
      <c r="A1066" s="35" t="s">
        <v>124</v>
      </c>
      <c r="B1066" s="35">
        <v>2.77</v>
      </c>
      <c r="C1066" s="35">
        <v>1000</v>
      </c>
      <c r="D1066" s="35" t="s">
        <v>141</v>
      </c>
      <c r="E1066" s="36" t="str" cm="1">
        <f t="array" ref="E1066">GetNumber(D1066,1)</f>
        <v>7</v>
      </c>
      <c r="F1066" s="36" t="str" cm="1">
        <f t="array" ref="F1066">GetNumber(D1066,2)</f>
        <v>6</v>
      </c>
      <c r="G1066" s="35">
        <v>14.8</v>
      </c>
      <c r="H1066" s="35">
        <v>11966</v>
      </c>
      <c r="I1066" s="35">
        <f>14.61*($T$2)</f>
        <v>29.22</v>
      </c>
      <c r="J1066" s="35">
        <f>216.2*($T$2)</f>
        <v>432.4</v>
      </c>
      <c r="K1066" s="35">
        <f t="shared" si="78"/>
        <v>13.554116558741908</v>
      </c>
      <c r="L1066" s="35">
        <f t="shared" si="79"/>
        <v>13.552361396303903</v>
      </c>
      <c r="M1066" s="35">
        <f>1.2675*($T$2)</f>
        <v>2.5350000000000001</v>
      </c>
      <c r="N1066" s="35">
        <f>68*(5280/3600)</f>
        <v>99.73333333333332</v>
      </c>
      <c r="O1066" s="35">
        <f t="shared" si="77"/>
        <v>0.58626271970397792</v>
      </c>
      <c r="P1066" s="35">
        <f t="shared" si="80"/>
        <v>34.359685476410739</v>
      </c>
      <c r="Q1066" s="35">
        <f>('Batt Capacity and Sys Weight'!$I$3) + (B1066*$T$2)</f>
        <v>31.928474999999999</v>
      </c>
      <c r="R1066" s="35">
        <f>'Batt Capacity and Sys Weight'!$H$3</f>
        <v>97.68</v>
      </c>
    </row>
    <row r="1067" spans="1:18" x14ac:dyDescent="0.3">
      <c r="A1067" s="35" t="s">
        <v>124</v>
      </c>
      <c r="B1067" s="35">
        <v>2.77</v>
      </c>
      <c r="C1067" s="35">
        <v>1000</v>
      </c>
      <c r="D1067" s="35" t="s">
        <v>143</v>
      </c>
      <c r="E1067" s="36" t="str" cm="1">
        <f t="array" ref="E1067">GetNumber(D1067,1)</f>
        <v>8</v>
      </c>
      <c r="F1067" s="36" t="str" cm="1">
        <f t="array" ref="F1067">GetNumber(D1067,2)</f>
        <v>5</v>
      </c>
      <c r="G1067" s="35">
        <v>14.8</v>
      </c>
      <c r="H1067" s="35">
        <v>12116</v>
      </c>
      <c r="I1067" s="35">
        <f>13.58*($T$2)</f>
        <v>27.16</v>
      </c>
      <c r="J1067" s="35">
        <f>201*($T$2)</f>
        <v>402</v>
      </c>
      <c r="K1067" s="35">
        <f t="shared" si="78"/>
        <v>14.579104477611942</v>
      </c>
      <c r="L1067" s="35">
        <f t="shared" si="79"/>
        <v>14.580265095729015</v>
      </c>
      <c r="M1067" s="35">
        <f>2.010625*($T$2)</f>
        <v>4.0212500000000002</v>
      </c>
      <c r="N1067" s="35">
        <f>57.4*(5280/3600)</f>
        <v>84.186666666666653</v>
      </c>
      <c r="O1067" s="35">
        <f t="shared" si="77"/>
        <v>1.0003109452736318</v>
      </c>
      <c r="P1067" s="35">
        <f t="shared" si="80"/>
        <v>58.626223880597024</v>
      </c>
      <c r="Q1067" s="35">
        <f>('Batt Capacity and Sys Weight'!$I$3) + (B1067*$T$2)</f>
        <v>31.928474999999999</v>
      </c>
      <c r="R1067" s="35">
        <f>'Batt Capacity and Sys Weight'!$H$3</f>
        <v>97.68</v>
      </c>
    </row>
    <row r="1068" spans="1:18" x14ac:dyDescent="0.3">
      <c r="A1068" s="35" t="s">
        <v>153</v>
      </c>
      <c r="B1068" s="35">
        <v>2.77</v>
      </c>
      <c r="C1068" s="35">
        <v>1150</v>
      </c>
      <c r="D1068" s="35" t="s">
        <v>125</v>
      </c>
      <c r="E1068" s="36" t="str" cm="1">
        <f t="array" ref="E1068">GetNumber(D1068,1)</f>
        <v>7</v>
      </c>
      <c r="F1068" s="36" t="str" cm="1">
        <f t="array" ref="F1068">GetNumber(D1068,2)</f>
        <v>7</v>
      </c>
      <c r="G1068" s="35">
        <v>11.1</v>
      </c>
      <c r="H1068" s="35">
        <v>10524</v>
      </c>
      <c r="I1068" s="35">
        <f>12.9*($T$2)</f>
        <v>25.8</v>
      </c>
      <c r="J1068" s="35">
        <f>143.2*($T$2)</f>
        <v>286.39999999999998</v>
      </c>
      <c r="K1068" s="35">
        <f t="shared" si="78"/>
        <v>20.928770949720672</v>
      </c>
      <c r="L1068" s="35">
        <f t="shared" si="79"/>
        <v>20.930232558139537</v>
      </c>
      <c r="M1068" s="35">
        <f>1.236875*($T$2)</f>
        <v>2.4737499999999999</v>
      </c>
      <c r="N1068" s="35">
        <f>69.8*(5280/3600)</f>
        <v>102.37333333333332</v>
      </c>
      <c r="O1068" s="35">
        <f t="shared" si="77"/>
        <v>0.8637395251396649</v>
      </c>
      <c r="P1068" s="35">
        <f t="shared" si="80"/>
        <v>51.772547136871509</v>
      </c>
      <c r="Q1068" s="35">
        <f>('Batt Capacity and Sys Weight'!$I$2) + (B1068*$T$2)</f>
        <v>36.373000000000005</v>
      </c>
      <c r="R1068" s="35">
        <f>'Batt Capacity and Sys Weight'!$H$2</f>
        <v>99.9</v>
      </c>
    </row>
    <row r="1069" spans="1:18" x14ac:dyDescent="0.3">
      <c r="A1069" s="35" t="s">
        <v>153</v>
      </c>
      <c r="B1069" s="35">
        <v>2.77</v>
      </c>
      <c r="C1069" s="35">
        <v>1150</v>
      </c>
      <c r="D1069" s="35" t="s">
        <v>127</v>
      </c>
      <c r="E1069" s="36" t="str" cm="1">
        <f t="array" ref="E1069">GetNumber(D1069,1)</f>
        <v>8</v>
      </c>
      <c r="F1069" s="36" t="str" cm="1">
        <f t="array" ref="F1069">GetNumber(D1069,2)</f>
        <v>6</v>
      </c>
      <c r="G1069" s="35">
        <v>11.1</v>
      </c>
      <c r="H1069" s="35">
        <v>9963</v>
      </c>
      <c r="I1069" s="35">
        <f>16.08*($T$2)</f>
        <v>32.159999999999997</v>
      </c>
      <c r="J1069" s="35">
        <f>178.5*($T$2)</f>
        <v>357</v>
      </c>
      <c r="K1069" s="35">
        <f t="shared" si="78"/>
        <v>16.789915966386555</v>
      </c>
      <c r="L1069" s="35">
        <f t="shared" si="79"/>
        <v>16.791044776119406</v>
      </c>
      <c r="M1069" s="35">
        <f>1.750625*($T$2)</f>
        <v>3.5012500000000002</v>
      </c>
      <c r="N1069" s="35">
        <f>56.6*(5280/3600)</f>
        <v>83.013333333333335</v>
      </c>
      <c r="O1069" s="35">
        <f t="shared" si="77"/>
        <v>0.98074229691876758</v>
      </c>
      <c r="P1069" s="35">
        <f t="shared" si="80"/>
        <v>58.785693277310934</v>
      </c>
      <c r="Q1069" s="35">
        <f>('Batt Capacity and Sys Weight'!$I$2) + (B1069*$T$2)</f>
        <v>36.373000000000005</v>
      </c>
      <c r="R1069" s="35">
        <f>'Batt Capacity and Sys Weight'!$H$2</f>
        <v>99.9</v>
      </c>
    </row>
    <row r="1070" spans="1:18" x14ac:dyDescent="0.3">
      <c r="A1070" s="35" t="s">
        <v>153</v>
      </c>
      <c r="B1070" s="35">
        <v>2.77</v>
      </c>
      <c r="C1070" s="35">
        <v>1150</v>
      </c>
      <c r="D1070" s="35" t="s">
        <v>129</v>
      </c>
      <c r="E1070" s="36" t="str" cm="1">
        <f t="array" ref="E1070">GetNumber(D1070,1)</f>
        <v>9</v>
      </c>
      <c r="F1070" s="36" cm="1">
        <f t="array" ref="F1070">GetNumber(D1070,2)+(GetNumber(D1070,3)/10)</f>
        <v>4.5</v>
      </c>
      <c r="G1070" s="35">
        <v>11.1</v>
      </c>
      <c r="H1070" s="35">
        <v>10239</v>
      </c>
      <c r="I1070" s="35">
        <f>18.6*($T$2)</f>
        <v>37.200000000000003</v>
      </c>
      <c r="J1070" s="35">
        <f>206.5*($T$2)</f>
        <v>413</v>
      </c>
      <c r="K1070" s="35">
        <f t="shared" si="78"/>
        <v>14.513317191283294</v>
      </c>
      <c r="L1070" s="35">
        <f t="shared" si="79"/>
        <v>14.516129032258064</v>
      </c>
      <c r="M1070" s="35">
        <f>2.2375*($T$2)</f>
        <v>4.4749999999999996</v>
      </c>
      <c r="N1070" s="35">
        <f>43.6*(5280/3600)</f>
        <v>63.946666666666665</v>
      </c>
      <c r="O1070" s="35">
        <f t="shared" si="77"/>
        <v>1.0835351089588376</v>
      </c>
      <c r="P1070" s="35">
        <f t="shared" si="80"/>
        <v>64.947094430992735</v>
      </c>
      <c r="Q1070" s="35">
        <f>('Batt Capacity and Sys Weight'!$I$2) + (B1070*$T$2)</f>
        <v>36.373000000000005</v>
      </c>
      <c r="R1070" s="35">
        <f>'Batt Capacity and Sys Weight'!$H$2</f>
        <v>99.9</v>
      </c>
    </row>
    <row r="1071" spans="1:18" x14ac:dyDescent="0.3">
      <c r="A1071" s="35" t="s">
        <v>153</v>
      </c>
      <c r="B1071" s="35">
        <v>2.77</v>
      </c>
      <c r="C1071" s="35">
        <v>1150</v>
      </c>
      <c r="D1071" s="35" t="s">
        <v>130</v>
      </c>
      <c r="E1071" s="36" t="str" cm="1">
        <f t="array" ref="E1071">GetNumber(D1071,1)</f>
        <v>9</v>
      </c>
      <c r="F1071" s="36" t="str" cm="1">
        <f t="array" ref="F1071">GetNumber(D1071,2)</f>
        <v>5</v>
      </c>
      <c r="G1071" s="35">
        <v>11.1</v>
      </c>
      <c r="H1071" s="35">
        <v>10678</v>
      </c>
      <c r="I1071" s="35">
        <f>16.65*($T$2)</f>
        <v>33.299999999999997</v>
      </c>
      <c r="J1071" s="35">
        <f>184.8*($T$2)</f>
        <v>369.6</v>
      </c>
      <c r="K1071" s="35">
        <f t="shared" si="78"/>
        <v>16.217532467532468</v>
      </c>
      <c r="L1071" s="35">
        <f t="shared" si="79"/>
        <v>16.216216216216218</v>
      </c>
      <c r="M1071" s="35">
        <f>1.924375*($T$2)</f>
        <v>3.8487499999999999</v>
      </c>
      <c r="N1071" s="35">
        <f>50.6*(5280/3600)</f>
        <v>74.213333333333324</v>
      </c>
      <c r="O1071" s="35">
        <f t="shared" si="77"/>
        <v>1.0413284632034632</v>
      </c>
      <c r="P1071" s="35">
        <f t="shared" si="80"/>
        <v>62.417228084415584</v>
      </c>
      <c r="Q1071" s="35">
        <f>('Batt Capacity and Sys Weight'!$I$2) + (B1071*$T$2)</f>
        <v>36.373000000000005</v>
      </c>
      <c r="R1071" s="35">
        <f>'Batt Capacity and Sys Weight'!$H$2</f>
        <v>99.9</v>
      </c>
    </row>
    <row r="1072" spans="1:18" x14ac:dyDescent="0.3">
      <c r="A1072" s="35" t="s">
        <v>153</v>
      </c>
      <c r="B1072" s="35">
        <v>2.77</v>
      </c>
      <c r="C1072" s="35">
        <v>1150</v>
      </c>
      <c r="D1072" s="35" t="s">
        <v>141</v>
      </c>
      <c r="E1072" s="36" t="str" cm="1">
        <f t="array" ref="E1072">GetNumber(D1072,1)</f>
        <v>7</v>
      </c>
      <c r="F1072" s="36" t="str" cm="1">
        <f t="array" ref="F1072">GetNumber(D1072,2)</f>
        <v>6</v>
      </c>
      <c r="G1072" s="35">
        <v>11.1</v>
      </c>
      <c r="H1072" s="35">
        <v>10950</v>
      </c>
      <c r="I1072" s="35">
        <f>15.42*($T$2)</f>
        <v>30.84</v>
      </c>
      <c r="J1072" s="35">
        <f>171.1*($T$2)</f>
        <v>342.2</v>
      </c>
      <c r="K1072" s="35">
        <f t="shared" si="78"/>
        <v>17.516072472238459</v>
      </c>
      <c r="L1072" s="35">
        <f t="shared" si="79"/>
        <v>17.509727626459146</v>
      </c>
      <c r="M1072" s="35">
        <f>1.040625*($T$2)</f>
        <v>2.0812499999999998</v>
      </c>
      <c r="N1072" s="35">
        <f>62.2*(5280/3600)</f>
        <v>91.226666666666659</v>
      </c>
      <c r="O1072" s="35">
        <f t="shared" si="77"/>
        <v>0.60819696084161301</v>
      </c>
      <c r="P1072" s="35">
        <f t="shared" si="80"/>
        <v>36.455325832846292</v>
      </c>
      <c r="Q1072" s="35">
        <f>('Batt Capacity and Sys Weight'!$I$2) + (B1072*$T$2)</f>
        <v>36.373000000000005</v>
      </c>
      <c r="R1072" s="35">
        <f>'Batt Capacity and Sys Weight'!$H$2</f>
        <v>99.9</v>
      </c>
    </row>
    <row r="1073" spans="1:18" x14ac:dyDescent="0.3">
      <c r="A1073" s="35" t="s">
        <v>153</v>
      </c>
      <c r="B1073" s="35">
        <v>2.77</v>
      </c>
      <c r="C1073" s="35">
        <v>1150</v>
      </c>
      <c r="D1073" s="35" t="s">
        <v>143</v>
      </c>
      <c r="E1073" s="36" t="str" cm="1">
        <f t="array" ref="E1073">GetNumber(D1073,1)</f>
        <v>8</v>
      </c>
      <c r="F1073" s="36" t="str" cm="1">
        <f t="array" ref="F1073">GetNumber(D1073,2)</f>
        <v>5</v>
      </c>
      <c r="G1073" s="35">
        <v>11.1</v>
      </c>
      <c r="H1073" s="35">
        <v>11104</v>
      </c>
      <c r="I1073" s="35">
        <f>14.55*($T$2)</f>
        <v>29.1</v>
      </c>
      <c r="J1073" s="35">
        <f>161.5*($T$2)</f>
        <v>323</v>
      </c>
      <c r="K1073" s="35">
        <f t="shared" si="78"/>
        <v>18.557275541795669</v>
      </c>
      <c r="L1073" s="35">
        <f t="shared" si="79"/>
        <v>18.556701030927837</v>
      </c>
      <c r="M1073" s="35">
        <f>1.681875*($T$2)</f>
        <v>3.36375</v>
      </c>
      <c r="N1073" s="35">
        <f>52.6*(5280/3600)</f>
        <v>77.146666666666661</v>
      </c>
      <c r="O1073" s="35">
        <f t="shared" si="77"/>
        <v>1.0414086687306501</v>
      </c>
      <c r="P1073" s="35">
        <f t="shared" si="80"/>
        <v>62.42203560371518</v>
      </c>
      <c r="Q1073" s="35">
        <f>('Batt Capacity and Sys Weight'!$I$2) + (B1073*$T$2)</f>
        <v>36.373000000000005</v>
      </c>
      <c r="R1073" s="35">
        <f>'Batt Capacity and Sys Weight'!$H$2</f>
        <v>99.9</v>
      </c>
    </row>
    <row r="1074" spans="1:18" x14ac:dyDescent="0.3">
      <c r="A1074" s="35" t="s">
        <v>153</v>
      </c>
      <c r="B1074" s="35">
        <v>2.77</v>
      </c>
      <c r="C1074" s="35">
        <v>1150</v>
      </c>
      <c r="D1074" s="35" t="s">
        <v>130</v>
      </c>
      <c r="E1074" s="36" t="str" cm="1">
        <f t="array" ref="E1074">GetNumber(D1074,1)</f>
        <v>9</v>
      </c>
      <c r="F1074" s="36" t="str" cm="1">
        <f t="array" ref="F1074">GetNumber(D1074,2)</f>
        <v>5</v>
      </c>
      <c r="G1074" s="35">
        <v>11.1</v>
      </c>
      <c r="H1074" s="35">
        <v>10305</v>
      </c>
      <c r="I1074" s="35">
        <f>18.63*($T$2)</f>
        <v>37.26</v>
      </c>
      <c r="J1074" s="35">
        <f>206.8*($T$2)</f>
        <v>413.6</v>
      </c>
      <c r="K1074" s="35">
        <f t="shared" si="78"/>
        <v>14.492263056092844</v>
      </c>
      <c r="L1074" s="35">
        <f t="shared" si="79"/>
        <v>14.492753623188406</v>
      </c>
      <c r="M1074" s="35">
        <f>2.206875*($T$2)</f>
        <v>4.4137500000000003</v>
      </c>
      <c r="N1074" s="35">
        <f>48.8*(5280/3600)</f>
        <v>71.573333333333323</v>
      </c>
      <c r="O1074" s="35">
        <f t="shared" si="77"/>
        <v>1.0671542553191491</v>
      </c>
      <c r="P1074" s="35">
        <f t="shared" si="80"/>
        <v>63.965226063829796</v>
      </c>
      <c r="Q1074" s="35">
        <f>('Batt Capacity and Sys Weight'!$I$2) + (B1074*$T$2)</f>
        <v>36.373000000000005</v>
      </c>
      <c r="R1074" s="35">
        <f>'Batt Capacity and Sys Weight'!$H$2</f>
        <v>99.9</v>
      </c>
    </row>
    <row r="1075" spans="1:18" x14ac:dyDescent="0.3">
      <c r="A1075" s="35" t="s">
        <v>153</v>
      </c>
      <c r="B1075" s="35">
        <v>2.77</v>
      </c>
      <c r="C1075" s="35">
        <v>1150</v>
      </c>
      <c r="D1075" s="35" t="s">
        <v>146</v>
      </c>
      <c r="E1075" s="36" t="str" cm="1">
        <f t="array" ref="E1075">GetNumber(D1075,1)</f>
        <v>7</v>
      </c>
      <c r="F1075" s="36" t="str" cm="1">
        <f t="array" ref="F1075">GetNumber(D1075,2)</f>
        <v>4</v>
      </c>
      <c r="G1075" s="35">
        <v>14.8</v>
      </c>
      <c r="H1075" s="35">
        <v>14355</v>
      </c>
      <c r="I1075" s="35">
        <f>13.71*($T$2)</f>
        <v>27.42</v>
      </c>
      <c r="J1075" s="35">
        <f>202.9*($T$2)</f>
        <v>405.8</v>
      </c>
      <c r="K1075" s="35">
        <f t="shared" si="78"/>
        <v>14.442582552981765</v>
      </c>
      <c r="L1075" s="35">
        <f t="shared" si="79"/>
        <v>14.442013129102845</v>
      </c>
      <c r="M1075" s="35">
        <f>1.92875*($T$2)</f>
        <v>3.8574999999999999</v>
      </c>
      <c r="N1075" s="35">
        <f>54.4*(5280/3600)</f>
        <v>79.786666666666662</v>
      </c>
      <c r="O1075" s="35">
        <f t="shared" si="77"/>
        <v>0.95059142434696897</v>
      </c>
      <c r="P1075" s="35">
        <f t="shared" si="80"/>
        <v>55.712262198127156</v>
      </c>
      <c r="Q1075" s="35">
        <f>('Batt Capacity and Sys Weight'!$I$3) + (B1075*$T$2)</f>
        <v>31.928474999999999</v>
      </c>
      <c r="R1075" s="35">
        <f>'Batt Capacity and Sys Weight'!$H$3</f>
        <v>97.68</v>
      </c>
    </row>
    <row r="1076" spans="1:18" x14ac:dyDescent="0.3">
      <c r="A1076" s="35" t="s">
        <v>153</v>
      </c>
      <c r="B1076" s="35">
        <v>2.77</v>
      </c>
      <c r="C1076" s="35">
        <v>1150</v>
      </c>
      <c r="D1076" s="35" t="s">
        <v>148</v>
      </c>
      <c r="E1076" s="36" t="str" cm="1">
        <f t="array" ref="E1076">GetNumber(D1076,1)</f>
        <v>7</v>
      </c>
      <c r="F1076" s="36" t="str" cm="1">
        <f t="array" ref="F1076">GetNumber(D1076,2)</f>
        <v>5</v>
      </c>
      <c r="G1076" s="35">
        <v>14.8</v>
      </c>
      <c r="H1076" s="35">
        <v>13795</v>
      </c>
      <c r="I1076" s="35">
        <f>16.67*($T$2)</f>
        <v>33.340000000000003</v>
      </c>
      <c r="J1076" s="35">
        <f>246.7*($T$2)</f>
        <v>493.4</v>
      </c>
      <c r="K1076" s="35">
        <f t="shared" si="78"/>
        <v>11.87839481151196</v>
      </c>
      <c r="L1076" s="35">
        <f t="shared" si="79"/>
        <v>11.877624475104978</v>
      </c>
      <c r="M1076" s="35">
        <f>1.878125*($T$2)</f>
        <v>3.7562500000000001</v>
      </c>
      <c r="N1076" s="35">
        <f>65.3*(5280/3600)</f>
        <v>95.773333333333326</v>
      </c>
      <c r="O1076" s="35">
        <f t="shared" si="77"/>
        <v>0.76129914876368066</v>
      </c>
      <c r="P1076" s="35">
        <f t="shared" si="80"/>
        <v>44.6182205107418</v>
      </c>
      <c r="Q1076" s="35">
        <f>('Batt Capacity and Sys Weight'!$I$3) + (B1076*$T$2)</f>
        <v>31.928474999999999</v>
      </c>
      <c r="R1076" s="35">
        <f>'Batt Capacity and Sys Weight'!$H$3</f>
        <v>97.68</v>
      </c>
    </row>
    <row r="1077" spans="1:18" x14ac:dyDescent="0.3">
      <c r="A1077" s="35" t="s">
        <v>153</v>
      </c>
      <c r="B1077" s="35">
        <v>2.77</v>
      </c>
      <c r="C1077" s="35">
        <v>1150</v>
      </c>
      <c r="D1077" s="35" t="s">
        <v>149</v>
      </c>
      <c r="E1077" s="36" t="str" cm="1">
        <f t="array" ref="E1077">GetNumber(D1077,1)</f>
        <v>7</v>
      </c>
      <c r="F1077" s="36" t="str" cm="1">
        <f t="array" ref="F1077">GetNumber(D1077,2)</f>
        <v>6</v>
      </c>
      <c r="G1077" s="35">
        <v>14.8</v>
      </c>
      <c r="H1077" s="35">
        <v>13664</v>
      </c>
      <c r="I1077" s="35">
        <f>17.42*($T$2)</f>
        <v>34.840000000000003</v>
      </c>
      <c r="J1077" s="35">
        <f>257.8*($T$2)</f>
        <v>515.6</v>
      </c>
      <c r="K1077" s="35">
        <f t="shared" si="78"/>
        <v>11.366951124903025</v>
      </c>
      <c r="L1077" s="35">
        <f t="shared" si="79"/>
        <v>11.366245694603903</v>
      </c>
      <c r="M1077" s="35">
        <f>2.045625*($T$2)</f>
        <v>4.0912499999999996</v>
      </c>
      <c r="N1077" s="35">
        <f>77.6*(5280/3600)</f>
        <v>113.81333333333332</v>
      </c>
      <c r="O1077" s="35">
        <f t="shared" si="77"/>
        <v>0.79349301784328929</v>
      </c>
      <c r="P1077" s="35">
        <f t="shared" si="80"/>
        <v>46.505038789759496</v>
      </c>
      <c r="Q1077" s="35">
        <f>('Batt Capacity and Sys Weight'!$I$3) + (B1077*$T$2)</f>
        <v>31.928474999999999</v>
      </c>
      <c r="R1077" s="35">
        <f>'Batt Capacity and Sys Weight'!$H$3</f>
        <v>97.68</v>
      </c>
    </row>
    <row r="1078" spans="1:18" x14ac:dyDescent="0.3">
      <c r="A1078" s="35" t="s">
        <v>153</v>
      </c>
      <c r="B1078" s="35">
        <v>2.77</v>
      </c>
      <c r="C1078" s="35">
        <v>1150</v>
      </c>
      <c r="D1078" s="35" t="s">
        <v>141</v>
      </c>
      <c r="E1078" s="36" t="str" cm="1">
        <f t="array" ref="E1078">GetNumber(D1078,1)</f>
        <v>7</v>
      </c>
      <c r="F1078" s="36" t="str" cm="1">
        <f t="array" ref="F1078">GetNumber(D1078,2)</f>
        <v>6</v>
      </c>
      <c r="G1078" s="35">
        <v>14.8</v>
      </c>
      <c r="H1078" s="35">
        <v>14678</v>
      </c>
      <c r="I1078" s="35">
        <f>16.62*($T$2)</f>
        <v>33.24</v>
      </c>
      <c r="J1078" s="35">
        <f>246*($T$2)</f>
        <v>492</v>
      </c>
      <c r="K1078" s="35">
        <f t="shared" si="78"/>
        <v>11.912195121951219</v>
      </c>
      <c r="L1078" s="35">
        <f t="shared" si="79"/>
        <v>11.91335740072202</v>
      </c>
      <c r="M1078" s="35">
        <f>1.46375*($T$2)</f>
        <v>2.9275000000000002</v>
      </c>
      <c r="N1078" s="35">
        <f>83.4*(5280/3600)</f>
        <v>122.32</v>
      </c>
      <c r="O1078" s="35">
        <f t="shared" si="77"/>
        <v>0.5950203252032521</v>
      </c>
      <c r="P1078" s="35">
        <f t="shared" si="80"/>
        <v>34.872951219512196</v>
      </c>
      <c r="Q1078" s="35">
        <f>('Batt Capacity and Sys Weight'!$I$3) + (B1078*$T$2)</f>
        <v>31.928474999999999</v>
      </c>
      <c r="R1078" s="35">
        <f>'Batt Capacity and Sys Weight'!$H$3</f>
        <v>97.68</v>
      </c>
    </row>
    <row r="1079" spans="1:18" x14ac:dyDescent="0.3">
      <c r="A1079" s="35" t="s">
        <v>153</v>
      </c>
      <c r="B1079" s="35">
        <v>2.77</v>
      </c>
      <c r="C1079" s="35">
        <v>1150</v>
      </c>
      <c r="D1079" s="35" t="s">
        <v>150</v>
      </c>
      <c r="E1079" s="36" t="str" cm="1">
        <f t="array" ref="E1079">GetNumber(D1079,1)</f>
        <v>8</v>
      </c>
      <c r="F1079" s="36" t="str" cm="1">
        <f t="array" ref="F1079">GetNumber(D1079,2)</f>
        <v>4</v>
      </c>
      <c r="G1079" s="35">
        <v>14.8</v>
      </c>
      <c r="H1079" s="35">
        <v>14685</v>
      </c>
      <c r="I1079" s="35">
        <f>16.64*($T$2)</f>
        <v>33.28</v>
      </c>
      <c r="J1079" s="35">
        <f>246.3*($T$2)</f>
        <v>492.6</v>
      </c>
      <c r="K1079" s="35">
        <f t="shared" si="78"/>
        <v>11.897685749086481</v>
      </c>
      <c r="L1079" s="35">
        <f t="shared" si="79"/>
        <v>11.899038461538463</v>
      </c>
      <c r="M1079" s="35">
        <f>2.076875*($T$2)</f>
        <v>4.1537499999999996</v>
      </c>
      <c r="N1079" s="35">
        <f>55.6*(5280/3600)</f>
        <v>81.546666666666667</v>
      </c>
      <c r="O1079" s="35">
        <f t="shared" si="77"/>
        <v>0.84322980105562306</v>
      </c>
      <c r="P1079" s="35">
        <f t="shared" si="80"/>
        <v>49.420012180267967</v>
      </c>
      <c r="Q1079" s="35">
        <f>('Batt Capacity and Sys Weight'!$I$3) + (B1079*$T$2)</f>
        <v>31.928474999999999</v>
      </c>
      <c r="R1079" s="35">
        <f>'Batt Capacity and Sys Weight'!$H$3</f>
        <v>97.68</v>
      </c>
    </row>
    <row r="1080" spans="1:18" x14ac:dyDescent="0.3">
      <c r="A1080" s="35" t="s">
        <v>153</v>
      </c>
      <c r="B1080" s="35">
        <v>2.77</v>
      </c>
      <c r="C1080" s="35">
        <v>1150</v>
      </c>
      <c r="D1080" s="35" t="s">
        <v>144</v>
      </c>
      <c r="E1080" s="36" t="str" cm="1">
        <f t="array" ref="E1080">GetNumber(D1080,1)</f>
        <v>7</v>
      </c>
      <c r="F1080" s="36" t="str" cm="1">
        <f t="array" ref="F1080">GetNumber(D1080,2)</f>
        <v>4</v>
      </c>
      <c r="G1080" s="35">
        <v>14.8</v>
      </c>
      <c r="H1080" s="35">
        <v>14773</v>
      </c>
      <c r="I1080" s="35">
        <f>16.36*($T$2)</f>
        <v>32.72</v>
      </c>
      <c r="J1080" s="35">
        <f>242.1*($T$2)</f>
        <v>484.2</v>
      </c>
      <c r="K1080" s="35">
        <f t="shared" si="78"/>
        <v>12.104089219330856</v>
      </c>
      <c r="L1080" s="35">
        <f t="shared" si="79"/>
        <v>12.102689486552569</v>
      </c>
      <c r="M1080" s="35">
        <f>2.0175*($T$2)</f>
        <v>4.0350000000000001</v>
      </c>
      <c r="N1080" s="35">
        <f>56*(5280/3600)</f>
        <v>82.133333333333326</v>
      </c>
      <c r="O1080" s="35">
        <f t="shared" si="77"/>
        <v>0.83333333333333337</v>
      </c>
      <c r="P1080" s="35">
        <f t="shared" si="80"/>
        <v>48.84</v>
      </c>
      <c r="Q1080" s="35">
        <f>('Batt Capacity and Sys Weight'!$I$3) + (B1080*$T$2)</f>
        <v>31.928474999999999</v>
      </c>
      <c r="R1080" s="35">
        <f>'Batt Capacity and Sys Weight'!$H$3</f>
        <v>97.68</v>
      </c>
    </row>
    <row r="1081" spans="1:18" x14ac:dyDescent="0.3">
      <c r="A1081" s="35" t="s">
        <v>154</v>
      </c>
      <c r="B1081" s="35">
        <v>2.74</v>
      </c>
      <c r="C1081" s="35">
        <v>1360</v>
      </c>
      <c r="D1081" s="35" t="s">
        <v>128</v>
      </c>
      <c r="E1081" s="36" t="str" cm="1">
        <f t="array" ref="E1081">GetNumber(D1081,1)</f>
        <v>8</v>
      </c>
      <c r="F1081" s="36" t="str" cm="1">
        <f t="array" ref="F1081">GetNumber(D1081,2)</f>
        <v>8</v>
      </c>
      <c r="G1081" s="35">
        <v>7.4</v>
      </c>
      <c r="H1081" s="35">
        <v>7693</v>
      </c>
      <c r="I1081" s="35">
        <f>16*($T$2)</f>
        <v>32</v>
      </c>
      <c r="J1081" s="35">
        <f>118.4*($T$2)</f>
        <v>236.8</v>
      </c>
      <c r="K1081" s="35">
        <f t="shared" si="78"/>
        <v>25.337837837837835</v>
      </c>
      <c r="L1081" s="35">
        <f t="shared" si="79"/>
        <v>25.337837837837835</v>
      </c>
      <c r="M1081" s="35">
        <f>1.07375*($T$2)</f>
        <v>2.1475</v>
      </c>
      <c r="N1081" s="35">
        <f>58.3*(5280/3600)</f>
        <v>85.506666666666661</v>
      </c>
      <c r="O1081" s="35">
        <f t="shared" si="77"/>
        <v>0.90688344594594594</v>
      </c>
      <c r="P1081" s="35">
        <f t="shared" si="80"/>
        <v>54.413006756756751</v>
      </c>
      <c r="Q1081" s="35">
        <v>0</v>
      </c>
      <c r="R1081" s="35">
        <f t="shared" ref="R1081:R1099" si="81">$T$1</f>
        <v>100</v>
      </c>
    </row>
    <row r="1082" spans="1:18" x14ac:dyDescent="0.3">
      <c r="A1082" s="35" t="s">
        <v>154</v>
      </c>
      <c r="B1082" s="35">
        <v>2.74</v>
      </c>
      <c r="C1082" s="35">
        <v>1360</v>
      </c>
      <c r="D1082" s="35" t="s">
        <v>129</v>
      </c>
      <c r="E1082" s="36" t="str" cm="1">
        <f t="array" ref="E1082">GetNumber(D1082,1)</f>
        <v>9</v>
      </c>
      <c r="F1082" s="36" cm="1">
        <f t="array" ref="F1082">GetNumber(D1082,2)+(GetNumber(D1082,3)/10)</f>
        <v>4.5</v>
      </c>
      <c r="G1082" s="35">
        <v>7.4</v>
      </c>
      <c r="H1082" s="35">
        <v>8108</v>
      </c>
      <c r="I1082" s="35">
        <f>12.78*($T$2)</f>
        <v>25.56</v>
      </c>
      <c r="J1082" s="35">
        <f>94.5*($T$2)</f>
        <v>189</v>
      </c>
      <c r="K1082" s="35">
        <f t="shared" si="78"/>
        <v>31.746031746031743</v>
      </c>
      <c r="L1082" s="35">
        <f t="shared" si="79"/>
        <v>31.7218627077782</v>
      </c>
      <c r="M1082" s="35">
        <f>1.386875*($T$2)</f>
        <v>2.7737500000000002</v>
      </c>
      <c r="N1082" s="35">
        <f>34.6*(5280/3600)</f>
        <v>50.746666666666663</v>
      </c>
      <c r="O1082" s="35">
        <f t="shared" si="77"/>
        <v>1.4675925925925928</v>
      </c>
      <c r="P1082" s="35">
        <f t="shared" si="80"/>
        <v>88.055555555555557</v>
      </c>
      <c r="Q1082" s="35">
        <v>0</v>
      </c>
      <c r="R1082" s="35">
        <f t="shared" si="81"/>
        <v>100</v>
      </c>
    </row>
    <row r="1083" spans="1:18" x14ac:dyDescent="0.3">
      <c r="A1083" s="35" t="s">
        <v>154</v>
      </c>
      <c r="B1083" s="35">
        <v>2.74</v>
      </c>
      <c r="C1083" s="35">
        <v>1360</v>
      </c>
      <c r="D1083" s="35" t="s">
        <v>107</v>
      </c>
      <c r="E1083" s="36" t="str" cm="1">
        <f t="array" ref="E1083">GetNumber(D1083,1)</f>
        <v>9</v>
      </c>
      <c r="F1083" s="36" t="str" cm="1">
        <f t="array" ref="F1083">GetNumber(D1083,2)</f>
        <v>6</v>
      </c>
      <c r="G1083" s="35">
        <v>7.4</v>
      </c>
      <c r="H1083" s="35">
        <v>7855</v>
      </c>
      <c r="I1083" s="35">
        <f>14.86*($T$2)</f>
        <v>29.72</v>
      </c>
      <c r="J1083" s="35">
        <f>109.9*($T$2)</f>
        <v>219.8</v>
      </c>
      <c r="K1083" s="35">
        <f t="shared" si="78"/>
        <v>27.2975432211101</v>
      </c>
      <c r="L1083" s="35">
        <f t="shared" si="79"/>
        <v>27.281655814630241</v>
      </c>
      <c r="M1083" s="35">
        <f>1.40625*($T$2)</f>
        <v>2.8125</v>
      </c>
      <c r="N1083" s="35">
        <f>44.6*(5280/3600)</f>
        <v>65.413333333333327</v>
      </c>
      <c r="O1083" s="35">
        <f t="shared" si="77"/>
        <v>1.2795723384895359</v>
      </c>
      <c r="P1083" s="35">
        <f t="shared" si="80"/>
        <v>76.77434030937215</v>
      </c>
      <c r="Q1083" s="35">
        <v>0</v>
      </c>
      <c r="R1083" s="35">
        <f t="shared" si="81"/>
        <v>100</v>
      </c>
    </row>
    <row r="1084" spans="1:18" x14ac:dyDescent="0.3">
      <c r="A1084" s="35" t="s">
        <v>154</v>
      </c>
      <c r="B1084" s="35">
        <v>2.74</v>
      </c>
      <c r="C1084" s="35">
        <v>1360</v>
      </c>
      <c r="D1084" s="35" t="s">
        <v>104</v>
      </c>
      <c r="E1084" s="36" t="str" cm="1">
        <f t="array" ref="E1084">GetNumber(D1084,1)</f>
        <v>9</v>
      </c>
      <c r="F1084" s="36" cm="1">
        <f t="array" ref="F1084">GetNumber(D1084,2)+(GetNumber(D1084,3)/10)</f>
        <v>7.5</v>
      </c>
      <c r="G1084" s="35">
        <v>7.4</v>
      </c>
      <c r="H1084" s="35">
        <v>7048</v>
      </c>
      <c r="I1084" s="35">
        <f>20.03*($T$2)</f>
        <v>40.06</v>
      </c>
      <c r="J1084" s="35">
        <f>148.2*($T$2)</f>
        <v>296.39999999999998</v>
      </c>
      <c r="K1084" s="35">
        <f t="shared" si="78"/>
        <v>20.242914979757085</v>
      </c>
      <c r="L1084" s="35">
        <f t="shared" si="79"/>
        <v>20.239910404663274</v>
      </c>
      <c r="M1084" s="35">
        <f>1.36*($T$2)</f>
        <v>2.72</v>
      </c>
      <c r="N1084" s="35">
        <f>50.1*(5280/3600)</f>
        <v>73.48</v>
      </c>
      <c r="O1084" s="35">
        <f t="shared" si="77"/>
        <v>0.91767881241565463</v>
      </c>
      <c r="P1084" s="35">
        <f t="shared" si="80"/>
        <v>55.060728744939276</v>
      </c>
      <c r="Q1084" s="35">
        <v>0</v>
      </c>
      <c r="R1084" s="35">
        <f t="shared" si="81"/>
        <v>100</v>
      </c>
    </row>
    <row r="1085" spans="1:18" x14ac:dyDescent="0.3">
      <c r="A1085" s="35" t="s">
        <v>154</v>
      </c>
      <c r="B1085" s="35">
        <v>2.74</v>
      </c>
      <c r="C1085" s="35">
        <v>1360</v>
      </c>
      <c r="D1085" s="35" t="s">
        <v>99</v>
      </c>
      <c r="E1085" s="36" t="str" cm="1">
        <f t="array" ref="E1085">GetNumber(D1085,1)</f>
        <v>10</v>
      </c>
      <c r="F1085" s="36" t="str" cm="1">
        <f t="array" ref="F1085">GetNumber(D1085,2)</f>
        <v>5</v>
      </c>
      <c r="G1085" s="35">
        <v>7.4</v>
      </c>
      <c r="H1085" s="35">
        <v>7550</v>
      </c>
      <c r="I1085" s="35">
        <f>16.84*($T$2)</f>
        <v>33.68</v>
      </c>
      <c r="J1085" s="35">
        <f>124.6*($T$2)</f>
        <v>249.2</v>
      </c>
      <c r="K1085" s="35">
        <f t="shared" si="78"/>
        <v>24.077046548956663</v>
      </c>
      <c r="L1085" s="35">
        <f t="shared" si="79"/>
        <v>24.073955190344737</v>
      </c>
      <c r="M1085" s="35">
        <f>1.68625*($T$2)</f>
        <v>3.3725000000000001</v>
      </c>
      <c r="N1085" s="35">
        <f>35.7*(5280/3600)</f>
        <v>52.36</v>
      </c>
      <c r="O1085" s="35">
        <f t="shared" si="77"/>
        <v>1.3533306581059392</v>
      </c>
      <c r="P1085" s="35">
        <f t="shared" si="80"/>
        <v>81.199839486356339</v>
      </c>
      <c r="Q1085" s="35">
        <v>0</v>
      </c>
      <c r="R1085" s="35">
        <f t="shared" si="81"/>
        <v>100</v>
      </c>
    </row>
    <row r="1086" spans="1:18" x14ac:dyDescent="0.3">
      <c r="A1086" s="35" t="s">
        <v>154</v>
      </c>
      <c r="B1086" s="35">
        <v>2.74</v>
      </c>
      <c r="C1086" s="35">
        <v>1360</v>
      </c>
      <c r="D1086" s="35" t="s">
        <v>67</v>
      </c>
      <c r="E1086" s="36" t="str" cm="1">
        <f t="array" ref="E1086">GetNumber(D1086,1)</f>
        <v>10</v>
      </c>
      <c r="F1086" s="36" t="str" cm="1">
        <f t="array" ref="F1086">GetNumber(D1086,2)</f>
        <v>6</v>
      </c>
      <c r="G1086" s="35">
        <v>7.4</v>
      </c>
      <c r="H1086" s="35">
        <v>7285</v>
      </c>
      <c r="I1086" s="35">
        <f>18.54*($T$2)</f>
        <v>37.08</v>
      </c>
      <c r="J1086" s="35">
        <f>137.2*($T$2)</f>
        <v>274.39999999999998</v>
      </c>
      <c r="K1086" s="35">
        <f t="shared" si="78"/>
        <v>21.865889212827991</v>
      </c>
      <c r="L1086" s="35">
        <f t="shared" si="79"/>
        <v>21.866526720895653</v>
      </c>
      <c r="M1086" s="35">
        <f>1.7525*($T$2)</f>
        <v>3.5049999999999999</v>
      </c>
      <c r="N1086" s="35">
        <f>41.4*(5280/3600)</f>
        <v>60.719999999999992</v>
      </c>
      <c r="O1086" s="35">
        <f t="shared" si="77"/>
        <v>1.277332361516035</v>
      </c>
      <c r="P1086" s="35">
        <f t="shared" si="80"/>
        <v>76.639941690962104</v>
      </c>
      <c r="Q1086" s="35">
        <v>0</v>
      </c>
      <c r="R1086" s="35">
        <f t="shared" si="81"/>
        <v>100</v>
      </c>
    </row>
    <row r="1087" spans="1:18" x14ac:dyDescent="0.3">
      <c r="A1087" s="35" t="s">
        <v>154</v>
      </c>
      <c r="B1087" s="35">
        <v>2.74</v>
      </c>
      <c r="C1087" s="35">
        <v>1360</v>
      </c>
      <c r="D1087" s="35" t="s">
        <v>131</v>
      </c>
      <c r="E1087" s="36" t="str" cm="1">
        <f t="array" ref="E1087">GetNumber(D1087,1)</f>
        <v>10</v>
      </c>
      <c r="F1087" s="36" t="str" cm="1">
        <f t="array" ref="F1087">GetNumber(D1087,2)</f>
        <v>6</v>
      </c>
      <c r="G1087" s="35">
        <v>7.4</v>
      </c>
      <c r="H1087" s="35">
        <v>7680</v>
      </c>
      <c r="I1087" s="35">
        <f>16.04*($T$2)</f>
        <v>32.08</v>
      </c>
      <c r="J1087" s="35">
        <f>118.7*($T$2)</f>
        <v>237.4</v>
      </c>
      <c r="K1087" s="35">
        <f t="shared" si="78"/>
        <v>25.27379949452401</v>
      </c>
      <c r="L1087" s="35">
        <f t="shared" si="79"/>
        <v>25.274651209813303</v>
      </c>
      <c r="M1087" s="35">
        <f>1.545625*($T$2)</f>
        <v>3.0912500000000001</v>
      </c>
      <c r="N1087" s="35">
        <f>43.6*(5280/3600)</f>
        <v>63.946666666666665</v>
      </c>
      <c r="O1087" s="35">
        <f t="shared" si="77"/>
        <v>1.3021272114574556</v>
      </c>
      <c r="P1087" s="35">
        <f t="shared" si="80"/>
        <v>78.127632687447345</v>
      </c>
      <c r="Q1087" s="35">
        <v>0</v>
      </c>
      <c r="R1087" s="35">
        <f t="shared" si="81"/>
        <v>100</v>
      </c>
    </row>
    <row r="1088" spans="1:18" x14ac:dyDescent="0.3">
      <c r="A1088" s="35" t="s">
        <v>154</v>
      </c>
      <c r="B1088" s="35">
        <v>2.74</v>
      </c>
      <c r="C1088" s="35">
        <v>1360</v>
      </c>
      <c r="D1088" s="35" t="s">
        <v>68</v>
      </c>
      <c r="E1088" s="36" t="str" cm="1">
        <f t="array" ref="E1088">GetNumber(D1088,1)</f>
        <v>10</v>
      </c>
      <c r="F1088" s="36" t="str" cm="1">
        <f t="array" ref="F1088">GetNumber(D1088,2)</f>
        <v>7</v>
      </c>
      <c r="G1088" s="35">
        <v>7.4</v>
      </c>
      <c r="H1088" s="35">
        <v>6964</v>
      </c>
      <c r="I1088" s="35">
        <f>20.54*($T$2)</f>
        <v>41.08</v>
      </c>
      <c r="J1088" s="35">
        <f>152*($T$2)</f>
        <v>304</v>
      </c>
      <c r="K1088" s="35">
        <f t="shared" si="78"/>
        <v>19.736842105263158</v>
      </c>
      <c r="L1088" s="35">
        <f t="shared" si="79"/>
        <v>19.737361509513406</v>
      </c>
      <c r="M1088" s="35">
        <f>1.748125*($T$2)</f>
        <v>3.4962499999999999</v>
      </c>
      <c r="N1088" s="35">
        <f>46.2*(5280/3600)</f>
        <v>67.760000000000005</v>
      </c>
      <c r="O1088" s="35">
        <f t="shared" si="77"/>
        <v>1.1500822368421051</v>
      </c>
      <c r="P1088" s="35">
        <f t="shared" si="80"/>
        <v>69.004934210526315</v>
      </c>
      <c r="Q1088" s="35">
        <v>0</v>
      </c>
      <c r="R1088" s="35">
        <f t="shared" si="81"/>
        <v>100</v>
      </c>
    </row>
    <row r="1089" spans="1:18" x14ac:dyDescent="0.3">
      <c r="A1089" s="35" t="s">
        <v>154</v>
      </c>
      <c r="B1089" s="35">
        <v>2.74</v>
      </c>
      <c r="C1089" s="35">
        <v>1360</v>
      </c>
      <c r="D1089" s="35" t="s">
        <v>70</v>
      </c>
      <c r="E1089" s="36" t="str" cm="1">
        <f t="array" ref="E1089">GetNumber(D1089,1)</f>
        <v>11</v>
      </c>
      <c r="F1089" s="36" cm="1">
        <f t="array" ref="F1089">GetNumber(D1089,2)+(GetNumber(D1089,3)/10)</f>
        <v>5.5</v>
      </c>
      <c r="G1089" s="35">
        <v>7.4</v>
      </c>
      <c r="H1089" s="35">
        <v>6774</v>
      </c>
      <c r="I1089" s="35">
        <f>21.79*($T$2)</f>
        <v>43.58</v>
      </c>
      <c r="J1089" s="35">
        <f>161.2*($T$2)</f>
        <v>322.39999999999998</v>
      </c>
      <c r="K1089" s="35">
        <f t="shared" si="78"/>
        <v>18.610421836228291</v>
      </c>
      <c r="L1089" s="35">
        <f t="shared" si="79"/>
        <v>18.605112684965828</v>
      </c>
      <c r="M1089" s="35">
        <f>2.059375*($T$2)</f>
        <v>4.1187500000000004</v>
      </c>
      <c r="N1089" s="35">
        <f>35.3*(5280/3600)</f>
        <v>51.773333333333326</v>
      </c>
      <c r="O1089" s="35">
        <f t="shared" si="77"/>
        <v>1.2775279156327546</v>
      </c>
      <c r="P1089" s="35">
        <f t="shared" si="80"/>
        <v>76.651674937965282</v>
      </c>
      <c r="Q1089" s="35">
        <v>0</v>
      </c>
      <c r="R1089" s="35">
        <f t="shared" si="81"/>
        <v>100</v>
      </c>
    </row>
    <row r="1090" spans="1:18" x14ac:dyDescent="0.3">
      <c r="A1090" s="35" t="s">
        <v>154</v>
      </c>
      <c r="B1090" s="35">
        <v>2.74</v>
      </c>
      <c r="C1090" s="35">
        <v>1360</v>
      </c>
      <c r="D1090" s="35" t="s">
        <v>133</v>
      </c>
      <c r="E1090" s="36" t="str" cm="1">
        <f t="array" ref="E1090">GetNumber(D1090,1)</f>
        <v>10</v>
      </c>
      <c r="F1090" s="36" t="str" cm="1">
        <f t="array" ref="F1090">GetNumber(D1090,2)</f>
        <v>5</v>
      </c>
      <c r="G1090" s="35">
        <v>7.4</v>
      </c>
      <c r="H1090" s="35">
        <v>7650</v>
      </c>
      <c r="I1090" s="35">
        <f>16.21*($T$2)</f>
        <v>32.42</v>
      </c>
      <c r="J1090" s="35">
        <f>119.9*($T$2)</f>
        <v>239.8</v>
      </c>
      <c r="K1090" s="35">
        <f t="shared" si="78"/>
        <v>25.020850708924101</v>
      </c>
      <c r="L1090" s="35">
        <f t="shared" si="79"/>
        <v>25.009587008353201</v>
      </c>
      <c r="M1090" s="35">
        <f>1.53875*($T$2)</f>
        <v>3.0775000000000001</v>
      </c>
      <c r="N1090" s="35">
        <f>36.2*(5280/3600)</f>
        <v>53.093333333333334</v>
      </c>
      <c r="O1090" s="35">
        <f t="shared" ref="O1090:O1153" si="82" xml:space="preserve"> (M1090/J1090)*100</f>
        <v>1.2833611342785654</v>
      </c>
      <c r="P1090" s="35">
        <f t="shared" si="80"/>
        <v>77.001668056713925</v>
      </c>
      <c r="Q1090" s="35">
        <v>0</v>
      </c>
      <c r="R1090" s="35">
        <f t="shared" si="81"/>
        <v>100</v>
      </c>
    </row>
    <row r="1091" spans="1:18" x14ac:dyDescent="0.3">
      <c r="A1091" s="35" t="s">
        <v>154</v>
      </c>
      <c r="B1091" s="35">
        <v>2.74</v>
      </c>
      <c r="C1091" s="35">
        <v>1360</v>
      </c>
      <c r="D1091" s="35" t="s">
        <v>134</v>
      </c>
      <c r="E1091" s="36" t="str" cm="1">
        <f t="array" ref="E1091">GetNumber(D1091,1)</f>
        <v>10</v>
      </c>
      <c r="F1091" s="36" t="str" cm="1">
        <f t="array" ref="F1091">GetNumber(D1091,2)</f>
        <v>6</v>
      </c>
      <c r="G1091" s="35">
        <v>7.4</v>
      </c>
      <c r="H1091" s="35">
        <v>7075</v>
      </c>
      <c r="I1091" s="35">
        <f>19.68*($T$2)</f>
        <v>39.36</v>
      </c>
      <c r="J1091" s="35">
        <f>145.6*($T$2)</f>
        <v>291.2</v>
      </c>
      <c r="K1091" s="35">
        <f t="shared" ref="K1091:K1154" si="83" xml:space="preserve"> (R1091/J1091)*60</f>
        <v>20.604395604395606</v>
      </c>
      <c r="L1091" s="35">
        <f t="shared" ref="L1091:L1154" si="84">( (R1091/G1091)/I1091)*60</f>
        <v>20.599868160843769</v>
      </c>
      <c r="M1091" s="35">
        <f>1.531875*($T$2)</f>
        <v>3.0637500000000002</v>
      </c>
      <c r="N1091" s="35">
        <f>40.2*(5280/3600)</f>
        <v>58.96</v>
      </c>
      <c r="O1091" s="35">
        <f t="shared" si="82"/>
        <v>1.0521119505494507</v>
      </c>
      <c r="P1091" s="35">
        <f t="shared" si="80"/>
        <v>63.126717032967044</v>
      </c>
      <c r="Q1091" s="35">
        <v>0</v>
      </c>
      <c r="R1091" s="35">
        <f t="shared" si="81"/>
        <v>100</v>
      </c>
    </row>
    <row r="1092" spans="1:18" x14ac:dyDescent="0.3">
      <c r="A1092" s="35" t="s">
        <v>154</v>
      </c>
      <c r="B1092" s="35">
        <v>2.74</v>
      </c>
      <c r="C1092" s="35">
        <v>1360</v>
      </c>
      <c r="D1092" s="35" t="s">
        <v>135</v>
      </c>
      <c r="E1092" s="36" t="str" cm="1">
        <f t="array" ref="E1092">GetNumber(D1092,1)</f>
        <v>10</v>
      </c>
      <c r="F1092" s="36" t="str" cm="1">
        <f t="array" ref="F1092">GetNumber(D1092,2)</f>
        <v>7</v>
      </c>
      <c r="G1092" s="35">
        <v>7.4</v>
      </c>
      <c r="H1092" s="35">
        <v>6834</v>
      </c>
      <c r="I1092" s="35">
        <f>21.36*($T$2)</f>
        <v>42.72</v>
      </c>
      <c r="J1092" s="35">
        <f>158.1*($T$2)</f>
        <v>316.2</v>
      </c>
      <c r="K1092" s="35">
        <f t="shared" si="83"/>
        <v>18.975332068311197</v>
      </c>
      <c r="L1092" s="35">
        <f t="shared" si="84"/>
        <v>18.979653811114481</v>
      </c>
      <c r="M1092" s="35">
        <f>1.35375*($T$2)</f>
        <v>2.7075</v>
      </c>
      <c r="N1092" s="35">
        <f>45.3*(5280/3600)</f>
        <v>66.44</v>
      </c>
      <c r="O1092" s="35">
        <f t="shared" si="82"/>
        <v>0.85626185958254264</v>
      </c>
      <c r="P1092" s="35">
        <f t="shared" si="80"/>
        <v>51.375711574952568</v>
      </c>
      <c r="Q1092" s="35">
        <v>0</v>
      </c>
      <c r="R1092" s="35">
        <f t="shared" si="81"/>
        <v>100</v>
      </c>
    </row>
    <row r="1093" spans="1:18" x14ac:dyDescent="0.3">
      <c r="A1093" s="35" t="s">
        <v>154</v>
      </c>
      <c r="B1093" s="35">
        <v>2.74</v>
      </c>
      <c r="C1093" s="35">
        <v>1360</v>
      </c>
      <c r="D1093" s="35" t="s">
        <v>137</v>
      </c>
      <c r="E1093" s="36" t="str" cm="1">
        <f t="array" ref="E1093">GetNumber(D1093,1)</f>
        <v>11</v>
      </c>
      <c r="F1093" s="36" t="str" cm="1">
        <f t="array" ref="F1093">GetNumber(D1093,2)</f>
        <v>5</v>
      </c>
      <c r="G1093" s="35">
        <v>7.4</v>
      </c>
      <c r="H1093" s="35">
        <v>7108</v>
      </c>
      <c r="I1093" s="35">
        <f>19.6*($T$2)</f>
        <v>39.200000000000003</v>
      </c>
      <c r="J1093" s="35">
        <f>145*($T$2)</f>
        <v>290</v>
      </c>
      <c r="K1093" s="35">
        <f t="shared" si="83"/>
        <v>20.689655172413794</v>
      </c>
      <c r="L1093" s="35">
        <f t="shared" si="84"/>
        <v>20.683949255377822</v>
      </c>
      <c r="M1093" s="35">
        <f>1.816875*($T$2)</f>
        <v>3.63375</v>
      </c>
      <c r="N1093" s="35">
        <f>33.7*(5280/3600)</f>
        <v>49.426666666666669</v>
      </c>
      <c r="O1093" s="35">
        <f t="shared" si="82"/>
        <v>1.2530172413793104</v>
      </c>
      <c r="P1093" s="35">
        <f t="shared" si="80"/>
        <v>75.181034482758619</v>
      </c>
      <c r="Q1093" s="35">
        <v>0</v>
      </c>
      <c r="R1093" s="35">
        <f t="shared" si="81"/>
        <v>100</v>
      </c>
    </row>
    <row r="1094" spans="1:18" x14ac:dyDescent="0.3">
      <c r="A1094" s="35" t="s">
        <v>154</v>
      </c>
      <c r="B1094" s="35">
        <v>2.74</v>
      </c>
      <c r="C1094" s="35">
        <v>1360</v>
      </c>
      <c r="D1094" s="35" t="s">
        <v>138</v>
      </c>
      <c r="E1094" s="36" t="str" cm="1">
        <f t="array" ref="E1094">GetNumber(D1094,1)</f>
        <v>11</v>
      </c>
      <c r="F1094" s="36" t="str" cm="1">
        <f t="array" ref="F1094">GetNumber(D1094,2)</f>
        <v>6</v>
      </c>
      <c r="G1094" s="35">
        <v>7.4</v>
      </c>
      <c r="H1094" s="35">
        <v>6735</v>
      </c>
      <c r="I1094" s="35">
        <f>22.09*($T$2)</f>
        <v>44.18</v>
      </c>
      <c r="J1094" s="35">
        <f>163.4*($T$2)</f>
        <v>326.8</v>
      </c>
      <c r="K1094" s="35">
        <f t="shared" si="83"/>
        <v>18.359853121175032</v>
      </c>
      <c r="L1094" s="35">
        <f t="shared" si="84"/>
        <v>18.35244026280694</v>
      </c>
      <c r="M1094" s="35">
        <f>1.946875*($T$2)</f>
        <v>3.8937499999999998</v>
      </c>
      <c r="N1094" s="35">
        <f>38.3*(5280/3600)</f>
        <v>56.173333333333325</v>
      </c>
      <c r="O1094" s="35">
        <f t="shared" si="82"/>
        <v>1.1914779681762544</v>
      </c>
      <c r="P1094" s="35">
        <f t="shared" si="80"/>
        <v>71.488678090575277</v>
      </c>
      <c r="Q1094" s="35">
        <v>0</v>
      </c>
      <c r="R1094" s="35">
        <f t="shared" si="81"/>
        <v>100</v>
      </c>
    </row>
    <row r="1095" spans="1:18" x14ac:dyDescent="0.3">
      <c r="A1095" s="35" t="s">
        <v>154</v>
      </c>
      <c r="B1095" s="35">
        <v>2.74</v>
      </c>
      <c r="C1095" s="35">
        <v>1360</v>
      </c>
      <c r="D1095" s="35" t="s">
        <v>139</v>
      </c>
      <c r="E1095" s="36" t="str" cm="1">
        <f t="array" ref="E1095">GetNumber(D1095,1)</f>
        <v>11</v>
      </c>
      <c r="F1095" s="36" t="str" cm="1">
        <f t="array" ref="F1095">GetNumber(D1095,2)</f>
        <v>7</v>
      </c>
      <c r="G1095" s="35">
        <v>7.4</v>
      </c>
      <c r="H1095" s="35">
        <v>6709</v>
      </c>
      <c r="I1095" s="35">
        <f>22.16*($T$2)</f>
        <v>44.32</v>
      </c>
      <c r="J1095" s="35">
        <f>164*($T$2)</f>
        <v>328</v>
      </c>
      <c r="K1095" s="35">
        <f t="shared" si="83"/>
        <v>18.292682926829269</v>
      </c>
      <c r="L1095" s="35">
        <f t="shared" si="84"/>
        <v>18.294467752951505</v>
      </c>
      <c r="M1095" s="35">
        <f>1.9225*($T$2)</f>
        <v>3.8450000000000002</v>
      </c>
      <c r="N1095" s="35">
        <f>44.5*(5280/3600)</f>
        <v>65.266666666666666</v>
      </c>
      <c r="O1095" s="35">
        <f t="shared" si="82"/>
        <v>1.1722560975609757</v>
      </c>
      <c r="P1095" s="35">
        <f t="shared" si="80"/>
        <v>70.335365853658544</v>
      </c>
      <c r="Q1095" s="35">
        <v>0</v>
      </c>
      <c r="R1095" s="35">
        <f t="shared" si="81"/>
        <v>100</v>
      </c>
    </row>
    <row r="1096" spans="1:18" x14ac:dyDescent="0.3">
      <c r="A1096" s="35" t="s">
        <v>154</v>
      </c>
      <c r="B1096" s="35">
        <v>2.74</v>
      </c>
      <c r="C1096" s="35">
        <v>1360</v>
      </c>
      <c r="D1096" s="35" t="s">
        <v>142</v>
      </c>
      <c r="E1096" s="36">
        <v>7.5</v>
      </c>
      <c r="F1096" s="36" t="str" cm="1">
        <f t="array" ref="F1096">GetNumber(D1096,3)</f>
        <v>4</v>
      </c>
      <c r="G1096" s="35">
        <v>7.4</v>
      </c>
      <c r="H1096" s="35">
        <v>7874</v>
      </c>
      <c r="I1096" s="35">
        <f>14.56*($T$2)</f>
        <v>29.12</v>
      </c>
      <c r="J1096" s="35">
        <f>107.7*($T$2)</f>
        <v>215.4</v>
      </c>
      <c r="K1096" s="35">
        <f t="shared" si="83"/>
        <v>27.855153203342617</v>
      </c>
      <c r="L1096" s="35">
        <f t="shared" si="84"/>
        <v>27.84377784377784</v>
      </c>
      <c r="M1096" s="35">
        <f>0.881875*($T$2)</f>
        <v>1.7637499999999999</v>
      </c>
      <c r="N1096" s="35">
        <f>29.8*(5280/3600)</f>
        <v>43.706666666666663</v>
      </c>
      <c r="O1096" s="35">
        <f t="shared" si="82"/>
        <v>0.81882544103992572</v>
      </c>
      <c r="P1096" s="35">
        <f t="shared" si="80"/>
        <v>49.129526462395539</v>
      </c>
      <c r="Q1096" s="35">
        <v>0</v>
      </c>
      <c r="R1096" s="35">
        <f t="shared" si="81"/>
        <v>100</v>
      </c>
    </row>
    <row r="1097" spans="1:18" x14ac:dyDescent="0.3">
      <c r="A1097" s="35" t="s">
        <v>154</v>
      </c>
      <c r="B1097" s="35">
        <v>2.74</v>
      </c>
      <c r="C1097" s="35">
        <v>1360</v>
      </c>
      <c r="D1097" s="35" t="s">
        <v>131</v>
      </c>
      <c r="E1097" s="36" t="str" cm="1">
        <f t="array" ref="E1097">GetNumber(D1097,1)</f>
        <v>10</v>
      </c>
      <c r="F1097" s="36" t="str" cm="1">
        <f t="array" ref="F1097">GetNumber(D1097,2)</f>
        <v>6</v>
      </c>
      <c r="G1097" s="35">
        <v>7.4</v>
      </c>
      <c r="H1097" s="35">
        <v>7466</v>
      </c>
      <c r="I1097" s="35">
        <f>17.48*($T$2)</f>
        <v>34.96</v>
      </c>
      <c r="J1097" s="35">
        <f>129.4*($T$2)</f>
        <v>258.8</v>
      </c>
      <c r="K1097" s="35">
        <f t="shared" si="83"/>
        <v>23.183925811437401</v>
      </c>
      <c r="L1097" s="35">
        <f t="shared" si="84"/>
        <v>23.19252891335271</v>
      </c>
      <c r="M1097" s="35">
        <f>1.710625*($T$2)</f>
        <v>3.4212500000000001</v>
      </c>
      <c r="N1097" s="35">
        <f>42.4*(5280/3600)</f>
        <v>62.18666666666666</v>
      </c>
      <c r="O1097" s="35">
        <f t="shared" si="82"/>
        <v>1.3219667697063371</v>
      </c>
      <c r="P1097" s="35">
        <f t="shared" si="80"/>
        <v>79.318006182380216</v>
      </c>
      <c r="Q1097" s="35">
        <v>0</v>
      </c>
      <c r="R1097" s="35">
        <f t="shared" si="81"/>
        <v>100</v>
      </c>
    </row>
    <row r="1098" spans="1:18" x14ac:dyDescent="0.3">
      <c r="A1098" s="35" t="s">
        <v>154</v>
      </c>
      <c r="B1098" s="35">
        <v>2.74</v>
      </c>
      <c r="C1098" s="35">
        <v>1360</v>
      </c>
      <c r="D1098" s="35" t="s">
        <v>101</v>
      </c>
      <c r="E1098" s="36" t="str" cm="1">
        <f t="array" ref="E1098">GetNumber(D1098,1)</f>
        <v>9</v>
      </c>
      <c r="F1098" s="36" t="str" cm="1">
        <f t="array" ref="F1098">GetNumber(D1098,2)</f>
        <v>7</v>
      </c>
      <c r="G1098" s="35">
        <v>7.4</v>
      </c>
      <c r="H1098" s="35">
        <v>7123</v>
      </c>
      <c r="I1098" s="35">
        <f>19.56*($T$2)</f>
        <v>39.119999999999997</v>
      </c>
      <c r="J1098" s="35">
        <f>144.8*($T$2)</f>
        <v>289.60000000000002</v>
      </c>
      <c r="K1098" s="35">
        <f t="shared" si="83"/>
        <v>20.718232044198892</v>
      </c>
      <c r="L1098" s="35">
        <f t="shared" si="84"/>
        <v>20.726247720112752</v>
      </c>
      <c r="M1098" s="35">
        <f>1.5475*($T$2)</f>
        <v>3.0950000000000002</v>
      </c>
      <c r="N1098" s="35">
        <f>47.2*(5280/3600)</f>
        <v>69.226666666666659</v>
      </c>
      <c r="O1098" s="35">
        <f t="shared" si="82"/>
        <v>1.0687154696132597</v>
      </c>
      <c r="P1098" s="35">
        <f t="shared" si="80"/>
        <v>64.122928176795568</v>
      </c>
      <c r="Q1098" s="35">
        <v>0</v>
      </c>
      <c r="R1098" s="35">
        <f t="shared" si="81"/>
        <v>100</v>
      </c>
    </row>
    <row r="1099" spans="1:18" x14ac:dyDescent="0.3">
      <c r="A1099" s="35" t="s">
        <v>154</v>
      </c>
      <c r="B1099" s="35">
        <v>2.74</v>
      </c>
      <c r="C1099" s="35">
        <v>1360</v>
      </c>
      <c r="D1099" s="35" t="s">
        <v>79</v>
      </c>
      <c r="E1099" s="36" t="str" cm="1">
        <f t="array" ref="E1099">GetNumber(D1099,1)</f>
        <v>10</v>
      </c>
      <c r="F1099" s="36" t="str" cm="1">
        <f t="array" ref="F1099">GetNumber(D1099,2)</f>
        <v>5</v>
      </c>
      <c r="G1099" s="35">
        <v>7.4</v>
      </c>
      <c r="H1099" s="35">
        <v>7371</v>
      </c>
      <c r="I1099" s="35">
        <f>18*($T$2)</f>
        <v>36</v>
      </c>
      <c r="J1099" s="35">
        <f>133.2*($T$2)</f>
        <v>266.39999999999998</v>
      </c>
      <c r="K1099" s="35">
        <f t="shared" si="83"/>
        <v>22.522522522522525</v>
      </c>
      <c r="L1099" s="35">
        <f t="shared" si="84"/>
        <v>22.522522522522522</v>
      </c>
      <c r="M1099" s="35">
        <f>1.739375*($T$2)</f>
        <v>3.4787499999999998</v>
      </c>
      <c r="N1099" s="35">
        <f>34.9*(5280/3600)</f>
        <v>51.18666666666666</v>
      </c>
      <c r="O1099" s="35">
        <f t="shared" si="82"/>
        <v>1.3058370870870872</v>
      </c>
      <c r="P1099" s="35">
        <f t="shared" si="80"/>
        <v>78.35022522522523</v>
      </c>
      <c r="Q1099" s="35">
        <v>0</v>
      </c>
      <c r="R1099" s="35">
        <f t="shared" si="81"/>
        <v>100</v>
      </c>
    </row>
    <row r="1100" spans="1:18" x14ac:dyDescent="0.3">
      <c r="A1100" s="35" t="s">
        <v>154</v>
      </c>
      <c r="B1100" s="35">
        <v>2.74</v>
      </c>
      <c r="C1100" s="35">
        <v>1360</v>
      </c>
      <c r="D1100" s="35" t="s">
        <v>148</v>
      </c>
      <c r="E1100" s="36" t="str" cm="1">
        <f t="array" ref="E1100">GetNumber(D1100,1)</f>
        <v>7</v>
      </c>
      <c r="F1100" s="36" t="str" cm="1">
        <f t="array" ref="F1100">GetNumber(D1100,2)</f>
        <v>5</v>
      </c>
      <c r="G1100" s="35">
        <v>11.1</v>
      </c>
      <c r="H1100" s="35">
        <v>12294</v>
      </c>
      <c r="I1100" s="35">
        <f>15.41*($T$2)</f>
        <v>30.82</v>
      </c>
      <c r="J1100" s="35">
        <f>171*($T$2)</f>
        <v>342</v>
      </c>
      <c r="K1100" s="35">
        <f t="shared" si="83"/>
        <v>17.526315789473685</v>
      </c>
      <c r="L1100" s="35">
        <f t="shared" si="84"/>
        <v>17.521090201168075</v>
      </c>
      <c r="M1100" s="35">
        <f>1.479375*($T$2)</f>
        <v>2.9587500000000002</v>
      </c>
      <c r="N1100" s="35">
        <f>58.2*(5280/3600)</f>
        <v>85.36</v>
      </c>
      <c r="O1100" s="35">
        <f t="shared" si="82"/>
        <v>0.86513157894736836</v>
      </c>
      <c r="P1100" s="35">
        <f t="shared" si="80"/>
        <v>51.855986842105267</v>
      </c>
      <c r="Q1100" s="35">
        <f>('Batt Capacity and Sys Weight'!$I$2) + (B1100*$T$2)</f>
        <v>36.313000000000002</v>
      </c>
      <c r="R1100" s="35">
        <f>'Batt Capacity and Sys Weight'!$H$2</f>
        <v>99.9</v>
      </c>
    </row>
    <row r="1101" spans="1:18" x14ac:dyDescent="0.3">
      <c r="A1101" s="35" t="s">
        <v>154</v>
      </c>
      <c r="B1101" s="35">
        <v>2.74</v>
      </c>
      <c r="C1101" s="35">
        <v>1360</v>
      </c>
      <c r="D1101" s="35" t="s">
        <v>149</v>
      </c>
      <c r="E1101" s="36" t="str" cm="1">
        <f t="array" ref="E1101">GetNumber(D1101,1)</f>
        <v>7</v>
      </c>
      <c r="F1101" s="36" t="str" cm="1">
        <f t="array" ref="F1101">GetNumber(D1101,2)</f>
        <v>6</v>
      </c>
      <c r="G1101" s="35">
        <v>11.1</v>
      </c>
      <c r="H1101" s="35">
        <v>12180</v>
      </c>
      <c r="I1101" s="35">
        <f>16.11*($T$2)</f>
        <v>32.22</v>
      </c>
      <c r="J1101" s="35">
        <f>178.9*($T$2)</f>
        <v>357.8</v>
      </c>
      <c r="K1101" s="35">
        <f t="shared" si="83"/>
        <v>16.75237562884293</v>
      </c>
      <c r="L1101" s="35">
        <f t="shared" si="84"/>
        <v>16.759776536312849</v>
      </c>
      <c r="M1101" s="35">
        <f>1.61625*($T$2)</f>
        <v>3.2324999999999999</v>
      </c>
      <c r="N1101" s="35">
        <f>69.2*(5280/3600)</f>
        <v>101.49333333333333</v>
      </c>
      <c r="O1101" s="35">
        <f t="shared" si="82"/>
        <v>0.90343767467859126</v>
      </c>
      <c r="P1101" s="35">
        <f t="shared" si="80"/>
        <v>54.152054220234774</v>
      </c>
      <c r="Q1101" s="35">
        <f>('Batt Capacity and Sys Weight'!$I$2) + (B1101*$T$2)</f>
        <v>36.313000000000002</v>
      </c>
      <c r="R1101" s="35">
        <f>'Batt Capacity and Sys Weight'!$H$2</f>
        <v>99.9</v>
      </c>
    </row>
    <row r="1102" spans="1:18" x14ac:dyDescent="0.3">
      <c r="A1102" s="35" t="s">
        <v>154</v>
      </c>
      <c r="B1102" s="35">
        <v>2.74</v>
      </c>
      <c r="C1102" s="35">
        <v>1360</v>
      </c>
      <c r="D1102" s="35" t="s">
        <v>125</v>
      </c>
      <c r="E1102" s="36" t="str" cm="1">
        <f t="array" ref="E1102">GetNumber(D1102,1)</f>
        <v>7</v>
      </c>
      <c r="F1102" s="36" t="str" cm="1">
        <f t="array" ref="F1102">GetNumber(D1102,2)</f>
        <v>7</v>
      </c>
      <c r="G1102" s="35">
        <v>11.1</v>
      </c>
      <c r="H1102" s="35">
        <v>11745</v>
      </c>
      <c r="I1102" s="35">
        <f>19.27*($T$2)</f>
        <v>38.54</v>
      </c>
      <c r="J1102" s="35">
        <f>213.9*($T$2)</f>
        <v>427.8</v>
      </c>
      <c r="K1102" s="35">
        <f t="shared" si="83"/>
        <v>14.011220196353436</v>
      </c>
      <c r="L1102" s="35">
        <f t="shared" si="84"/>
        <v>14.011416709911781</v>
      </c>
      <c r="M1102" s="35">
        <f>1.580625*($T$2)</f>
        <v>3.1612499999999999</v>
      </c>
      <c r="N1102" s="35">
        <f>77.9*(5280/3600)</f>
        <v>114.25333333333333</v>
      </c>
      <c r="O1102" s="35">
        <f t="shared" si="82"/>
        <v>0.73895511921458623</v>
      </c>
      <c r="P1102" s="35">
        <f t="shared" si="80"/>
        <v>44.292969845722297</v>
      </c>
      <c r="Q1102" s="35">
        <f>('Batt Capacity and Sys Weight'!$I$2) + (B1102*$T$2)</f>
        <v>36.313000000000002</v>
      </c>
      <c r="R1102" s="35">
        <f>'Batt Capacity and Sys Weight'!$H$2</f>
        <v>99.9</v>
      </c>
    </row>
    <row r="1103" spans="1:18" x14ac:dyDescent="0.3">
      <c r="A1103" s="35" t="s">
        <v>154</v>
      </c>
      <c r="B1103" s="35">
        <v>2.74</v>
      </c>
      <c r="C1103" s="35">
        <v>1360</v>
      </c>
      <c r="D1103" s="35" t="s">
        <v>126</v>
      </c>
      <c r="E1103" s="36" t="str" cm="1">
        <f t="array" ref="E1103">GetNumber(D1103,1)</f>
        <v>8</v>
      </c>
      <c r="F1103" s="36" t="str" cm="1">
        <f t="array" ref="F1103">GetNumber(D1103,2)</f>
        <v>4</v>
      </c>
      <c r="G1103" s="35">
        <v>11.1</v>
      </c>
      <c r="H1103" s="35">
        <v>11942</v>
      </c>
      <c r="I1103" s="35">
        <f>17.88*($T$2)</f>
        <v>35.76</v>
      </c>
      <c r="J1103" s="35">
        <f>198.4*($T$2)</f>
        <v>396.8</v>
      </c>
      <c r="K1103" s="35">
        <f t="shared" si="83"/>
        <v>15.105846774193548</v>
      </c>
      <c r="L1103" s="35">
        <f t="shared" si="84"/>
        <v>15.1006711409396</v>
      </c>
      <c r="M1103" s="35">
        <f>2.008125*($T$2)</f>
        <v>4.0162500000000003</v>
      </c>
      <c r="N1103" s="35">
        <f>45.2*(5280/3600)</f>
        <v>66.293333333333337</v>
      </c>
      <c r="O1103" s="35">
        <f t="shared" si="82"/>
        <v>1.0121597782258065</v>
      </c>
      <c r="P1103" s="35">
        <f t="shared" si="80"/>
        <v>60.668857106854844</v>
      </c>
      <c r="Q1103" s="35">
        <f>('Batt Capacity and Sys Weight'!$I$2) + (B1103*$T$2)</f>
        <v>36.313000000000002</v>
      </c>
      <c r="R1103" s="35">
        <f>'Batt Capacity and Sys Weight'!$H$2</f>
        <v>99.9</v>
      </c>
    </row>
    <row r="1104" spans="1:18" x14ac:dyDescent="0.3">
      <c r="A1104" s="35" t="s">
        <v>154</v>
      </c>
      <c r="B1104" s="35">
        <v>2.74</v>
      </c>
      <c r="C1104" s="35">
        <v>1360</v>
      </c>
      <c r="D1104" s="35" t="s">
        <v>130</v>
      </c>
      <c r="E1104" s="36" t="str" cm="1">
        <f t="array" ref="E1104">GetNumber(D1104,1)</f>
        <v>9</v>
      </c>
      <c r="F1104" s="36" t="str" cm="1">
        <f t="array" ref="F1104">GetNumber(D1104,2)</f>
        <v>5</v>
      </c>
      <c r="G1104" s="35">
        <v>11.1</v>
      </c>
      <c r="H1104" s="35">
        <v>11452</v>
      </c>
      <c r="I1104" s="35">
        <f>21.03*($T$2)</f>
        <v>42.06</v>
      </c>
      <c r="J1104" s="35">
        <f>233.5*($T$2)</f>
        <v>467</v>
      </c>
      <c r="K1104" s="35">
        <f t="shared" si="83"/>
        <v>12.835117773019272</v>
      </c>
      <c r="L1104" s="35">
        <f t="shared" si="84"/>
        <v>12.838801711840228</v>
      </c>
      <c r="M1104" s="35">
        <f>2.270625*($T$2)</f>
        <v>4.5412499999999998</v>
      </c>
      <c r="N1104" s="35">
        <f>54.2*(5280/3600)</f>
        <v>79.493333333333325</v>
      </c>
      <c r="O1104" s="35">
        <f t="shared" si="82"/>
        <v>0.97243040685224846</v>
      </c>
      <c r="P1104" s="35">
        <f t="shared" si="80"/>
        <v>58.287478586723765</v>
      </c>
      <c r="Q1104" s="35">
        <f>('Batt Capacity and Sys Weight'!$I$2) + (B1104*$T$2)</f>
        <v>36.313000000000002</v>
      </c>
      <c r="R1104" s="35">
        <f>'Batt Capacity and Sys Weight'!$H$2</f>
        <v>99.9</v>
      </c>
    </row>
    <row r="1105" spans="1:18" x14ac:dyDescent="0.3">
      <c r="A1105" s="35" t="s">
        <v>154</v>
      </c>
      <c r="B1105" s="35">
        <v>2.74</v>
      </c>
      <c r="C1105" s="35">
        <v>1360</v>
      </c>
      <c r="D1105" s="35" t="s">
        <v>141</v>
      </c>
      <c r="E1105" s="36" t="str" cm="1">
        <f t="array" ref="E1105">GetNumber(D1105,1)</f>
        <v>7</v>
      </c>
      <c r="F1105" s="36" t="str" cm="1">
        <f t="array" ref="F1105">GetNumber(D1105,2)</f>
        <v>6</v>
      </c>
      <c r="G1105" s="35">
        <v>11.1</v>
      </c>
      <c r="H1105" s="35">
        <v>11763</v>
      </c>
      <c r="I1105" s="35">
        <f>19.26*($T$2)</f>
        <v>38.520000000000003</v>
      </c>
      <c r="J1105" s="35">
        <f>213.8*($T$2)</f>
        <v>427.6</v>
      </c>
      <c r="K1105" s="35">
        <f t="shared" si="83"/>
        <v>14.0177736202058</v>
      </c>
      <c r="L1105" s="35">
        <f t="shared" si="84"/>
        <v>14.018691588785044</v>
      </c>
      <c r="M1105" s="35">
        <f>1.208125*($T$2)</f>
        <v>2.4162499999999998</v>
      </c>
      <c r="N1105" s="35">
        <f>66.8*(5280/3600)</f>
        <v>97.973333333333329</v>
      </c>
      <c r="O1105" s="35">
        <f t="shared" si="82"/>
        <v>0.56507249766136569</v>
      </c>
      <c r="P1105" s="35">
        <f t="shared" ref="P1105:P1168" si="85">M1105*K1105</f>
        <v>33.870445509822261</v>
      </c>
      <c r="Q1105" s="35">
        <f>('Batt Capacity and Sys Weight'!$I$2) + (B1105*$T$2)</f>
        <v>36.313000000000002</v>
      </c>
      <c r="R1105" s="35">
        <f>'Batt Capacity and Sys Weight'!$H$2</f>
        <v>99.9</v>
      </c>
    </row>
    <row r="1106" spans="1:18" x14ac:dyDescent="0.3">
      <c r="A1106" s="35" t="s">
        <v>154</v>
      </c>
      <c r="B1106" s="35">
        <v>2.74</v>
      </c>
      <c r="C1106" s="35">
        <v>1360</v>
      </c>
      <c r="D1106" s="35" t="s">
        <v>143</v>
      </c>
      <c r="E1106" s="36" t="str" cm="1">
        <f t="array" ref="E1106">GetNumber(D1106,1)</f>
        <v>8</v>
      </c>
      <c r="F1106" s="36" t="str" cm="1">
        <f t="array" ref="F1106">GetNumber(D1106,2)</f>
        <v>5</v>
      </c>
      <c r="G1106" s="35">
        <v>11.1</v>
      </c>
      <c r="H1106" s="35">
        <v>11929</v>
      </c>
      <c r="I1106" s="35">
        <f>18.1*($T$2)</f>
        <v>36.200000000000003</v>
      </c>
      <c r="J1106" s="35">
        <f>200.9*($T$2)</f>
        <v>401.8</v>
      </c>
      <c r="K1106" s="35">
        <f t="shared" si="83"/>
        <v>14.917869586859135</v>
      </c>
      <c r="L1106" s="35">
        <f t="shared" si="84"/>
        <v>14.917127071823202</v>
      </c>
      <c r="M1106" s="35">
        <f>1.944375*($T$2)</f>
        <v>3.8887499999999999</v>
      </c>
      <c r="N1106" s="35">
        <f>56.5*(5280/3600)</f>
        <v>82.86666666666666</v>
      </c>
      <c r="O1106" s="35">
        <f t="shared" si="82"/>
        <v>0.96783225485316071</v>
      </c>
      <c r="P1106" s="35">
        <f t="shared" si="85"/>
        <v>58.011865355898458</v>
      </c>
      <c r="Q1106" s="35">
        <f>('Batt Capacity and Sys Weight'!$I$2) + (B1106*$T$2)</f>
        <v>36.313000000000002</v>
      </c>
      <c r="R1106" s="35">
        <f>'Batt Capacity and Sys Weight'!$H$2</f>
        <v>99.9</v>
      </c>
    </row>
    <row r="1107" spans="1:18" x14ac:dyDescent="0.3">
      <c r="A1107" s="35" t="s">
        <v>154</v>
      </c>
      <c r="B1107" s="35">
        <v>2.74</v>
      </c>
      <c r="C1107" s="35">
        <v>1360</v>
      </c>
      <c r="D1107" s="35" t="s">
        <v>160</v>
      </c>
      <c r="E1107" s="36" t="str" cm="1">
        <f t="array" ref="E1107">GetNumber(D1107,1)</f>
        <v>6</v>
      </c>
      <c r="F1107" s="36" cm="1">
        <f t="array" ref="F1107">GetNumber(D1107,2)+(GetNumber(D1107,3)/10)</f>
        <v>4.3</v>
      </c>
      <c r="G1107" s="35">
        <v>14.8</v>
      </c>
      <c r="H1107" s="35">
        <v>16636</v>
      </c>
      <c r="I1107" s="35">
        <f>16.5*($T$2)</f>
        <v>33</v>
      </c>
      <c r="J1107" s="35">
        <f>244.2*($T$2)</f>
        <v>488.4</v>
      </c>
      <c r="K1107" s="35">
        <f t="shared" si="83"/>
        <v>12</v>
      </c>
      <c r="L1107" s="35">
        <f t="shared" si="84"/>
        <v>12</v>
      </c>
      <c r="M1107" s="35">
        <f>1.89125*($T$2)</f>
        <v>3.7825000000000002</v>
      </c>
      <c r="N1107" s="35">
        <f>67.7*(5280/3600)</f>
        <v>99.293333333333337</v>
      </c>
      <c r="O1107" s="35">
        <f t="shared" si="82"/>
        <v>0.77446764946764957</v>
      </c>
      <c r="P1107" s="35">
        <f t="shared" si="85"/>
        <v>45.39</v>
      </c>
      <c r="Q1107" s="35">
        <f>('Batt Capacity and Sys Weight'!$I$3) + (B1107*$T$2)</f>
        <v>31.868475</v>
      </c>
      <c r="R1107" s="35">
        <f>'Batt Capacity and Sys Weight'!$H$3</f>
        <v>97.68</v>
      </c>
    </row>
    <row r="1108" spans="1:18" x14ac:dyDescent="0.3">
      <c r="A1108" s="35" t="s">
        <v>154</v>
      </c>
      <c r="B1108" s="35">
        <v>2.74</v>
      </c>
      <c r="C1108" s="35">
        <v>1360</v>
      </c>
      <c r="D1108" s="35" t="s">
        <v>151</v>
      </c>
      <c r="E1108" s="36" t="str" cm="1">
        <f t="array" ref="E1108">GetNumber(D1108,1)</f>
        <v>6</v>
      </c>
      <c r="F1108" s="36" cm="1">
        <f t="array" ref="F1108">GetNumber(D1108,2)+(GetNumber(D1108,3)/10)</f>
        <v>4.5</v>
      </c>
      <c r="G1108" s="35">
        <v>14.8</v>
      </c>
      <c r="H1108" s="35">
        <v>16749</v>
      </c>
      <c r="I1108" s="35">
        <f>15.86*($T$2)</f>
        <v>31.72</v>
      </c>
      <c r="J1108" s="35">
        <f>234.8*($T$2)</f>
        <v>469.6</v>
      </c>
      <c r="K1108" s="35">
        <f t="shared" si="83"/>
        <v>12.480408858603067</v>
      </c>
      <c r="L1108" s="35">
        <f t="shared" si="84"/>
        <v>12.48423707440101</v>
      </c>
      <c r="M1108" s="35">
        <f>1.89625*($T$2)</f>
        <v>3.7925</v>
      </c>
      <c r="N1108" s="35">
        <f>71.4*(5280/3600)</f>
        <v>104.72</v>
      </c>
      <c r="O1108" s="35">
        <f t="shared" si="82"/>
        <v>0.80760221465076654</v>
      </c>
      <c r="P1108" s="35">
        <f t="shared" si="85"/>
        <v>47.331950596252128</v>
      </c>
      <c r="Q1108" s="35">
        <f>('Batt Capacity and Sys Weight'!$I$3) + (B1108*$T$2)</f>
        <v>31.868475</v>
      </c>
      <c r="R1108" s="35">
        <f>'Batt Capacity and Sys Weight'!$H$3</f>
        <v>97.68</v>
      </c>
    </row>
    <row r="1109" spans="1:18" x14ac:dyDescent="0.3">
      <c r="A1109" s="35" t="s">
        <v>154</v>
      </c>
      <c r="B1109" s="35">
        <v>2.74</v>
      </c>
      <c r="C1109" s="35">
        <v>1360</v>
      </c>
      <c r="D1109" s="35" t="s">
        <v>161</v>
      </c>
      <c r="E1109" s="36" t="str" cm="1">
        <f t="array" ref="E1109">GetNumber(D1109,1)</f>
        <v>6</v>
      </c>
      <c r="F1109" s="36" cm="1">
        <f t="array" ref="F1109">GetNumber(D1109,2)+(GetNumber(D1109,3)/10)</f>
        <v>5.5</v>
      </c>
      <c r="G1109" s="35">
        <v>14.8</v>
      </c>
      <c r="H1109" s="35">
        <v>16981</v>
      </c>
      <c r="I1109" s="35">
        <f>14.59*($T$2)</f>
        <v>29.18</v>
      </c>
      <c r="J1109" s="35">
        <f>215.9*($T$2)</f>
        <v>431.8</v>
      </c>
      <c r="K1109" s="35">
        <f t="shared" si="83"/>
        <v>13.572950440018527</v>
      </c>
      <c r="L1109" s="35">
        <f t="shared" si="84"/>
        <v>13.570938999314599</v>
      </c>
      <c r="M1109" s="35">
        <f>1.488125*($T$2)</f>
        <v>2.9762499999999998</v>
      </c>
      <c r="N1109" s="35">
        <f>88.4*(5280/3600)</f>
        <v>129.65333333333334</v>
      </c>
      <c r="O1109" s="35">
        <f t="shared" si="82"/>
        <v>0.6892658638258452</v>
      </c>
      <c r="P1109" s="35">
        <f t="shared" si="85"/>
        <v>40.39649374710514</v>
      </c>
      <c r="Q1109" s="35">
        <f>('Batt Capacity and Sys Weight'!$I$3) + (B1109*$T$2)</f>
        <v>31.868475</v>
      </c>
      <c r="R1109" s="35">
        <f>'Batt Capacity and Sys Weight'!$H$3</f>
        <v>97.68</v>
      </c>
    </row>
    <row r="1110" spans="1:18" x14ac:dyDescent="0.3">
      <c r="A1110" s="35" t="s">
        <v>154</v>
      </c>
      <c r="B1110" s="35">
        <v>2.74</v>
      </c>
      <c r="C1110" s="35">
        <v>1360</v>
      </c>
      <c r="D1110" s="35" t="s">
        <v>152</v>
      </c>
      <c r="E1110" s="36" t="str" cm="1">
        <f t="array" ref="E1110">GetNumber(D1110,1)</f>
        <v>6</v>
      </c>
      <c r="F1110" s="36" t="str" cm="1">
        <f t="array" ref="F1110">GetNumber(D1110,2)</f>
        <v>6</v>
      </c>
      <c r="G1110" s="35">
        <v>14.8</v>
      </c>
      <c r="H1110" s="35">
        <v>16645</v>
      </c>
      <c r="I1110" s="35">
        <f>16.45*($T$2)</f>
        <v>32.9</v>
      </c>
      <c r="J1110" s="35">
        <f>243.4*($T$2)</f>
        <v>486.8</v>
      </c>
      <c r="K1110" s="35">
        <f t="shared" si="83"/>
        <v>12.039441248972885</v>
      </c>
      <c r="L1110" s="35">
        <f t="shared" si="84"/>
        <v>12.03647416413374</v>
      </c>
      <c r="M1110" s="35">
        <f>1.479375*($T$2)</f>
        <v>2.9587500000000002</v>
      </c>
      <c r="N1110" s="35">
        <f>94.6*(5280/3600)</f>
        <v>138.74666666666664</v>
      </c>
      <c r="O1110" s="35">
        <f t="shared" si="82"/>
        <v>0.6077958093672966</v>
      </c>
      <c r="P1110" s="35">
        <f t="shared" si="85"/>
        <v>35.621696795398528</v>
      </c>
      <c r="Q1110" s="35">
        <f>('Batt Capacity and Sys Weight'!$I$3) + (B1110*$T$2)</f>
        <v>31.868475</v>
      </c>
      <c r="R1110" s="35">
        <f>'Batt Capacity and Sys Weight'!$H$3</f>
        <v>97.68</v>
      </c>
    </row>
    <row r="1111" spans="1:18" x14ac:dyDescent="0.3">
      <c r="A1111" s="35" t="s">
        <v>154</v>
      </c>
      <c r="B1111" s="35">
        <v>2.74</v>
      </c>
      <c r="C1111" s="35">
        <v>1360</v>
      </c>
      <c r="D1111" s="35" t="s">
        <v>162</v>
      </c>
      <c r="E1111" s="36" cm="1">
        <f t="array" ref="E1111">GetNumber(D1111, 1) + (GetNumber(D1111, 2)/10)</f>
        <v>6.5</v>
      </c>
      <c r="F1111" s="36" cm="1">
        <f t="array" ref="F1111">GetNumber(D1111, 3) + (GetNumber(D1111, 4)/10)</f>
        <v>5</v>
      </c>
      <c r="G1111" s="35">
        <v>14.8</v>
      </c>
      <c r="H1111" s="35">
        <v>16775</v>
      </c>
      <c r="I1111" s="35">
        <f>15.73*($T$2)</f>
        <v>31.46</v>
      </c>
      <c r="J1111" s="35">
        <f>232.7*($T$2)</f>
        <v>465.4</v>
      </c>
      <c r="K1111" s="35">
        <f t="shared" si="83"/>
        <v>12.593038246669533</v>
      </c>
      <c r="L1111" s="35">
        <f t="shared" si="84"/>
        <v>12.587412587412587</v>
      </c>
      <c r="M1111" s="35">
        <f>1.560625*($T$2)</f>
        <v>3.1212499999999999</v>
      </c>
      <c r="N1111" s="35">
        <f>79.4*(5280/3600)</f>
        <v>116.45333333333333</v>
      </c>
      <c r="O1111" s="35">
        <f t="shared" si="82"/>
        <v>0.67065964761495489</v>
      </c>
      <c r="P1111" s="35">
        <f t="shared" si="85"/>
        <v>39.306020627417276</v>
      </c>
      <c r="Q1111" s="35">
        <f>('Batt Capacity and Sys Weight'!$I$3) + (B1111*$T$2)</f>
        <v>31.868475</v>
      </c>
      <c r="R1111" s="35">
        <f>'Batt Capacity and Sys Weight'!$H$3</f>
        <v>97.68</v>
      </c>
    </row>
    <row r="1112" spans="1:18" x14ac:dyDescent="0.3">
      <c r="A1112" s="35" t="s">
        <v>154</v>
      </c>
      <c r="B1112" s="35">
        <v>2.74</v>
      </c>
      <c r="C1112" s="35">
        <v>1360</v>
      </c>
      <c r="D1112" s="35" t="s">
        <v>163</v>
      </c>
      <c r="E1112" s="36" cm="1">
        <f t="array" ref="E1112">GetNumber(D1112, 1) + (GetNumber(D1112, 2)/10)</f>
        <v>6.5</v>
      </c>
      <c r="F1112" s="36" cm="1">
        <f t="array" ref="F1112">GetNumber(D1112, 3) + (GetNumber(D1112, 4)/10)</f>
        <v>5.5</v>
      </c>
      <c r="G1112" s="35">
        <v>14.8</v>
      </c>
      <c r="H1112" s="35">
        <v>16623</v>
      </c>
      <c r="I1112" s="35">
        <f>16.62*($T$2)</f>
        <v>33.24</v>
      </c>
      <c r="J1112" s="35">
        <f>246*($T$2)</f>
        <v>492</v>
      </c>
      <c r="K1112" s="35">
        <f t="shared" si="83"/>
        <v>11.912195121951219</v>
      </c>
      <c r="L1112" s="35">
        <f t="shared" si="84"/>
        <v>11.91335740072202</v>
      </c>
      <c r="M1112" s="35">
        <f>1.5675*($T$2)</f>
        <v>3.1349999999999998</v>
      </c>
      <c r="N1112" s="35">
        <f>86.6*(5280/3600)</f>
        <v>127.01333333333332</v>
      </c>
      <c r="O1112" s="35">
        <f t="shared" si="82"/>
        <v>0.63719512195121952</v>
      </c>
      <c r="P1112" s="35">
        <f t="shared" si="85"/>
        <v>37.344731707317074</v>
      </c>
      <c r="Q1112" s="35">
        <f>('Batt Capacity and Sys Weight'!$I$3) + (B1112*$T$2)</f>
        <v>31.868475</v>
      </c>
      <c r="R1112" s="35">
        <f>'Batt Capacity and Sys Weight'!$H$3</f>
        <v>97.68</v>
      </c>
    </row>
    <row r="1113" spans="1:18" x14ac:dyDescent="0.3">
      <c r="A1113" s="35" t="s">
        <v>154</v>
      </c>
      <c r="B1113" s="35">
        <v>2.74</v>
      </c>
      <c r="C1113" s="35">
        <v>1360</v>
      </c>
      <c r="D1113" s="35" t="s">
        <v>164</v>
      </c>
      <c r="E1113" s="36" cm="1">
        <f t="array" ref="E1113">GetNumber(D1113, 1) + (GetNumber(D1113, 2)/10)</f>
        <v>6.5</v>
      </c>
      <c r="F1113" s="36" cm="1">
        <f t="array" ref="F1113">GetNumber(D1113, 3) + (GetNumber(D1113, 4)/10)</f>
        <v>6</v>
      </c>
      <c r="G1113" s="35">
        <v>14.8</v>
      </c>
      <c r="H1113" s="35">
        <v>16215</v>
      </c>
      <c r="I1113" s="35">
        <f>18.95*($T$2)</f>
        <v>37.9</v>
      </c>
      <c r="J1113" s="35">
        <f>280.4*($T$2)</f>
        <v>560.79999999999995</v>
      </c>
      <c r="K1113" s="35">
        <f t="shared" si="83"/>
        <v>10.450784593437948</v>
      </c>
      <c r="L1113" s="35">
        <f t="shared" si="84"/>
        <v>10.448548812664908</v>
      </c>
      <c r="M1113" s="35">
        <f>1.4925*($T$2)</f>
        <v>2.9849999999999999</v>
      </c>
      <c r="N1113" s="35">
        <f>92.1*(5280/3600)</f>
        <v>135.07999999999998</v>
      </c>
      <c r="O1113" s="35">
        <f t="shared" si="82"/>
        <v>0.53227532097004282</v>
      </c>
      <c r="P1113" s="35">
        <f t="shared" si="85"/>
        <v>31.195592011412273</v>
      </c>
      <c r="Q1113" s="35">
        <f>('Batt Capacity and Sys Weight'!$I$3) + (B1113*$T$2)</f>
        <v>31.868475</v>
      </c>
      <c r="R1113" s="35">
        <f>'Batt Capacity and Sys Weight'!$H$3</f>
        <v>97.68</v>
      </c>
    </row>
    <row r="1114" spans="1:18" x14ac:dyDescent="0.3">
      <c r="A1114" s="35" t="s">
        <v>154</v>
      </c>
      <c r="B1114" s="35">
        <v>2.74</v>
      </c>
      <c r="C1114" s="35">
        <v>1360</v>
      </c>
      <c r="D1114" s="35" t="s">
        <v>165</v>
      </c>
      <c r="E1114" s="36" cm="1">
        <f t="array" ref="E1114">GetNumber(D1114, 1) + (GetNumber(D1114, 2)/10)</f>
        <v>6.5</v>
      </c>
      <c r="F1114" s="36" cm="1">
        <f t="array" ref="F1114">GetNumber(D1114, 3) + (GetNumber(D1114, 4)/10)</f>
        <v>6.5</v>
      </c>
      <c r="G1114" s="35">
        <v>14.8</v>
      </c>
      <c r="H1114" s="35">
        <v>16013</v>
      </c>
      <c r="I1114" s="35">
        <f>20.34*($T$2)</f>
        <v>40.68</v>
      </c>
      <c r="J1114" s="35">
        <f>301*($T$2)</f>
        <v>602</v>
      </c>
      <c r="K1114" s="35">
        <f t="shared" si="83"/>
        <v>9.7355481727574755</v>
      </c>
      <c r="L1114" s="35">
        <f t="shared" si="84"/>
        <v>9.7345132743362832</v>
      </c>
      <c r="M1114" s="35">
        <f>1.40625*($T$2)</f>
        <v>2.8125</v>
      </c>
      <c r="N1114" s="35">
        <f>98.6*(5280/3600)</f>
        <v>144.61333333333332</v>
      </c>
      <c r="O1114" s="35">
        <f t="shared" si="82"/>
        <v>0.46719269102990035</v>
      </c>
      <c r="P1114" s="35">
        <f t="shared" si="85"/>
        <v>27.381229235880401</v>
      </c>
      <c r="Q1114" s="35">
        <f>('Batt Capacity and Sys Weight'!$I$3) + (B1114*$T$2)</f>
        <v>31.868475</v>
      </c>
      <c r="R1114" s="35">
        <f>'Batt Capacity and Sys Weight'!$H$3</f>
        <v>97.68</v>
      </c>
    </row>
    <row r="1115" spans="1:18" x14ac:dyDescent="0.3">
      <c r="A1115" s="35" t="s">
        <v>154</v>
      </c>
      <c r="B1115" s="35">
        <v>2.74</v>
      </c>
      <c r="C1115" s="35">
        <v>1360</v>
      </c>
      <c r="D1115" s="35" t="s">
        <v>146</v>
      </c>
      <c r="E1115" s="36" t="str" cm="1">
        <f t="array" ref="E1115">GetNumber(D1115,1)</f>
        <v>7</v>
      </c>
      <c r="F1115" s="36" t="str" cm="1">
        <f t="array" ref="F1115">GetNumber(D1115,2)</f>
        <v>4</v>
      </c>
      <c r="G1115" s="35">
        <v>14.8</v>
      </c>
      <c r="H1115" s="35">
        <v>15981</v>
      </c>
      <c r="I1115" s="35">
        <f>20.62*($T$2)</f>
        <v>41.24</v>
      </c>
      <c r="J1115" s="35">
        <f>305.1*($T$2)</f>
        <v>610.20000000000005</v>
      </c>
      <c r="K1115" s="35">
        <f t="shared" si="83"/>
        <v>9.6047197640118007</v>
      </c>
      <c r="L1115" s="35">
        <f t="shared" si="84"/>
        <v>9.6023278370514067</v>
      </c>
      <c r="M1115" s="35">
        <f>2.475625*($T$2)</f>
        <v>4.9512499999999999</v>
      </c>
      <c r="N1115" s="35">
        <f>60.5*(5280/3600)</f>
        <v>88.73333333333332</v>
      </c>
      <c r="O1115" s="35">
        <f t="shared" si="82"/>
        <v>0.81141429039659119</v>
      </c>
      <c r="P1115" s="35">
        <f t="shared" si="85"/>
        <v>47.555368731563426</v>
      </c>
      <c r="Q1115" s="35">
        <f>('Batt Capacity and Sys Weight'!$I$3) + (B1115*$T$2)</f>
        <v>31.868475</v>
      </c>
      <c r="R1115" s="35">
        <f>'Batt Capacity and Sys Weight'!$H$3</f>
        <v>97.68</v>
      </c>
    </row>
    <row r="1116" spans="1:18" x14ac:dyDescent="0.3">
      <c r="A1116" s="35" t="s">
        <v>154</v>
      </c>
      <c r="B1116" s="35">
        <v>2.74</v>
      </c>
      <c r="C1116" s="35">
        <v>1360</v>
      </c>
      <c r="D1116" s="35" t="s">
        <v>147</v>
      </c>
      <c r="E1116" s="36" t="str" cm="1">
        <f t="array" ref="E1116">GetNumber(D1116,1)</f>
        <v>7</v>
      </c>
      <c r="F1116" s="36" t="str" cm="1">
        <f t="array" ref="F1116">GetNumber(D1116,2)</f>
        <v>4</v>
      </c>
      <c r="G1116" s="35">
        <v>14.8</v>
      </c>
      <c r="H1116" s="35">
        <v>16869</v>
      </c>
      <c r="I1116" s="35">
        <f>15.37*($T$2)</f>
        <v>30.74</v>
      </c>
      <c r="J1116" s="35">
        <f>227.5*($T$2)</f>
        <v>455</v>
      </c>
      <c r="K1116" s="35">
        <f t="shared" si="83"/>
        <v>12.880879120879122</v>
      </c>
      <c r="L1116" s="35">
        <f t="shared" si="84"/>
        <v>12.88223812621991</v>
      </c>
      <c r="M1116" s="35">
        <f>1.54125*($T$2)</f>
        <v>3.0825</v>
      </c>
      <c r="N1116" s="35">
        <f>63.9*(5280/3600)</f>
        <v>93.719999999999985</v>
      </c>
      <c r="O1116" s="35">
        <f t="shared" si="82"/>
        <v>0.67747252747252751</v>
      </c>
      <c r="P1116" s="35">
        <f t="shared" si="85"/>
        <v>39.705309890109895</v>
      </c>
      <c r="Q1116" s="35">
        <f>('Batt Capacity and Sys Weight'!$I$3) + (B1116*$T$2)</f>
        <v>31.868475</v>
      </c>
      <c r="R1116" s="35">
        <f>'Batt Capacity and Sys Weight'!$H$3</f>
        <v>97.68</v>
      </c>
    </row>
    <row r="1117" spans="1:18" x14ac:dyDescent="0.3">
      <c r="A1117" s="35" t="s">
        <v>154</v>
      </c>
      <c r="B1117" s="35">
        <v>2.74</v>
      </c>
      <c r="C1117" s="35">
        <v>1360</v>
      </c>
      <c r="D1117" s="35" t="s">
        <v>141</v>
      </c>
      <c r="E1117" s="36" t="str" cm="1">
        <f t="array" ref="E1117">GetNumber(D1117,1)</f>
        <v>7</v>
      </c>
      <c r="F1117" s="36" t="str" cm="1">
        <f t="array" ref="F1117">GetNumber(D1117,2)</f>
        <v>6</v>
      </c>
      <c r="G1117" s="35">
        <v>14.8</v>
      </c>
      <c r="H1117" s="35">
        <v>15872</v>
      </c>
      <c r="I1117" s="35">
        <f>21.35*($T$2)</f>
        <v>42.7</v>
      </c>
      <c r="J1117" s="35">
        <f>316*($T$2)</f>
        <v>632</v>
      </c>
      <c r="K1117" s="35">
        <f t="shared" si="83"/>
        <v>9.273417721518987</v>
      </c>
      <c r="L1117" s="35">
        <f t="shared" si="84"/>
        <v>9.2740046838407491</v>
      </c>
      <c r="M1117" s="35">
        <f>1.735*($T$2)</f>
        <v>3.47</v>
      </c>
      <c r="N1117" s="35">
        <f>90.2*(5280/3600)</f>
        <v>132.29333333333332</v>
      </c>
      <c r="O1117" s="35">
        <f t="shared" si="82"/>
        <v>0.54905063291139244</v>
      </c>
      <c r="P1117" s="35">
        <f t="shared" si="85"/>
        <v>32.178759493670889</v>
      </c>
      <c r="Q1117" s="35">
        <f>('Batt Capacity and Sys Weight'!$I$3) + (B1117*$T$2)</f>
        <v>31.868475</v>
      </c>
      <c r="R1117" s="35">
        <f>'Batt Capacity and Sys Weight'!$H$3</f>
        <v>97.68</v>
      </c>
    </row>
    <row r="1118" spans="1:18" x14ac:dyDescent="0.3">
      <c r="A1118" s="35" t="s">
        <v>154</v>
      </c>
      <c r="B1118" s="35">
        <v>2.74</v>
      </c>
      <c r="C1118" s="35">
        <v>1360</v>
      </c>
      <c r="D1118" s="35" t="s">
        <v>150</v>
      </c>
      <c r="E1118" s="36" t="str" cm="1">
        <f t="array" ref="E1118">GetNumber(D1118,1)</f>
        <v>8</v>
      </c>
      <c r="F1118" s="36" t="str" cm="1">
        <f t="array" ref="F1118">GetNumber(D1118,2)</f>
        <v>4</v>
      </c>
      <c r="G1118" s="35">
        <v>14.8</v>
      </c>
      <c r="H1118" s="35">
        <v>15829</v>
      </c>
      <c r="I1118" s="35">
        <f>21.58*($T$2)</f>
        <v>43.16</v>
      </c>
      <c r="J1118" s="35">
        <f>319.4*($T$2)</f>
        <v>638.79999999999995</v>
      </c>
      <c r="K1118" s="35">
        <f t="shared" si="83"/>
        <v>9.1747025673137159</v>
      </c>
      <c r="L1118" s="35">
        <f t="shared" si="84"/>
        <v>9.1751621872103826</v>
      </c>
      <c r="M1118" s="35">
        <f>2.465*($T$2)</f>
        <v>4.93</v>
      </c>
      <c r="N1118" s="35">
        <f>60*(5280/3600)</f>
        <v>88</v>
      </c>
      <c r="O1118" s="35">
        <f t="shared" si="82"/>
        <v>0.77175954915466505</v>
      </c>
      <c r="P1118" s="35">
        <f t="shared" si="85"/>
        <v>45.231283656856618</v>
      </c>
      <c r="Q1118" s="35">
        <f>('Batt Capacity and Sys Weight'!$I$3) + (B1118*$T$2)</f>
        <v>31.868475</v>
      </c>
      <c r="R1118" s="35">
        <f>'Batt Capacity and Sys Weight'!$H$3</f>
        <v>97.68</v>
      </c>
    </row>
    <row r="1119" spans="1:18" x14ac:dyDescent="0.3">
      <c r="A1119" s="35" t="s">
        <v>154</v>
      </c>
      <c r="B1119" s="35">
        <v>2.74</v>
      </c>
      <c r="C1119" s="35">
        <v>1360</v>
      </c>
      <c r="D1119" s="35" t="s">
        <v>144</v>
      </c>
      <c r="E1119" s="36" t="str" cm="1">
        <f t="array" ref="E1119">GetNumber(D1119,1)</f>
        <v>7</v>
      </c>
      <c r="F1119" s="36" t="str" cm="1">
        <f t="array" ref="F1119">GetNumber(D1119,2)</f>
        <v>4</v>
      </c>
      <c r="G1119" s="35">
        <v>14.8</v>
      </c>
      <c r="H1119" s="35">
        <v>15976</v>
      </c>
      <c r="I1119" s="35">
        <f>20.8*($T$2)</f>
        <v>41.6</v>
      </c>
      <c r="J1119" s="35">
        <f>307.8*($T$2)</f>
        <v>615.6</v>
      </c>
      <c r="K1119" s="35">
        <f t="shared" si="83"/>
        <v>9.5204678362573105</v>
      </c>
      <c r="L1119" s="35">
        <f t="shared" si="84"/>
        <v>9.5192307692307701</v>
      </c>
      <c r="M1119" s="35">
        <f>2.339375*($T$2)</f>
        <v>4.67875</v>
      </c>
      <c r="N1119" s="35">
        <f>60.5*(5280/3600)</f>
        <v>88.73333333333332</v>
      </c>
      <c r="O1119" s="35">
        <f t="shared" si="82"/>
        <v>0.76003086419753085</v>
      </c>
      <c r="P1119" s="35">
        <f t="shared" si="85"/>
        <v>44.543888888888894</v>
      </c>
      <c r="Q1119" s="35">
        <f>('Batt Capacity and Sys Weight'!$I$3) + (B1119*$T$2)</f>
        <v>31.868475</v>
      </c>
      <c r="R1119" s="35">
        <f>'Batt Capacity and Sys Weight'!$H$3</f>
        <v>97.68</v>
      </c>
    </row>
    <row r="1120" spans="1:18" x14ac:dyDescent="0.3">
      <c r="A1120" s="35" t="s">
        <v>167</v>
      </c>
      <c r="B1120" s="35">
        <v>2.74</v>
      </c>
      <c r="C1120" s="35">
        <v>1860</v>
      </c>
      <c r="D1120" s="35" t="s">
        <v>148</v>
      </c>
      <c r="E1120" s="36" t="str" cm="1">
        <f t="array" ref="E1120">GetNumber(D1120,1)</f>
        <v>7</v>
      </c>
      <c r="F1120" s="36" t="str" cm="1">
        <f t="array" ref="F1120">GetNumber(D1120,2)</f>
        <v>5</v>
      </c>
      <c r="G1120" s="35">
        <v>7.4</v>
      </c>
      <c r="H1120" s="35">
        <v>11550</v>
      </c>
      <c r="I1120" s="35">
        <f>19.21*($T$2)</f>
        <v>38.42</v>
      </c>
      <c r="J1120" s="35">
        <f>142.2*($T$2)</f>
        <v>284.39999999999998</v>
      </c>
      <c r="K1120" s="35">
        <f t="shared" si="83"/>
        <v>21.097046413502113</v>
      </c>
      <c r="L1120" s="35">
        <f t="shared" si="84"/>
        <v>21.10387326420642</v>
      </c>
      <c r="M1120" s="35">
        <f>1.271875*($T$2)</f>
        <v>2.5437500000000002</v>
      </c>
      <c r="N1120" s="35">
        <f>54.7*(5280/3600)</f>
        <v>80.226666666666659</v>
      </c>
      <c r="O1120" s="35">
        <f t="shared" si="82"/>
        <v>0.89442686357243328</v>
      </c>
      <c r="P1120" s="35">
        <f t="shared" si="85"/>
        <v>53.665611814346008</v>
      </c>
      <c r="Q1120" s="35">
        <v>0</v>
      </c>
      <c r="R1120" s="35">
        <f t="shared" ref="R1120:R1126" si="86">$T$1</f>
        <v>100</v>
      </c>
    </row>
    <row r="1121" spans="1:18" x14ac:dyDescent="0.3">
      <c r="A1121" s="35" t="s">
        <v>167</v>
      </c>
      <c r="B1121" s="35">
        <v>2.74</v>
      </c>
      <c r="C1121" s="35">
        <v>1860</v>
      </c>
      <c r="D1121" s="35" t="s">
        <v>149</v>
      </c>
      <c r="E1121" s="36" t="str" cm="1">
        <f t="array" ref="E1121">GetNumber(D1121,1)</f>
        <v>7</v>
      </c>
      <c r="F1121" s="36" t="str" cm="1">
        <f t="array" ref="F1121">GetNumber(D1121,2)</f>
        <v>6</v>
      </c>
      <c r="G1121" s="35">
        <v>7.4</v>
      </c>
      <c r="H1121" s="35">
        <v>11427</v>
      </c>
      <c r="I1121" s="35">
        <f>20.17*($T$2)</f>
        <v>40.340000000000003</v>
      </c>
      <c r="J1121" s="35">
        <f>149.2*($T$2)</f>
        <v>298.39999999999998</v>
      </c>
      <c r="K1121" s="35">
        <f t="shared" si="83"/>
        <v>20.107238605898125</v>
      </c>
      <c r="L1121" s="35">
        <f t="shared" si="84"/>
        <v>20.099425156440521</v>
      </c>
      <c r="M1121" s="35">
        <f>1.39125*($T$2)</f>
        <v>2.7825000000000002</v>
      </c>
      <c r="N1121" s="35">
        <f>64.9*(5280/3600)</f>
        <v>95.186666666666667</v>
      </c>
      <c r="O1121" s="35">
        <f t="shared" si="82"/>
        <v>0.9324731903485256</v>
      </c>
      <c r="P1121" s="35">
        <f t="shared" si="85"/>
        <v>55.948391420911534</v>
      </c>
      <c r="Q1121" s="35">
        <v>0</v>
      </c>
      <c r="R1121" s="35">
        <f t="shared" si="86"/>
        <v>100</v>
      </c>
    </row>
    <row r="1122" spans="1:18" x14ac:dyDescent="0.3">
      <c r="A1122" s="35" t="s">
        <v>167</v>
      </c>
      <c r="B1122" s="35">
        <v>2.74</v>
      </c>
      <c r="C1122" s="35">
        <v>1860</v>
      </c>
      <c r="D1122" s="35" t="s">
        <v>125</v>
      </c>
      <c r="E1122" s="36" t="str" cm="1">
        <f t="array" ref="E1122">GetNumber(D1122,1)</f>
        <v>7</v>
      </c>
      <c r="F1122" s="36" t="str" cm="1">
        <f t="array" ref="F1122">GetNumber(D1122,2)</f>
        <v>7</v>
      </c>
      <c r="G1122" s="35">
        <v>7.4</v>
      </c>
      <c r="H1122" s="35">
        <v>10915</v>
      </c>
      <c r="I1122" s="35">
        <f>23.67*($T$2)</f>
        <v>47.34</v>
      </c>
      <c r="J1122" s="35">
        <f>175.2*($T$2)</f>
        <v>350.4</v>
      </c>
      <c r="K1122" s="35">
        <f t="shared" si="83"/>
        <v>17.123287671232877</v>
      </c>
      <c r="L1122" s="35">
        <f t="shared" si="84"/>
        <v>17.127393553249064</v>
      </c>
      <c r="M1122" s="35">
        <f>1.345*($T$2)</f>
        <v>2.69</v>
      </c>
      <c r="N1122" s="35">
        <f>72.4*(5280/3600)</f>
        <v>106.18666666666667</v>
      </c>
      <c r="O1122" s="35">
        <f t="shared" si="82"/>
        <v>0.76769406392694062</v>
      </c>
      <c r="P1122" s="35">
        <f t="shared" si="85"/>
        <v>46.061643835616437</v>
      </c>
      <c r="Q1122" s="35">
        <v>0</v>
      </c>
      <c r="R1122" s="35">
        <f t="shared" si="86"/>
        <v>100</v>
      </c>
    </row>
    <row r="1123" spans="1:18" x14ac:dyDescent="0.3">
      <c r="A1123" s="35" t="s">
        <v>167</v>
      </c>
      <c r="B1123" s="35">
        <v>2.74</v>
      </c>
      <c r="C1123" s="35">
        <v>1860</v>
      </c>
      <c r="D1123" s="35" t="s">
        <v>126</v>
      </c>
      <c r="E1123" s="36" t="str" cm="1">
        <f t="array" ref="E1123">GetNumber(D1123,1)</f>
        <v>8</v>
      </c>
      <c r="F1123" s="36" t="str" cm="1">
        <f t="array" ref="F1123">GetNumber(D1123,2)</f>
        <v>4</v>
      </c>
      <c r="G1123" s="35">
        <v>7.4</v>
      </c>
      <c r="H1123" s="35">
        <v>11252</v>
      </c>
      <c r="I1123" s="35">
        <f>22.49*($T$2)</f>
        <v>44.98</v>
      </c>
      <c r="J1123" s="35">
        <f>166.5*($T$2)</f>
        <v>333</v>
      </c>
      <c r="K1123" s="35">
        <f t="shared" si="83"/>
        <v>18.018018018018019</v>
      </c>
      <c r="L1123" s="35">
        <f t="shared" si="84"/>
        <v>18.026029586723229</v>
      </c>
      <c r="M1123" s="35">
        <f>1.76125*($T$2)</f>
        <v>3.5225</v>
      </c>
      <c r="N1123" s="35">
        <f>42.6*(5280/3600)</f>
        <v>62.48</v>
      </c>
      <c r="O1123" s="35">
        <f t="shared" si="82"/>
        <v>1.0578078078078079</v>
      </c>
      <c r="P1123" s="35">
        <f t="shared" si="85"/>
        <v>63.468468468468473</v>
      </c>
      <c r="Q1123" s="35">
        <v>0</v>
      </c>
      <c r="R1123" s="35">
        <f t="shared" si="86"/>
        <v>100</v>
      </c>
    </row>
    <row r="1124" spans="1:18" x14ac:dyDescent="0.3">
      <c r="A1124" s="35" t="s">
        <v>167</v>
      </c>
      <c r="B1124" s="35">
        <v>2.74</v>
      </c>
      <c r="C1124" s="35">
        <v>1860</v>
      </c>
      <c r="D1124" s="35" t="s">
        <v>130</v>
      </c>
      <c r="E1124" s="36" t="str" cm="1">
        <f t="array" ref="E1124">GetNumber(D1124,1)</f>
        <v>9</v>
      </c>
      <c r="F1124" s="36" t="str" cm="1">
        <f t="array" ref="F1124">GetNumber(D1124,2)</f>
        <v>5</v>
      </c>
      <c r="G1124" s="35">
        <v>7.4</v>
      </c>
      <c r="H1124" s="35">
        <v>10577</v>
      </c>
      <c r="I1124" s="35">
        <f>25.84*($T$2)</f>
        <v>51.68</v>
      </c>
      <c r="J1124" s="35">
        <f>191.2*($T$2)</f>
        <v>382.4</v>
      </c>
      <c r="K1124" s="35">
        <f t="shared" si="83"/>
        <v>15.690376569037657</v>
      </c>
      <c r="L1124" s="35">
        <f t="shared" si="84"/>
        <v>15.689063676679773</v>
      </c>
      <c r="M1124" s="35">
        <f>1.9025*($T$2)</f>
        <v>3.8050000000000002</v>
      </c>
      <c r="N1124" s="35">
        <f>50.1*(5280/3600)</f>
        <v>73.48</v>
      </c>
      <c r="O1124" s="35">
        <f t="shared" si="82"/>
        <v>0.99503138075313824</v>
      </c>
      <c r="P1124" s="35">
        <f t="shared" si="85"/>
        <v>59.701882845188287</v>
      </c>
      <c r="Q1124" s="35">
        <v>0</v>
      </c>
      <c r="R1124" s="35">
        <f t="shared" si="86"/>
        <v>100</v>
      </c>
    </row>
    <row r="1125" spans="1:18" x14ac:dyDescent="0.3">
      <c r="A1125" s="35" t="s">
        <v>167</v>
      </c>
      <c r="B1125" s="35">
        <v>2.74</v>
      </c>
      <c r="C1125" s="35">
        <v>1860</v>
      </c>
      <c r="D1125" s="35" t="s">
        <v>141</v>
      </c>
      <c r="E1125" s="36" t="str" cm="1">
        <f t="array" ref="E1125">GetNumber(D1125,1)</f>
        <v>7</v>
      </c>
      <c r="F1125" s="36" t="str" cm="1">
        <f t="array" ref="F1125">GetNumber(D1125,2)</f>
        <v>6</v>
      </c>
      <c r="G1125" s="35">
        <v>7.4</v>
      </c>
      <c r="H1125" s="35">
        <v>10864</v>
      </c>
      <c r="I1125" s="35">
        <f>23.94*($T$2)</f>
        <v>47.88</v>
      </c>
      <c r="J1125" s="35">
        <f>177.2*($T$2)</f>
        <v>354.4</v>
      </c>
      <c r="K1125" s="35">
        <f t="shared" si="83"/>
        <v>16.930022573363431</v>
      </c>
      <c r="L1125" s="35">
        <f t="shared" si="84"/>
        <v>16.934227460543248</v>
      </c>
      <c r="M1125" s="35">
        <f>1.023125*($T$2)</f>
        <v>2.0462500000000001</v>
      </c>
      <c r="N1125" s="35">
        <f>61.7*(5280/3600)</f>
        <v>90.493333333333325</v>
      </c>
      <c r="O1125" s="35">
        <f t="shared" si="82"/>
        <v>0.57738431151241543</v>
      </c>
      <c r="P1125" s="35">
        <f t="shared" si="85"/>
        <v>34.643058690744923</v>
      </c>
      <c r="Q1125" s="35">
        <v>0</v>
      </c>
      <c r="R1125" s="35">
        <f t="shared" si="86"/>
        <v>100</v>
      </c>
    </row>
    <row r="1126" spans="1:18" x14ac:dyDescent="0.3">
      <c r="A1126" s="35" t="s">
        <v>167</v>
      </c>
      <c r="B1126" s="35">
        <v>2.74</v>
      </c>
      <c r="C1126" s="35">
        <v>1860</v>
      </c>
      <c r="D1126" s="35" t="s">
        <v>143</v>
      </c>
      <c r="E1126" s="36" t="str" cm="1">
        <f t="array" ref="E1126">GetNumber(D1126,1)</f>
        <v>8</v>
      </c>
      <c r="F1126" s="36" t="str" cm="1">
        <f t="array" ref="F1126">GetNumber(D1126,2)</f>
        <v>5</v>
      </c>
      <c r="G1126" s="35">
        <v>7.4</v>
      </c>
      <c r="H1126" s="35">
        <v>11066</v>
      </c>
      <c r="I1126" s="35">
        <f>22.57*($T$2)</f>
        <v>45.14</v>
      </c>
      <c r="J1126" s="35">
        <f>167*($T$2)</f>
        <v>334</v>
      </c>
      <c r="K1126" s="35">
        <f t="shared" si="83"/>
        <v>17.964071856287422</v>
      </c>
      <c r="L1126" s="35">
        <f t="shared" si="84"/>
        <v>17.962135817696293</v>
      </c>
      <c r="M1126" s="35">
        <f>1.67125*($T$2)</f>
        <v>3.3424999999999998</v>
      </c>
      <c r="N1126" s="35">
        <f>52.4*(5280/3600)</f>
        <v>76.853333333333325</v>
      </c>
      <c r="O1126" s="35">
        <f t="shared" si="82"/>
        <v>1.000748502994012</v>
      </c>
      <c r="P1126" s="35">
        <f t="shared" si="85"/>
        <v>60.044910179640702</v>
      </c>
      <c r="Q1126" s="35">
        <v>0</v>
      </c>
      <c r="R1126" s="35">
        <f t="shared" si="86"/>
        <v>100</v>
      </c>
    </row>
    <row r="1127" spans="1:18" x14ac:dyDescent="0.3">
      <c r="A1127" s="35" t="s">
        <v>167</v>
      </c>
      <c r="B1127" s="35">
        <v>2.74</v>
      </c>
      <c r="C1127" s="35">
        <v>1860</v>
      </c>
      <c r="D1127" s="35" t="s">
        <v>160</v>
      </c>
      <c r="E1127" s="36" t="str" cm="1">
        <f t="array" ref="E1127">GetNumber(D1127,1)</f>
        <v>6</v>
      </c>
      <c r="F1127" s="36" cm="1">
        <f t="array" ref="F1127">GetNumber(D1127,2)+(GetNumber(D1127,3)/10)</f>
        <v>4.3</v>
      </c>
      <c r="G1127" s="35">
        <v>11.1</v>
      </c>
      <c r="H1127" s="35">
        <v>17208</v>
      </c>
      <c r="I1127" s="35">
        <f>24.2*($T$2)</f>
        <v>48.4</v>
      </c>
      <c r="J1127" s="35">
        <f>268.6*($T$2)</f>
        <v>537.20000000000005</v>
      </c>
      <c r="K1127" s="35">
        <f t="shared" si="83"/>
        <v>11.157855547282205</v>
      </c>
      <c r="L1127" s="35">
        <f t="shared" si="84"/>
        <v>11.15702479338843</v>
      </c>
      <c r="M1127" s="35">
        <f>1.993125*($T$2)</f>
        <v>3.9862500000000001</v>
      </c>
      <c r="N1127" s="35">
        <f>70.1*(5280/3600)</f>
        <v>102.81333333333332</v>
      </c>
      <c r="O1127" s="35">
        <f t="shared" si="82"/>
        <v>0.74204206999255395</v>
      </c>
      <c r="P1127" s="35">
        <f t="shared" si="85"/>
        <v>44.478001675353688</v>
      </c>
      <c r="Q1127" s="35">
        <f>('Batt Capacity and Sys Weight'!$I$2) + (B1127*$T$2)</f>
        <v>36.313000000000002</v>
      </c>
      <c r="R1127" s="35">
        <f>'Batt Capacity and Sys Weight'!$H$2</f>
        <v>99.9</v>
      </c>
    </row>
    <row r="1128" spans="1:18" x14ac:dyDescent="0.3">
      <c r="A1128" s="35" t="s">
        <v>167</v>
      </c>
      <c r="B1128" s="35">
        <v>2.74</v>
      </c>
      <c r="C1128" s="35">
        <v>1860</v>
      </c>
      <c r="D1128" s="35" t="s">
        <v>151</v>
      </c>
      <c r="E1128" s="36" t="str" cm="1">
        <f t="array" ref="E1128">GetNumber(D1128,1)</f>
        <v>6</v>
      </c>
      <c r="F1128" s="36" cm="1">
        <f t="array" ref="F1128">GetNumber(D1128,2)+(GetNumber(D1128,3)/10)</f>
        <v>4.5</v>
      </c>
      <c r="G1128" s="35">
        <v>11.1</v>
      </c>
      <c r="H1128" s="35">
        <v>17375</v>
      </c>
      <c r="I1128" s="35">
        <f>23.13*($T$2)</f>
        <v>46.26</v>
      </c>
      <c r="J1128" s="35">
        <f>256.7*($T$2)</f>
        <v>513.4</v>
      </c>
      <c r="K1128" s="35">
        <f t="shared" si="83"/>
        <v>11.675107128944294</v>
      </c>
      <c r="L1128" s="35">
        <f t="shared" si="84"/>
        <v>11.673151750972762</v>
      </c>
      <c r="M1128" s="35">
        <f>2.0175*($T$2)</f>
        <v>4.0350000000000001</v>
      </c>
      <c r="N1128" s="35">
        <f>74*(5280/3600)</f>
        <v>108.53333333333333</v>
      </c>
      <c r="O1128" s="35">
        <f t="shared" si="82"/>
        <v>0.78593689131281652</v>
      </c>
      <c r="P1128" s="35">
        <f t="shared" si="85"/>
        <v>47.109057265290225</v>
      </c>
      <c r="Q1128" s="35">
        <f>('Batt Capacity and Sys Weight'!$I$2) + (B1128*$T$2)</f>
        <v>36.313000000000002</v>
      </c>
      <c r="R1128" s="35">
        <f>'Batt Capacity and Sys Weight'!$H$2</f>
        <v>99.9</v>
      </c>
    </row>
    <row r="1129" spans="1:18" x14ac:dyDescent="0.3">
      <c r="A1129" s="35" t="s">
        <v>167</v>
      </c>
      <c r="B1129" s="35">
        <v>2.74</v>
      </c>
      <c r="C1129" s="35">
        <v>1860</v>
      </c>
      <c r="D1129" s="35" t="s">
        <v>161</v>
      </c>
      <c r="E1129" s="36" t="str" cm="1">
        <f t="array" ref="E1129">GetNumber(D1129,1)</f>
        <v>6</v>
      </c>
      <c r="F1129" s="36" cm="1">
        <f t="array" ref="F1129">GetNumber(D1129,2)+(GetNumber(D1129,3)/10)</f>
        <v>5.5</v>
      </c>
      <c r="G1129" s="35">
        <v>11.1</v>
      </c>
      <c r="H1129" s="35">
        <v>17501</v>
      </c>
      <c r="I1129" s="35">
        <f>21.22*($T$2)</f>
        <v>42.44</v>
      </c>
      <c r="J1129" s="35">
        <f>235.5*($T$2)</f>
        <v>471</v>
      </c>
      <c r="K1129" s="35">
        <f t="shared" si="83"/>
        <v>12.726114649681529</v>
      </c>
      <c r="L1129" s="35">
        <f t="shared" si="84"/>
        <v>12.723845428840717</v>
      </c>
      <c r="M1129" s="35">
        <f>1.571875*($T$2)</f>
        <v>3.1437499999999998</v>
      </c>
      <c r="N1129" s="35">
        <f>91.2*(5280/3600)</f>
        <v>133.76</v>
      </c>
      <c r="O1129" s="35">
        <f t="shared" si="82"/>
        <v>0.6674628450106157</v>
      </c>
      <c r="P1129" s="35">
        <f t="shared" si="85"/>
        <v>40.007722929936307</v>
      </c>
      <c r="Q1129" s="35">
        <f>('Batt Capacity and Sys Weight'!$I$2) + (B1129*$T$2)</f>
        <v>36.313000000000002</v>
      </c>
      <c r="R1129" s="35">
        <f>'Batt Capacity and Sys Weight'!$H$2</f>
        <v>99.9</v>
      </c>
    </row>
    <row r="1130" spans="1:18" x14ac:dyDescent="0.3">
      <c r="A1130" s="35" t="s">
        <v>167</v>
      </c>
      <c r="B1130" s="35">
        <v>2.74</v>
      </c>
      <c r="C1130" s="35">
        <v>1860</v>
      </c>
      <c r="D1130" s="35" t="s">
        <v>152</v>
      </c>
      <c r="E1130" s="36" t="str" cm="1">
        <f t="array" ref="E1130">GetNumber(D1130,1)</f>
        <v>6</v>
      </c>
      <c r="F1130" s="36" t="str" cm="1">
        <f t="array" ref="F1130">GetNumber(D1130,2)</f>
        <v>6</v>
      </c>
      <c r="G1130" s="35">
        <v>11.1</v>
      </c>
      <c r="H1130" s="35">
        <v>17076</v>
      </c>
      <c r="I1130" s="35">
        <f>24.03*($T$2)</f>
        <v>48.06</v>
      </c>
      <c r="J1130" s="35">
        <f>266.8*($T$2)</f>
        <v>533.6</v>
      </c>
      <c r="K1130" s="35">
        <f t="shared" si="83"/>
        <v>11.233133433283358</v>
      </c>
      <c r="L1130" s="35">
        <f t="shared" si="84"/>
        <v>11.235955056179774</v>
      </c>
      <c r="M1130" s="35">
        <f>1.543125*($T$2)</f>
        <v>3.0862500000000002</v>
      </c>
      <c r="N1130" s="35">
        <f>97*(5280/3600)</f>
        <v>142.26666666666665</v>
      </c>
      <c r="O1130" s="35">
        <f t="shared" si="82"/>
        <v>0.57838268365817092</v>
      </c>
      <c r="P1130" s="35">
        <f t="shared" si="85"/>
        <v>34.668258058470762</v>
      </c>
      <c r="Q1130" s="35">
        <f>('Batt Capacity and Sys Weight'!$I$2) + (B1130*$T$2)</f>
        <v>36.313000000000002</v>
      </c>
      <c r="R1130" s="35">
        <f>'Batt Capacity and Sys Weight'!$H$2</f>
        <v>99.9</v>
      </c>
    </row>
    <row r="1131" spans="1:18" x14ac:dyDescent="0.3">
      <c r="A1131" s="35" t="s">
        <v>167</v>
      </c>
      <c r="B1131" s="35">
        <v>2.74</v>
      </c>
      <c r="C1131" s="35">
        <v>1860</v>
      </c>
      <c r="D1131" s="35" t="s">
        <v>162</v>
      </c>
      <c r="E1131" s="36" cm="1">
        <f t="array" ref="E1131">GetNumber(D1131, 1) + (GetNumber(D1131, 2)/10)</f>
        <v>6.5</v>
      </c>
      <c r="F1131" s="36" cm="1">
        <f t="array" ref="F1131">GetNumber(D1131, 3) + (GetNumber(D1131, 4)/10)</f>
        <v>5</v>
      </c>
      <c r="G1131" s="35">
        <v>11.1</v>
      </c>
      <c r="H1131" s="35">
        <v>17361</v>
      </c>
      <c r="I1131" s="35">
        <f>23.17*($T$2)</f>
        <v>46.34</v>
      </c>
      <c r="J1131" s="35">
        <f>257.2*($T$2)</f>
        <v>514.4</v>
      </c>
      <c r="K1131" s="35">
        <f t="shared" si="83"/>
        <v>11.652410575427684</v>
      </c>
      <c r="L1131" s="35">
        <f t="shared" si="84"/>
        <v>11.652999568407422</v>
      </c>
      <c r="M1131" s="35">
        <f>1.655625*($T$2)</f>
        <v>3.3112499999999998</v>
      </c>
      <c r="N1131" s="35">
        <f>82.2*(5280/3600)</f>
        <v>120.56</v>
      </c>
      <c r="O1131" s="35">
        <f t="shared" si="82"/>
        <v>0.64371111975116635</v>
      </c>
      <c r="P1131" s="35">
        <f t="shared" si="85"/>
        <v>38.584044517884919</v>
      </c>
      <c r="Q1131" s="35">
        <f>('Batt Capacity and Sys Weight'!$I$2) + (B1131*$T$2)</f>
        <v>36.313000000000002</v>
      </c>
      <c r="R1131" s="35">
        <f>'Batt Capacity and Sys Weight'!$H$2</f>
        <v>99.9</v>
      </c>
    </row>
    <row r="1132" spans="1:18" x14ac:dyDescent="0.3">
      <c r="A1132" s="35" t="s">
        <v>167</v>
      </c>
      <c r="B1132" s="35">
        <v>2.74</v>
      </c>
      <c r="C1132" s="35">
        <v>1860</v>
      </c>
      <c r="D1132" s="35" t="s">
        <v>163</v>
      </c>
      <c r="E1132" s="36" cm="1">
        <f t="array" ref="E1132">GetNumber(D1132, 1) + (GetNumber(D1132, 2)/10)</f>
        <v>6.5</v>
      </c>
      <c r="F1132" s="36" cm="1">
        <f t="array" ref="F1132">GetNumber(D1132, 3) + (GetNumber(D1132, 4)/10)</f>
        <v>5.5</v>
      </c>
      <c r="G1132" s="35">
        <v>11.1</v>
      </c>
      <c r="H1132" s="35">
        <v>17171</v>
      </c>
      <c r="I1132" s="35">
        <f>24.43*($T$2)</f>
        <v>48.86</v>
      </c>
      <c r="J1132" s="35">
        <f>271.2*($T$2)</f>
        <v>542.4</v>
      </c>
      <c r="K1132" s="35">
        <f t="shared" si="83"/>
        <v>11.050884955752213</v>
      </c>
      <c r="L1132" s="35">
        <f t="shared" si="84"/>
        <v>11.051985264019647</v>
      </c>
      <c r="M1132" s="35">
        <f>1.658125*($T$2)</f>
        <v>3.3162500000000001</v>
      </c>
      <c r="N1132" s="35">
        <f>89.4*(5280/3600)</f>
        <v>131.12</v>
      </c>
      <c r="O1132" s="35">
        <f t="shared" si="82"/>
        <v>0.61140302359882015</v>
      </c>
      <c r="P1132" s="35">
        <f t="shared" si="85"/>
        <v>36.647497234513281</v>
      </c>
      <c r="Q1132" s="35">
        <f>('Batt Capacity and Sys Weight'!$I$2) + (B1132*$T$2)</f>
        <v>36.313000000000002</v>
      </c>
      <c r="R1132" s="35">
        <f>'Batt Capacity and Sys Weight'!$H$2</f>
        <v>99.9</v>
      </c>
    </row>
    <row r="1133" spans="1:18" x14ac:dyDescent="0.3">
      <c r="A1133" s="35" t="s">
        <v>167</v>
      </c>
      <c r="B1133" s="35">
        <v>2.74</v>
      </c>
      <c r="C1133" s="35">
        <v>1860</v>
      </c>
      <c r="D1133" s="35" t="s">
        <v>164</v>
      </c>
      <c r="E1133" s="36" cm="1">
        <f t="array" ref="E1133">GetNumber(D1133, 1) + (GetNumber(D1133, 2)/10)</f>
        <v>6.5</v>
      </c>
      <c r="F1133" s="36" cm="1">
        <f t="array" ref="F1133">GetNumber(D1133, 3) + (GetNumber(D1133, 4)/10)</f>
        <v>6</v>
      </c>
      <c r="G1133" s="35">
        <v>11.1</v>
      </c>
      <c r="H1133" s="35">
        <v>16722</v>
      </c>
      <c r="I1133" s="35">
        <f>27.2*($T$2)</f>
        <v>54.4</v>
      </c>
      <c r="J1133" s="35">
        <f>302*($T$2)</f>
        <v>604</v>
      </c>
      <c r="K1133" s="35">
        <f t="shared" si="83"/>
        <v>9.9238410596026494</v>
      </c>
      <c r="L1133" s="35">
        <f t="shared" si="84"/>
        <v>9.9264705882352935</v>
      </c>
      <c r="M1133" s="35">
        <f>1.589375*($T$2)</f>
        <v>3.17875</v>
      </c>
      <c r="N1133" s="35">
        <f>95*(5280/3600)</f>
        <v>139.33333333333331</v>
      </c>
      <c r="O1133" s="35">
        <f t="shared" si="82"/>
        <v>0.52628311258278138</v>
      </c>
      <c r="P1133" s="35">
        <f t="shared" si="85"/>
        <v>31.545409768211922</v>
      </c>
      <c r="Q1133" s="35">
        <f>('Batt Capacity and Sys Weight'!$I$2) + (B1133*$T$2)</f>
        <v>36.313000000000002</v>
      </c>
      <c r="R1133" s="35">
        <f>'Batt Capacity and Sys Weight'!$H$2</f>
        <v>99.9</v>
      </c>
    </row>
    <row r="1134" spans="1:18" x14ac:dyDescent="0.3">
      <c r="A1134" s="35" t="s">
        <v>167</v>
      </c>
      <c r="B1134" s="35">
        <v>2.74</v>
      </c>
      <c r="C1134" s="35">
        <v>1860</v>
      </c>
      <c r="D1134" s="35" t="s">
        <v>147</v>
      </c>
      <c r="E1134" s="36" t="str" cm="1">
        <f t="array" ref="E1134">GetNumber(D1134,1)</f>
        <v>7</v>
      </c>
      <c r="F1134" s="36" t="str" cm="1">
        <f t="array" ref="F1134">GetNumber(D1134,2)</f>
        <v>4</v>
      </c>
      <c r="G1134" s="35">
        <v>11.1</v>
      </c>
      <c r="H1134" s="35">
        <v>17339</v>
      </c>
      <c r="I1134" s="35">
        <f>22.35*($T$2)</f>
        <v>44.7</v>
      </c>
      <c r="J1134" s="35">
        <f>248.1*($T$2)</f>
        <v>496.2</v>
      </c>
      <c r="K1134" s="35">
        <f t="shared" si="83"/>
        <v>12.079806529625152</v>
      </c>
      <c r="L1134" s="35">
        <f t="shared" si="84"/>
        <v>12.080536912751677</v>
      </c>
      <c r="M1134" s="35">
        <f>1.618125*($T$2)</f>
        <v>3.2362500000000001</v>
      </c>
      <c r="N1134" s="35">
        <f>65.7*(5280/3600)</f>
        <v>96.36</v>
      </c>
      <c r="O1134" s="35">
        <f t="shared" si="82"/>
        <v>0.65220677146311978</v>
      </c>
      <c r="P1134" s="35">
        <f t="shared" si="85"/>
        <v>39.0932738814994</v>
      </c>
      <c r="Q1134" s="35">
        <f>('Batt Capacity and Sys Weight'!$I$2) + (B1134*$T$2)</f>
        <v>36.313000000000002</v>
      </c>
      <c r="R1134" s="35">
        <f>'Batt Capacity and Sys Weight'!$H$2</f>
        <v>99.9</v>
      </c>
    </row>
    <row r="1135" spans="1:18" x14ac:dyDescent="0.3">
      <c r="A1135" s="35" t="s">
        <v>167</v>
      </c>
      <c r="B1135" s="35">
        <v>2.74</v>
      </c>
      <c r="C1135" s="35">
        <v>1860</v>
      </c>
      <c r="D1135" s="35" t="s">
        <v>166</v>
      </c>
      <c r="E1135" s="36" t="str" cm="1">
        <f t="array" ref="E1135">GetNumber(D1135,1)</f>
        <v>6</v>
      </c>
      <c r="F1135" s="36" t="str" cm="1">
        <f t="array" ref="F1135">GetNumber(D1135,2)</f>
        <v>4</v>
      </c>
      <c r="G1135" s="35">
        <v>11.1</v>
      </c>
      <c r="H1135" s="35">
        <v>17759</v>
      </c>
      <c r="I1135" s="35">
        <f>19.59*($T$2)</f>
        <v>39.18</v>
      </c>
      <c r="J1135" s="35">
        <f>217.5*($T$2)</f>
        <v>435</v>
      </c>
      <c r="K1135" s="35">
        <f t="shared" si="83"/>
        <v>13.779310344827588</v>
      </c>
      <c r="L1135" s="35">
        <f t="shared" si="84"/>
        <v>13.782542113323125</v>
      </c>
      <c r="M1135" s="35">
        <f>1.750625*($T$2)</f>
        <v>3.5012500000000002</v>
      </c>
      <c r="N1135" s="35">
        <f>67.3*(5280/3600)</f>
        <v>98.706666666666649</v>
      </c>
      <c r="O1135" s="35">
        <f t="shared" si="82"/>
        <v>0.80488505747126438</v>
      </c>
      <c r="P1135" s="35">
        <f t="shared" si="85"/>
        <v>48.244810344827592</v>
      </c>
      <c r="Q1135" s="35">
        <f>('Batt Capacity and Sys Weight'!$I$2) + (B1135*$T$2)</f>
        <v>36.313000000000002</v>
      </c>
      <c r="R1135" s="35">
        <f>'Batt Capacity and Sys Weight'!$H$2</f>
        <v>99.9</v>
      </c>
    </row>
    <row r="1136" spans="1:18" x14ac:dyDescent="0.3">
      <c r="A1136" s="35" t="s">
        <v>167</v>
      </c>
      <c r="B1136" s="35">
        <v>2.74</v>
      </c>
      <c r="C1136" s="35">
        <v>1860</v>
      </c>
      <c r="D1136" s="35" t="s">
        <v>198</v>
      </c>
      <c r="E1136" s="36" t="str" cm="1">
        <f t="array" ref="E1136">GetNumber(D1136,1)</f>
        <v>5</v>
      </c>
      <c r="F1136" s="36" cm="1">
        <f t="array" ref="F1136">GetNumber(D1136,2)+(GetNumber(D1136,3)/10)</f>
        <v>4.3</v>
      </c>
      <c r="G1136" s="35">
        <v>14.8</v>
      </c>
      <c r="H1136" s="35">
        <v>23169</v>
      </c>
      <c r="I1136" s="35">
        <f>24.02*($T$2)</f>
        <v>48.04</v>
      </c>
      <c r="J1136" s="35">
        <f>355.6*($T$2)</f>
        <v>711.2</v>
      </c>
      <c r="K1136" s="35">
        <f t="shared" si="83"/>
        <v>8.2407199100112489</v>
      </c>
      <c r="L1136" s="35">
        <f t="shared" si="84"/>
        <v>8.2431307243963374</v>
      </c>
      <c r="M1136" s="35">
        <f>1.906875*($T$2)</f>
        <v>3.8137500000000002</v>
      </c>
      <c r="N1136" s="35">
        <f>94.3*(5280/3600)</f>
        <v>138.30666666666664</v>
      </c>
      <c r="O1136" s="35">
        <f t="shared" si="82"/>
        <v>0.53624156355455566</v>
      </c>
      <c r="P1136" s="35">
        <f t="shared" si="85"/>
        <v>31.428045556805401</v>
      </c>
      <c r="Q1136" s="35">
        <f>('Batt Capacity and Sys Weight'!$I$3) + (B1136*$T$2)</f>
        <v>31.868475</v>
      </c>
      <c r="R1136" s="35">
        <f>'Batt Capacity and Sys Weight'!$H$3</f>
        <v>97.68</v>
      </c>
    </row>
    <row r="1137" spans="1:18" x14ac:dyDescent="0.3">
      <c r="A1137" s="35" t="s">
        <v>167</v>
      </c>
      <c r="B1137" s="35">
        <v>2.74</v>
      </c>
      <c r="C1137" s="35">
        <v>1860</v>
      </c>
      <c r="D1137" s="35" t="s">
        <v>199</v>
      </c>
      <c r="E1137" s="36" t="str" cm="1">
        <f t="array" ref="E1137">GetNumber(D1137,1)</f>
        <v>5</v>
      </c>
      <c r="F1137" s="36" cm="1">
        <f t="array" ref="F1137">GetNumber(D1137,2)+(GetNumber(D1137,3)/10)</f>
        <v>4.5</v>
      </c>
      <c r="G1137" s="35">
        <v>14.8</v>
      </c>
      <c r="H1137" s="35">
        <v>23020</v>
      </c>
      <c r="I1137" s="35">
        <f>25.04*($T$2)</f>
        <v>50.08</v>
      </c>
      <c r="J1137" s="35">
        <f>370.6*($T$2)</f>
        <v>741.2</v>
      </c>
      <c r="K1137" s="35">
        <f t="shared" si="83"/>
        <v>7.9071775499190506</v>
      </c>
      <c r="L1137" s="35">
        <f t="shared" si="84"/>
        <v>7.9073482428115032</v>
      </c>
      <c r="M1137" s="35">
        <f>1.93125*($T$2)</f>
        <v>3.8624999999999998</v>
      </c>
      <c r="N1137" s="35">
        <f>98.1*(5280/3600)</f>
        <v>143.88</v>
      </c>
      <c r="O1137" s="35">
        <f t="shared" si="82"/>
        <v>0.52111440906637885</v>
      </c>
      <c r="P1137" s="35">
        <f t="shared" si="85"/>
        <v>30.541473286562333</v>
      </c>
      <c r="Q1137" s="35">
        <f>('Batt Capacity and Sys Weight'!$I$3) + (B1137*$T$2)</f>
        <v>31.868475</v>
      </c>
      <c r="R1137" s="35">
        <f>'Batt Capacity and Sys Weight'!$H$3</f>
        <v>97.68</v>
      </c>
    </row>
    <row r="1138" spans="1:18" x14ac:dyDescent="0.3">
      <c r="A1138" s="35" t="s">
        <v>167</v>
      </c>
      <c r="B1138" s="35">
        <v>2.74</v>
      </c>
      <c r="C1138" s="35">
        <v>1860</v>
      </c>
      <c r="D1138" s="35" t="s">
        <v>200</v>
      </c>
      <c r="E1138" s="36" t="str" cm="1">
        <f t="array" ref="E1138">GetNumber(D1138,1)</f>
        <v>5</v>
      </c>
      <c r="F1138" s="36" cm="1">
        <f t="array" ref="F1138">GetNumber(D1138,2)+(GetNumber(D1138,3)/10)</f>
        <v>4.5999999999999996</v>
      </c>
      <c r="G1138" s="35">
        <v>14.8</v>
      </c>
      <c r="H1138" s="35">
        <v>23043</v>
      </c>
      <c r="I1138" s="35">
        <f>24.89*($T$2)</f>
        <v>49.78</v>
      </c>
      <c r="J1138" s="35">
        <f>368.4*($T$2)</f>
        <v>736.8</v>
      </c>
      <c r="K1138" s="35">
        <f t="shared" si="83"/>
        <v>7.9543973941368087</v>
      </c>
      <c r="L1138" s="35">
        <f t="shared" si="84"/>
        <v>7.9550020088388917</v>
      </c>
      <c r="M1138" s="35">
        <f>2.0325*($T$2)</f>
        <v>4.0650000000000004</v>
      </c>
      <c r="N1138" s="35">
        <f>100.4*(5280/3600)</f>
        <v>147.25333333333333</v>
      </c>
      <c r="O1138" s="35">
        <f t="shared" si="82"/>
        <v>0.55171009771986979</v>
      </c>
      <c r="P1138" s="35">
        <f t="shared" si="85"/>
        <v>32.334625407166129</v>
      </c>
      <c r="Q1138" s="35">
        <f>('Batt Capacity and Sys Weight'!$I$3) + (B1138*$T$2)</f>
        <v>31.868475</v>
      </c>
      <c r="R1138" s="35">
        <f>'Batt Capacity and Sys Weight'!$H$3</f>
        <v>97.68</v>
      </c>
    </row>
    <row r="1139" spans="1:18" x14ac:dyDescent="0.3">
      <c r="A1139" s="35" t="s">
        <v>167</v>
      </c>
      <c r="B1139" s="35">
        <v>2.74</v>
      </c>
      <c r="C1139" s="35">
        <v>1860</v>
      </c>
      <c r="D1139" s="35" t="s">
        <v>159</v>
      </c>
      <c r="E1139" s="36" t="str" cm="1">
        <f t="array" ref="E1139">GetNumber(D1139,1)</f>
        <v>6</v>
      </c>
      <c r="F1139" s="36" t="str" cm="1">
        <f t="array" ref="F1139">GetNumber(D1139,2)</f>
        <v>4</v>
      </c>
      <c r="G1139" s="35">
        <v>14.8</v>
      </c>
      <c r="H1139" s="35">
        <v>22523</v>
      </c>
      <c r="I1139" s="35">
        <f>28.22*($T$2)</f>
        <v>56.44</v>
      </c>
      <c r="J1139" s="35">
        <f>417.6*($T$2)</f>
        <v>835.2</v>
      </c>
      <c r="K1139" s="35">
        <f t="shared" si="83"/>
        <v>7.0172413793103452</v>
      </c>
      <c r="L1139" s="35">
        <f t="shared" si="84"/>
        <v>7.0163004961020565</v>
      </c>
      <c r="M1139" s="35">
        <f>2.273125*($T$2)</f>
        <v>4.5462499999999997</v>
      </c>
      <c r="N1139" s="35">
        <f>85.3*(5280/3600)</f>
        <v>125.10666666666665</v>
      </c>
      <c r="O1139" s="35">
        <f t="shared" si="82"/>
        <v>0.54433069923371635</v>
      </c>
      <c r="P1139" s="35">
        <f t="shared" si="85"/>
        <v>31.902133620689654</v>
      </c>
      <c r="Q1139" s="35">
        <f>('Batt Capacity and Sys Weight'!$I$3) + (B1139*$T$2)</f>
        <v>31.868475</v>
      </c>
      <c r="R1139" s="35">
        <f>'Batt Capacity and Sys Weight'!$H$3</f>
        <v>97.68</v>
      </c>
    </row>
    <row r="1140" spans="1:18" x14ac:dyDescent="0.3">
      <c r="A1140" s="35" t="s">
        <v>201</v>
      </c>
      <c r="B1140" s="35">
        <v>3.77</v>
      </c>
      <c r="C1140" s="35">
        <v>1050</v>
      </c>
      <c r="D1140" s="35" t="s">
        <v>127</v>
      </c>
      <c r="E1140" s="36" t="str" cm="1">
        <f t="array" ref="E1140">GetNumber(D1140,1)</f>
        <v>8</v>
      </c>
      <c r="F1140" s="36" t="str" cm="1">
        <f t="array" ref="F1140">GetNumber(D1140,2)</f>
        <v>6</v>
      </c>
      <c r="G1140" s="35">
        <v>11.1</v>
      </c>
      <c r="H1140" s="35">
        <v>10813</v>
      </c>
      <c r="I1140" s="35">
        <f>20.3*($T$2)</f>
        <v>40.6</v>
      </c>
      <c r="J1140" s="35">
        <f>225.3*($T$2)</f>
        <v>450.6</v>
      </c>
      <c r="K1140" s="35">
        <f t="shared" si="83"/>
        <v>13.30226364846871</v>
      </c>
      <c r="L1140" s="35">
        <f t="shared" si="84"/>
        <v>13.300492610837438</v>
      </c>
      <c r="M1140" s="35">
        <f>2.10125*($T$2)</f>
        <v>4.2024999999999997</v>
      </c>
      <c r="N1140" s="35">
        <f>61.4*(5280/3600)</f>
        <v>90.053333333333327</v>
      </c>
      <c r="O1140" s="35">
        <f t="shared" si="82"/>
        <v>0.93264536173990231</v>
      </c>
      <c r="P1140" s="35">
        <f t="shared" si="85"/>
        <v>55.902762982689751</v>
      </c>
      <c r="Q1140" s="35">
        <f>('Batt Capacity and Sys Weight'!$I$2) + (B1140*$T$2)</f>
        <v>38.373000000000005</v>
      </c>
      <c r="R1140" s="35">
        <f>'Batt Capacity and Sys Weight'!$H$2</f>
        <v>99.9</v>
      </c>
    </row>
    <row r="1141" spans="1:18" x14ac:dyDescent="0.3">
      <c r="A1141" s="35" t="s">
        <v>201</v>
      </c>
      <c r="B1141" s="35">
        <v>3.77</v>
      </c>
      <c r="C1141" s="35">
        <v>1050</v>
      </c>
      <c r="D1141" s="35" t="s">
        <v>128</v>
      </c>
      <c r="E1141" s="36" t="str" cm="1">
        <f t="array" ref="E1141">GetNumber(D1141,1)</f>
        <v>8</v>
      </c>
      <c r="F1141" s="36" t="str" cm="1">
        <f t="array" ref="F1141">GetNumber(D1141,2)</f>
        <v>8</v>
      </c>
      <c r="G1141" s="35">
        <v>11.1</v>
      </c>
      <c r="H1141" s="35">
        <v>10340</v>
      </c>
      <c r="I1141" s="35">
        <f>25.08*($T$2)</f>
        <v>50.16</v>
      </c>
      <c r="J1141" s="35">
        <f>278.4*($T$2)</f>
        <v>556.79999999999995</v>
      </c>
      <c r="K1141" s="35">
        <f t="shared" si="83"/>
        <v>10.765086206896553</v>
      </c>
      <c r="L1141" s="35">
        <f t="shared" si="84"/>
        <v>10.76555023923445</v>
      </c>
      <c r="M1141" s="35">
        <f>1.993125*($T$2)</f>
        <v>3.9862500000000001</v>
      </c>
      <c r="N1141" s="35">
        <f>78.3*(5280/3600)</f>
        <v>114.83999999999999</v>
      </c>
      <c r="O1141" s="35">
        <f t="shared" si="82"/>
        <v>0.71592133620689657</v>
      </c>
      <c r="P1141" s="35">
        <f t="shared" si="85"/>
        <v>42.912324892241386</v>
      </c>
      <c r="Q1141" s="35">
        <f>('Batt Capacity and Sys Weight'!$I$2) + (B1141*$T$2)</f>
        <v>38.373000000000005</v>
      </c>
      <c r="R1141" s="35">
        <f>'Batt Capacity and Sys Weight'!$H$2</f>
        <v>99.9</v>
      </c>
    </row>
    <row r="1142" spans="1:18" x14ac:dyDescent="0.3">
      <c r="A1142" s="35" t="s">
        <v>201</v>
      </c>
      <c r="B1142" s="35">
        <v>3.77</v>
      </c>
      <c r="C1142" s="35">
        <v>1050</v>
      </c>
      <c r="D1142" s="35" t="s">
        <v>129</v>
      </c>
      <c r="E1142" s="36" t="str" cm="1">
        <f t="array" ref="E1142">GetNumber(D1142,1)</f>
        <v>9</v>
      </c>
      <c r="F1142" s="36" cm="1">
        <f t="array" ref="F1142">GetNumber(D1142,2)+(GetNumber(D1142,3)/10)</f>
        <v>4.5</v>
      </c>
      <c r="G1142" s="35">
        <v>11.1</v>
      </c>
      <c r="H1142" s="35">
        <v>10784</v>
      </c>
      <c r="I1142" s="35">
        <f>20.62*($T$2)</f>
        <v>41.24</v>
      </c>
      <c r="J1142" s="35">
        <f>228.9*($T$2)</f>
        <v>457.8</v>
      </c>
      <c r="K1142" s="35">
        <f t="shared" si="83"/>
        <v>13.09305373525557</v>
      </c>
      <c r="L1142" s="35">
        <f t="shared" si="84"/>
        <v>13.094083414161009</v>
      </c>
      <c r="M1142" s="35">
        <f>2.561875*($T$2)</f>
        <v>5.1237500000000002</v>
      </c>
      <c r="N1142" s="35">
        <f>46*(5280/3600)</f>
        <v>67.466666666666669</v>
      </c>
      <c r="O1142" s="35">
        <f t="shared" si="82"/>
        <v>1.1192114460463083</v>
      </c>
      <c r="P1142" s="35">
        <f t="shared" si="85"/>
        <v>67.085534076015733</v>
      </c>
      <c r="Q1142" s="35">
        <f>('Batt Capacity and Sys Weight'!$I$2) + (B1142*$T$2)</f>
        <v>38.373000000000005</v>
      </c>
      <c r="R1142" s="35">
        <f>'Batt Capacity and Sys Weight'!$H$2</f>
        <v>99.9</v>
      </c>
    </row>
    <row r="1143" spans="1:18" x14ac:dyDescent="0.3">
      <c r="A1143" s="35" t="s">
        <v>201</v>
      </c>
      <c r="B1143" s="35">
        <v>3.77</v>
      </c>
      <c r="C1143" s="35">
        <v>1050</v>
      </c>
      <c r="D1143" s="35" t="s">
        <v>107</v>
      </c>
      <c r="E1143" s="36" t="str" cm="1">
        <f t="array" ref="E1143">GetNumber(D1143,1)</f>
        <v>9</v>
      </c>
      <c r="F1143" s="36" t="str" cm="1">
        <f t="array" ref="F1143">GetNumber(D1143,2)</f>
        <v>6</v>
      </c>
      <c r="G1143" s="35">
        <v>11.1</v>
      </c>
      <c r="H1143" s="35">
        <v>10469</v>
      </c>
      <c r="I1143" s="35">
        <f>23.77*($T$2)</f>
        <v>47.54</v>
      </c>
      <c r="J1143" s="35">
        <f>263.8*($T$2)</f>
        <v>527.6</v>
      </c>
      <c r="K1143" s="35">
        <f t="shared" si="83"/>
        <v>11.360879454131918</v>
      </c>
      <c r="L1143" s="35">
        <f t="shared" si="84"/>
        <v>11.358855700462769</v>
      </c>
      <c r="M1143" s="35">
        <f>2.559375*($T$2)</f>
        <v>5.1187500000000004</v>
      </c>
      <c r="N1143" s="35">
        <f>59.5*(5280/3600)</f>
        <v>87.266666666666666</v>
      </c>
      <c r="O1143" s="35">
        <f t="shared" si="82"/>
        <v>0.97019522365428357</v>
      </c>
      <c r="P1143" s="35">
        <f t="shared" si="85"/>
        <v>58.153501705837762</v>
      </c>
      <c r="Q1143" s="35">
        <f>('Batt Capacity and Sys Weight'!$I$2) + (B1143*$T$2)</f>
        <v>38.373000000000005</v>
      </c>
      <c r="R1143" s="35">
        <f>'Batt Capacity and Sys Weight'!$H$2</f>
        <v>99.9</v>
      </c>
    </row>
    <row r="1144" spans="1:18" x14ac:dyDescent="0.3">
      <c r="A1144" s="35" t="s">
        <v>201</v>
      </c>
      <c r="B1144" s="35">
        <v>3.77</v>
      </c>
      <c r="C1144" s="35">
        <v>1050</v>
      </c>
      <c r="D1144" s="35" t="s">
        <v>99</v>
      </c>
      <c r="E1144" s="36" t="str" cm="1">
        <f t="array" ref="E1144">GetNumber(D1144,1)</f>
        <v>10</v>
      </c>
      <c r="F1144" s="36" t="str" cm="1">
        <f t="array" ref="F1144">GetNumber(D1144,2)</f>
        <v>5</v>
      </c>
      <c r="G1144" s="35">
        <v>11.1</v>
      </c>
      <c r="H1144" s="35">
        <v>10013</v>
      </c>
      <c r="I1144" s="35">
        <f>27.1*($T$2)</f>
        <v>54.2</v>
      </c>
      <c r="J1144" s="35">
        <f>300.8*($T$2)</f>
        <v>601.6</v>
      </c>
      <c r="K1144" s="35">
        <f t="shared" si="83"/>
        <v>9.9634308510638299</v>
      </c>
      <c r="L1144" s="35">
        <f t="shared" si="84"/>
        <v>9.9630996309963091</v>
      </c>
      <c r="M1144" s="35">
        <f>3.11*($T$2)</f>
        <v>6.22</v>
      </c>
      <c r="N1144" s="35">
        <f>47.4*(5280/3600)</f>
        <v>69.52</v>
      </c>
      <c r="O1144" s="35">
        <f t="shared" si="82"/>
        <v>1.0339095744680848</v>
      </c>
      <c r="P1144" s="35">
        <f t="shared" si="85"/>
        <v>61.972539893617018</v>
      </c>
      <c r="Q1144" s="35">
        <f>('Batt Capacity and Sys Weight'!$I$2) + (B1144*$T$2)</f>
        <v>38.373000000000005</v>
      </c>
      <c r="R1144" s="35">
        <f>'Batt Capacity and Sys Weight'!$H$2</f>
        <v>99.9</v>
      </c>
    </row>
    <row r="1145" spans="1:18" x14ac:dyDescent="0.3">
      <c r="A1145" s="35" t="s">
        <v>201</v>
      </c>
      <c r="B1145" s="35">
        <v>3.77</v>
      </c>
      <c r="C1145" s="35">
        <v>1050</v>
      </c>
      <c r="D1145" s="35" t="s">
        <v>67</v>
      </c>
      <c r="E1145" s="36" t="str" cm="1">
        <f t="array" ref="E1145">GetNumber(D1145,1)</f>
        <v>10</v>
      </c>
      <c r="F1145" s="36" t="str" cm="1">
        <f t="array" ref="F1145">GetNumber(D1145,2)</f>
        <v>6</v>
      </c>
      <c r="G1145" s="35">
        <v>11.1</v>
      </c>
      <c r="H1145" s="35">
        <v>9730</v>
      </c>
      <c r="I1145" s="35">
        <f>29.72*($T$2)</f>
        <v>59.44</v>
      </c>
      <c r="J1145" s="35">
        <f>329.8*($T$2)</f>
        <v>659.6</v>
      </c>
      <c r="K1145" s="35">
        <f t="shared" si="83"/>
        <v>9.0873256519102501</v>
      </c>
      <c r="L1145" s="35">
        <f t="shared" si="84"/>
        <v>9.0847913862718723</v>
      </c>
      <c r="M1145" s="35">
        <f>3.1925*($T$2)</f>
        <v>6.3849999999999998</v>
      </c>
      <c r="N1145" s="35">
        <f>55.3*(5280/3600)</f>
        <v>81.106666666666655</v>
      </c>
      <c r="O1145" s="35">
        <f t="shared" si="82"/>
        <v>0.96801091570648867</v>
      </c>
      <c r="P1145" s="35">
        <f t="shared" si="85"/>
        <v>58.022574287446943</v>
      </c>
      <c r="Q1145" s="35">
        <f>('Batt Capacity and Sys Weight'!$I$2) + (B1145*$T$2)</f>
        <v>38.373000000000005</v>
      </c>
      <c r="R1145" s="35">
        <f>'Batt Capacity and Sys Weight'!$H$2</f>
        <v>99.9</v>
      </c>
    </row>
    <row r="1146" spans="1:18" x14ac:dyDescent="0.3">
      <c r="A1146" s="35" t="s">
        <v>201</v>
      </c>
      <c r="B1146" s="35">
        <v>3.77</v>
      </c>
      <c r="C1146" s="35">
        <v>1050</v>
      </c>
      <c r="D1146" s="35" t="s">
        <v>131</v>
      </c>
      <c r="E1146" s="36" t="str" cm="1">
        <f t="array" ref="E1146">GetNumber(D1146,1)</f>
        <v>10</v>
      </c>
      <c r="F1146" s="36" t="str" cm="1">
        <f t="array" ref="F1146">GetNumber(D1146,2)</f>
        <v>6</v>
      </c>
      <c r="G1146" s="35">
        <v>11.1</v>
      </c>
      <c r="H1146" s="35">
        <v>10299</v>
      </c>
      <c r="I1146" s="35">
        <f>25.43*($T$2)</f>
        <v>50.86</v>
      </c>
      <c r="J1146" s="35">
        <f>282.2*($T$2)</f>
        <v>564.4</v>
      </c>
      <c r="K1146" s="35">
        <f t="shared" si="83"/>
        <v>10.62012756909993</v>
      </c>
      <c r="L1146" s="35">
        <f t="shared" si="84"/>
        <v>10.617381046008651</v>
      </c>
      <c r="M1146" s="35">
        <f>2.876875*($T$2)</f>
        <v>5.7537500000000001</v>
      </c>
      <c r="N1146" s="35">
        <f>58.5*(5280/3600)</f>
        <v>85.8</v>
      </c>
      <c r="O1146" s="35">
        <f t="shared" si="82"/>
        <v>1.0194454287739192</v>
      </c>
      <c r="P1146" s="35">
        <f t="shared" si="85"/>
        <v>61.105559000708723</v>
      </c>
      <c r="Q1146" s="35">
        <f>('Batt Capacity and Sys Weight'!$I$2) + (B1146*$T$2)</f>
        <v>38.373000000000005</v>
      </c>
      <c r="R1146" s="35">
        <f>'Batt Capacity and Sys Weight'!$H$2</f>
        <v>99.9</v>
      </c>
    </row>
    <row r="1147" spans="1:18" x14ac:dyDescent="0.3">
      <c r="A1147" s="35" t="s">
        <v>201</v>
      </c>
      <c r="B1147" s="35">
        <v>3.77</v>
      </c>
      <c r="C1147" s="35">
        <v>1050</v>
      </c>
      <c r="D1147" s="35" t="s">
        <v>133</v>
      </c>
      <c r="E1147" s="36" t="str" cm="1">
        <f t="array" ref="E1147">GetNumber(D1147,1)</f>
        <v>10</v>
      </c>
      <c r="F1147" s="36" t="str" cm="1">
        <f t="array" ref="F1147">GetNumber(D1147,2)</f>
        <v>5</v>
      </c>
      <c r="G1147" s="35">
        <v>11.1</v>
      </c>
      <c r="H1147" s="35">
        <v>10325</v>
      </c>
      <c r="I1147" s="35">
        <f>25.37*($T$2)</f>
        <v>50.74</v>
      </c>
      <c r="J1147" s="35">
        <f>281.6*($T$2)</f>
        <v>563.20000000000005</v>
      </c>
      <c r="K1147" s="35">
        <f t="shared" si="83"/>
        <v>10.642755681818182</v>
      </c>
      <c r="L1147" s="35">
        <f t="shared" si="84"/>
        <v>10.64249113125739</v>
      </c>
      <c r="M1147" s="35">
        <f>2.815*($T$2)</f>
        <v>5.63</v>
      </c>
      <c r="N1147" s="35">
        <f>48.9*(5280/3600)</f>
        <v>71.72</v>
      </c>
      <c r="O1147" s="35">
        <f t="shared" si="82"/>
        <v>0.99964488636363624</v>
      </c>
      <c r="P1147" s="35">
        <f t="shared" si="85"/>
        <v>59.918714488636361</v>
      </c>
      <c r="Q1147" s="35">
        <f>('Batt Capacity and Sys Weight'!$I$2) + (B1147*$T$2)</f>
        <v>38.373000000000005</v>
      </c>
      <c r="R1147" s="35">
        <f>'Batt Capacity and Sys Weight'!$H$2</f>
        <v>99.9</v>
      </c>
    </row>
    <row r="1148" spans="1:18" x14ac:dyDescent="0.3">
      <c r="A1148" s="35" t="s">
        <v>201</v>
      </c>
      <c r="B1148" s="35">
        <v>3.77</v>
      </c>
      <c r="C1148" s="35">
        <v>1050</v>
      </c>
      <c r="D1148" s="35" t="s">
        <v>134</v>
      </c>
      <c r="E1148" s="36" t="str" cm="1">
        <f t="array" ref="E1148">GetNumber(D1148,1)</f>
        <v>10</v>
      </c>
      <c r="F1148" s="36" t="str" cm="1">
        <f t="array" ref="F1148">GetNumber(D1148,2)</f>
        <v>6</v>
      </c>
      <c r="G1148" s="35">
        <v>11.1</v>
      </c>
      <c r="H1148" s="35">
        <v>9560</v>
      </c>
      <c r="I1148" s="35">
        <f>31.89*($T$2)</f>
        <v>63.78</v>
      </c>
      <c r="J1148" s="35">
        <f>354*($T$2)</f>
        <v>708</v>
      </c>
      <c r="K1148" s="35">
        <f t="shared" si="83"/>
        <v>8.4661016949152543</v>
      </c>
      <c r="L1148" s="35">
        <f t="shared" si="84"/>
        <v>8.4666039510818436</v>
      </c>
      <c r="M1148" s="35">
        <f>2.651875*($T$2)</f>
        <v>5.30375</v>
      </c>
      <c r="N1148" s="35">
        <f>54.3*(5280/3600)</f>
        <v>79.639999999999986</v>
      </c>
      <c r="O1148" s="35">
        <f t="shared" si="82"/>
        <v>0.74911723163841815</v>
      </c>
      <c r="P1148" s="35">
        <f t="shared" si="85"/>
        <v>44.902086864406783</v>
      </c>
      <c r="Q1148" s="35">
        <f>('Batt Capacity and Sys Weight'!$I$2) + (B1148*$T$2)</f>
        <v>38.373000000000005</v>
      </c>
      <c r="R1148" s="35">
        <f>'Batt Capacity and Sys Weight'!$H$2</f>
        <v>99.9</v>
      </c>
    </row>
    <row r="1149" spans="1:18" x14ac:dyDescent="0.3">
      <c r="A1149" s="35" t="s">
        <v>201</v>
      </c>
      <c r="B1149" s="35">
        <v>3.77</v>
      </c>
      <c r="C1149" s="35">
        <v>1050</v>
      </c>
      <c r="D1149" s="35" t="s">
        <v>137</v>
      </c>
      <c r="E1149" s="36" t="str" cm="1">
        <f t="array" ref="E1149">GetNumber(D1149,1)</f>
        <v>11</v>
      </c>
      <c r="F1149" s="36" t="str" cm="1">
        <f t="array" ref="F1149">GetNumber(D1149,2)</f>
        <v>5</v>
      </c>
      <c r="G1149" s="35">
        <v>11.1</v>
      </c>
      <c r="H1149" s="35">
        <v>9629</v>
      </c>
      <c r="I1149" s="35">
        <f>31.23*($T$2)</f>
        <v>62.46</v>
      </c>
      <c r="J1149" s="35">
        <f>346.6*($T$2)</f>
        <v>693.2</v>
      </c>
      <c r="K1149" s="35">
        <f t="shared" si="83"/>
        <v>8.6468551644547027</v>
      </c>
      <c r="L1149" s="35">
        <f t="shared" si="84"/>
        <v>8.6455331412103753</v>
      </c>
      <c r="M1149" s="35">
        <f>3.34*($T$2)</f>
        <v>6.68</v>
      </c>
      <c r="N1149" s="35">
        <f>45.6*(5280/3600)</f>
        <v>66.88</v>
      </c>
      <c r="O1149" s="35">
        <f t="shared" si="82"/>
        <v>0.9636468551644547</v>
      </c>
      <c r="P1149" s="35">
        <f t="shared" si="85"/>
        <v>57.760992498557414</v>
      </c>
      <c r="Q1149" s="35">
        <f>('Batt Capacity and Sys Weight'!$I$2) + (B1149*$T$2)</f>
        <v>38.373000000000005</v>
      </c>
      <c r="R1149" s="35">
        <f>'Batt Capacity and Sys Weight'!$H$2</f>
        <v>99.9</v>
      </c>
    </row>
    <row r="1150" spans="1:18" x14ac:dyDescent="0.3">
      <c r="A1150" s="35" t="s">
        <v>201</v>
      </c>
      <c r="B1150" s="35">
        <v>3.77</v>
      </c>
      <c r="C1150" s="35">
        <v>1050</v>
      </c>
      <c r="D1150" s="35" t="s">
        <v>142</v>
      </c>
      <c r="E1150" s="36">
        <v>7.5</v>
      </c>
      <c r="F1150" s="36" t="str" cm="1">
        <f t="array" ref="F1150">GetNumber(D1150,3)</f>
        <v>4</v>
      </c>
      <c r="G1150" s="35">
        <v>11.1</v>
      </c>
      <c r="H1150" s="35">
        <v>10614</v>
      </c>
      <c r="I1150" s="35">
        <f>22.46*($T$2)</f>
        <v>44.92</v>
      </c>
      <c r="J1150" s="35">
        <f>249.3*($T$2)</f>
        <v>498.6</v>
      </c>
      <c r="K1150" s="35">
        <f t="shared" si="83"/>
        <v>12.021660649819493</v>
      </c>
      <c r="L1150" s="35">
        <f t="shared" si="84"/>
        <v>12.021371326803205</v>
      </c>
      <c r="M1150" s="35">
        <f>1.59375*($T$2)</f>
        <v>3.1875</v>
      </c>
      <c r="N1150" s="35">
        <f>40.2*(5280/3600)</f>
        <v>58.96</v>
      </c>
      <c r="O1150" s="35">
        <f t="shared" si="82"/>
        <v>0.6392900120336944</v>
      </c>
      <c r="P1150" s="35">
        <f t="shared" si="85"/>
        <v>38.319043321299631</v>
      </c>
      <c r="Q1150" s="35">
        <f>('Batt Capacity and Sys Weight'!$I$2) + (B1150*$T$2)</f>
        <v>38.373000000000005</v>
      </c>
      <c r="R1150" s="35">
        <f>'Batt Capacity and Sys Weight'!$H$2</f>
        <v>99.9</v>
      </c>
    </row>
    <row r="1151" spans="1:18" x14ac:dyDescent="0.3">
      <c r="A1151" s="35" t="s">
        <v>201</v>
      </c>
      <c r="B1151" s="35">
        <v>3.77</v>
      </c>
      <c r="C1151" s="35">
        <v>1050</v>
      </c>
      <c r="D1151" s="35" t="s">
        <v>130</v>
      </c>
      <c r="E1151" s="36" t="str" cm="1">
        <f t="array" ref="E1151">GetNumber(D1151,1)</f>
        <v>9</v>
      </c>
      <c r="F1151" s="36" t="str" cm="1">
        <f t="array" ref="F1151">GetNumber(D1151,2)</f>
        <v>5</v>
      </c>
      <c r="G1151" s="35">
        <v>11.1</v>
      </c>
      <c r="H1151" s="35">
        <v>10861</v>
      </c>
      <c r="I1151" s="35">
        <f>20.03*($T$2)</f>
        <v>40.06</v>
      </c>
      <c r="J1151" s="35">
        <f>222.4*($T$2)</f>
        <v>444.8</v>
      </c>
      <c r="K1151" s="35">
        <f t="shared" si="83"/>
        <v>13.475719424460433</v>
      </c>
      <c r="L1151" s="35">
        <f t="shared" si="84"/>
        <v>13.479780329505742</v>
      </c>
      <c r="M1151" s="35">
        <f>2.4325*($T$2)</f>
        <v>4.8650000000000002</v>
      </c>
      <c r="N1151" s="35">
        <f>51.4*(5280/3600)</f>
        <v>75.386666666666656</v>
      </c>
      <c r="O1151" s="35">
        <f t="shared" si="82"/>
        <v>1.09375</v>
      </c>
      <c r="P1151" s="35">
        <f t="shared" si="85"/>
        <v>65.559375000000003</v>
      </c>
      <c r="Q1151" s="35">
        <f>('Batt Capacity and Sys Weight'!$I$2) + (B1151*$T$2)</f>
        <v>38.373000000000005</v>
      </c>
      <c r="R1151" s="35">
        <f>'Batt Capacity and Sys Weight'!$H$2</f>
        <v>99.9</v>
      </c>
    </row>
    <row r="1152" spans="1:18" x14ac:dyDescent="0.3">
      <c r="A1152" s="35" t="s">
        <v>201</v>
      </c>
      <c r="B1152" s="35">
        <v>3.77</v>
      </c>
      <c r="C1152" s="35">
        <v>1050</v>
      </c>
      <c r="D1152" s="35" t="s">
        <v>131</v>
      </c>
      <c r="E1152" s="36" t="str" cm="1">
        <f t="array" ref="E1152">GetNumber(D1152,1)</f>
        <v>10</v>
      </c>
      <c r="F1152" s="36" t="str" cm="1">
        <f t="array" ref="F1152">GetNumber(D1152,2)</f>
        <v>6</v>
      </c>
      <c r="G1152" s="35">
        <v>11.1</v>
      </c>
      <c r="H1152" s="35">
        <v>10035</v>
      </c>
      <c r="I1152" s="35">
        <f>27.62*($T$2)</f>
        <v>55.24</v>
      </c>
      <c r="J1152" s="35">
        <f>306.5*($T$2)</f>
        <v>613</v>
      </c>
      <c r="K1152" s="35">
        <f t="shared" si="83"/>
        <v>9.778140293637847</v>
      </c>
      <c r="L1152" s="35">
        <f t="shared" si="84"/>
        <v>9.7755249818971759</v>
      </c>
      <c r="M1152" s="35">
        <f>3.130625*($T$2)</f>
        <v>6.2612500000000004</v>
      </c>
      <c r="N1152" s="35">
        <f>57*(5280/3600)</f>
        <v>83.6</v>
      </c>
      <c r="O1152" s="35">
        <f t="shared" si="82"/>
        <v>1.0214110929853182</v>
      </c>
      <c r="P1152" s="35">
        <f t="shared" si="85"/>
        <v>61.223380913539977</v>
      </c>
      <c r="Q1152" s="35">
        <f>('Batt Capacity and Sys Weight'!$I$2) + (B1152*$T$2)</f>
        <v>38.373000000000005</v>
      </c>
      <c r="R1152" s="35">
        <f>'Batt Capacity and Sys Weight'!$H$2</f>
        <v>99.9</v>
      </c>
    </row>
    <row r="1153" spans="1:18" x14ac:dyDescent="0.3">
      <c r="A1153" s="35" t="s">
        <v>201</v>
      </c>
      <c r="B1153" s="35">
        <v>3.77</v>
      </c>
      <c r="C1153" s="35">
        <v>1050</v>
      </c>
      <c r="D1153" s="35" t="s">
        <v>145</v>
      </c>
      <c r="E1153" s="36" t="str" cm="1">
        <f t="array" ref="E1153">GetNumber(D1153,1)</f>
        <v>8</v>
      </c>
      <c r="F1153" s="36" t="str" cm="1">
        <f t="array" ref="F1153">GetNumber(D1153,2)</f>
        <v>6</v>
      </c>
      <c r="G1153" s="35">
        <v>11.1</v>
      </c>
      <c r="H1153" s="35">
        <v>10765</v>
      </c>
      <c r="I1153" s="35">
        <f>21.03*($T$2)</f>
        <v>42.06</v>
      </c>
      <c r="J1153" s="35">
        <f>233.4*($T$2)</f>
        <v>466.8</v>
      </c>
      <c r="K1153" s="35">
        <f t="shared" si="83"/>
        <v>12.840616966580978</v>
      </c>
      <c r="L1153" s="35">
        <f t="shared" si="84"/>
        <v>12.838801711840228</v>
      </c>
      <c r="M1153" s="35">
        <f>2.319375*($T$2)</f>
        <v>4.6387499999999999</v>
      </c>
      <c r="N1153" s="35">
        <f>61.2*(5280/3600)</f>
        <v>89.759999999999991</v>
      </c>
      <c r="O1153" s="35">
        <f t="shared" si="82"/>
        <v>0.99373393316195369</v>
      </c>
      <c r="P1153" s="35">
        <f t="shared" si="85"/>
        <v>59.564411953727507</v>
      </c>
      <c r="Q1153" s="35">
        <f>('Batt Capacity and Sys Weight'!$I$2) + (B1153*$T$2)</f>
        <v>38.373000000000005</v>
      </c>
      <c r="R1153" s="35">
        <f>'Batt Capacity and Sys Weight'!$H$2</f>
        <v>99.9</v>
      </c>
    </row>
    <row r="1154" spans="1:18" x14ac:dyDescent="0.3">
      <c r="A1154" s="35" t="s">
        <v>201</v>
      </c>
      <c r="B1154" s="35">
        <v>3.77</v>
      </c>
      <c r="C1154" s="35">
        <v>1050</v>
      </c>
      <c r="D1154" s="35" t="s">
        <v>101</v>
      </c>
      <c r="E1154" s="36" t="str" cm="1">
        <f t="array" ref="E1154">GetNumber(D1154,1)</f>
        <v>9</v>
      </c>
      <c r="F1154" s="36" t="str" cm="1">
        <f t="array" ref="F1154">GetNumber(D1154,2)</f>
        <v>7</v>
      </c>
      <c r="G1154" s="35">
        <v>11.1</v>
      </c>
      <c r="H1154" s="35">
        <v>9716</v>
      </c>
      <c r="I1154" s="35">
        <f>30.6*($T$2)</f>
        <v>61.2</v>
      </c>
      <c r="J1154" s="35">
        <f>339.6*($T$2)</f>
        <v>679.2</v>
      </c>
      <c r="K1154" s="35">
        <f t="shared" si="83"/>
        <v>8.8250883392226136</v>
      </c>
      <c r="L1154" s="35">
        <f t="shared" si="84"/>
        <v>8.8235294117647065</v>
      </c>
      <c r="M1154" s="35">
        <f>3.115*($T$2)</f>
        <v>6.23</v>
      </c>
      <c r="N1154" s="35">
        <f>64.4*(5280/3600)</f>
        <v>94.453333333333333</v>
      </c>
      <c r="O1154" s="35">
        <f t="shared" ref="O1154:O1217" si="87" xml:space="preserve"> (M1154/J1154)*100</f>
        <v>0.91725559481743224</v>
      </c>
      <c r="P1154" s="35">
        <f t="shared" si="85"/>
        <v>54.980300353356888</v>
      </c>
      <c r="Q1154" s="35">
        <f>('Batt Capacity and Sys Weight'!$I$2) + (B1154*$T$2)</f>
        <v>38.373000000000005</v>
      </c>
      <c r="R1154" s="35">
        <f>'Batt Capacity and Sys Weight'!$H$2</f>
        <v>99.9</v>
      </c>
    </row>
    <row r="1155" spans="1:18" x14ac:dyDescent="0.3">
      <c r="A1155" s="35" t="s">
        <v>201</v>
      </c>
      <c r="B1155" s="35">
        <v>3.77</v>
      </c>
      <c r="C1155" s="35">
        <v>1050</v>
      </c>
      <c r="D1155" s="35" t="s">
        <v>79</v>
      </c>
      <c r="E1155" s="36" t="str" cm="1">
        <f t="array" ref="E1155">GetNumber(D1155,1)</f>
        <v>10</v>
      </c>
      <c r="F1155" s="36" t="str" cm="1">
        <f t="array" ref="F1155">GetNumber(D1155,2)</f>
        <v>5</v>
      </c>
      <c r="G1155" s="35">
        <v>11.1</v>
      </c>
      <c r="H1155" s="35">
        <v>9971</v>
      </c>
      <c r="I1155" s="35">
        <f>28.24*($T$2)</f>
        <v>56.48</v>
      </c>
      <c r="J1155" s="35">
        <f>313.4*($T$2)</f>
        <v>626.79999999999995</v>
      </c>
      <c r="K1155" s="35">
        <f t="shared" ref="K1155:K1218" si="88" xml:space="preserve"> (R1155/J1155)*60</f>
        <v>9.5628589661774104</v>
      </c>
      <c r="L1155" s="35">
        <f t="shared" ref="L1155:L1218" si="89">( (R1155/G1155)/I1155)*60</f>
        <v>9.5609065155807365</v>
      </c>
      <c r="M1155" s="35">
        <f>3.2625*($T$2)</f>
        <v>6.5250000000000004</v>
      </c>
      <c r="N1155" s="35">
        <f>47.2*(5280/3600)</f>
        <v>69.226666666666659</v>
      </c>
      <c r="O1155" s="35">
        <f t="shared" si="87"/>
        <v>1.0410019144862797</v>
      </c>
      <c r="P1155" s="35">
        <f t="shared" si="85"/>
        <v>62.397654754307609</v>
      </c>
      <c r="Q1155" s="35">
        <f>('Batt Capacity and Sys Weight'!$I$2) + (B1155*$T$2)</f>
        <v>38.373000000000005</v>
      </c>
      <c r="R1155" s="35">
        <f>'Batt Capacity and Sys Weight'!$H$2</f>
        <v>99.9</v>
      </c>
    </row>
    <row r="1156" spans="1:18" x14ac:dyDescent="0.3">
      <c r="A1156" s="35" t="s">
        <v>201</v>
      </c>
      <c r="B1156" s="35">
        <v>3.77</v>
      </c>
      <c r="C1156" s="35">
        <v>1050</v>
      </c>
      <c r="D1156" s="35" t="s">
        <v>148</v>
      </c>
      <c r="E1156" s="36" t="str" cm="1">
        <f t="array" ref="E1156">GetNumber(D1156,1)</f>
        <v>7</v>
      </c>
      <c r="F1156" s="36" t="str" cm="1">
        <f t="array" ref="F1156">GetNumber(D1156,2)</f>
        <v>5</v>
      </c>
      <c r="G1156" s="35">
        <v>14.8</v>
      </c>
      <c r="H1156" s="35">
        <v>14634</v>
      </c>
      <c r="I1156" s="35">
        <f>20.07*($T$2)</f>
        <v>40.14</v>
      </c>
      <c r="J1156" s="35">
        <f>297*($T$2)</f>
        <v>594</v>
      </c>
      <c r="K1156" s="35">
        <f t="shared" si="88"/>
        <v>9.8666666666666671</v>
      </c>
      <c r="L1156" s="35">
        <f t="shared" si="89"/>
        <v>9.8654708520179373</v>
      </c>
      <c r="M1156" s="35">
        <f>2.145*($T$2)</f>
        <v>4.29</v>
      </c>
      <c r="N1156" s="35">
        <f>69.3*(5280/3600)</f>
        <v>101.63999999999999</v>
      </c>
      <c r="O1156" s="35">
        <f t="shared" si="87"/>
        <v>0.72222222222222221</v>
      </c>
      <c r="P1156" s="35">
        <f t="shared" si="85"/>
        <v>42.328000000000003</v>
      </c>
      <c r="Q1156" s="35">
        <f>('Batt Capacity and Sys Weight'!$I$3) + (B1156*$T$2)</f>
        <v>33.928474999999999</v>
      </c>
      <c r="R1156" s="35">
        <f>'Batt Capacity and Sys Weight'!$H$3</f>
        <v>97.68</v>
      </c>
    </row>
    <row r="1157" spans="1:18" x14ac:dyDescent="0.3">
      <c r="A1157" s="35" t="s">
        <v>201</v>
      </c>
      <c r="B1157" s="35">
        <v>3.77</v>
      </c>
      <c r="C1157" s="35">
        <v>1050</v>
      </c>
      <c r="D1157" s="35" t="s">
        <v>149</v>
      </c>
      <c r="E1157" s="36" t="str" cm="1">
        <f t="array" ref="E1157">GetNumber(D1157,1)</f>
        <v>7</v>
      </c>
      <c r="F1157" s="36" t="str" cm="1">
        <f t="array" ref="F1157">GetNumber(D1157,2)</f>
        <v>6</v>
      </c>
      <c r="G1157" s="35">
        <v>14.8</v>
      </c>
      <c r="H1157" s="35">
        <v>14559</v>
      </c>
      <c r="I1157" s="35">
        <f>20.74*($T$2)</f>
        <v>41.48</v>
      </c>
      <c r="J1157" s="35">
        <f>307*($T$2)</f>
        <v>614</v>
      </c>
      <c r="K1157" s="35">
        <f t="shared" si="88"/>
        <v>9.5452768729641697</v>
      </c>
      <c r="L1157" s="35">
        <f t="shared" si="89"/>
        <v>9.5467695274831268</v>
      </c>
      <c r="M1157" s="35">
        <f>2.334375*($T$2)</f>
        <v>4.6687500000000002</v>
      </c>
      <c r="N1157" s="35">
        <f>82.7*(5280/3600)</f>
        <v>121.29333333333332</v>
      </c>
      <c r="O1157" s="35">
        <f t="shared" si="87"/>
        <v>0.76038273615635188</v>
      </c>
      <c r="P1157" s="35">
        <f t="shared" si="85"/>
        <v>44.564511400651469</v>
      </c>
      <c r="Q1157" s="35">
        <f>('Batt Capacity and Sys Weight'!$I$3) + (B1157*$T$2)</f>
        <v>33.928474999999999</v>
      </c>
      <c r="R1157" s="35">
        <f>'Batt Capacity and Sys Weight'!$H$3</f>
        <v>97.68</v>
      </c>
    </row>
    <row r="1158" spans="1:18" x14ac:dyDescent="0.3">
      <c r="A1158" s="35" t="s">
        <v>201</v>
      </c>
      <c r="B1158" s="35">
        <v>3.77</v>
      </c>
      <c r="C1158" s="35">
        <v>1050</v>
      </c>
      <c r="D1158" s="35" t="s">
        <v>125</v>
      </c>
      <c r="E1158" s="36" t="str" cm="1">
        <f t="array" ref="E1158">GetNumber(D1158,1)</f>
        <v>7</v>
      </c>
      <c r="F1158" s="36" t="str" cm="1">
        <f t="array" ref="F1158">GetNumber(D1158,2)</f>
        <v>7</v>
      </c>
      <c r="G1158" s="35">
        <v>14.8</v>
      </c>
      <c r="H1158" s="35">
        <v>14070</v>
      </c>
      <c r="I1158" s="35">
        <f>25.3*($T$2)</f>
        <v>50.6</v>
      </c>
      <c r="J1158" s="35">
        <f>374.4*($T$2)</f>
        <v>748.8</v>
      </c>
      <c r="K1158" s="35">
        <f t="shared" si="88"/>
        <v>7.8269230769230775</v>
      </c>
      <c r="L1158" s="35">
        <f t="shared" si="89"/>
        <v>7.8260869565217392</v>
      </c>
      <c r="M1158" s="35">
        <f>2.261875*($T$2)</f>
        <v>4.5237499999999997</v>
      </c>
      <c r="N1158" s="35">
        <f>93.3*(5280/3600)</f>
        <v>136.83999999999997</v>
      </c>
      <c r="O1158" s="35">
        <f t="shared" si="87"/>
        <v>0.60413327991452992</v>
      </c>
      <c r="P1158" s="35">
        <f t="shared" si="85"/>
        <v>35.407043269230769</v>
      </c>
      <c r="Q1158" s="35">
        <f>('Batt Capacity and Sys Weight'!$I$3) + (B1158*$T$2)</f>
        <v>33.928474999999999</v>
      </c>
      <c r="R1158" s="35">
        <f>'Batt Capacity and Sys Weight'!$H$3</f>
        <v>97.68</v>
      </c>
    </row>
    <row r="1159" spans="1:18" x14ac:dyDescent="0.3">
      <c r="A1159" s="35" t="s">
        <v>201</v>
      </c>
      <c r="B1159" s="35">
        <v>3.77</v>
      </c>
      <c r="C1159" s="35">
        <v>1050</v>
      </c>
      <c r="D1159" s="35" t="s">
        <v>126</v>
      </c>
      <c r="E1159" s="36" t="str" cm="1">
        <f t="array" ref="E1159">GetNumber(D1159,1)</f>
        <v>8</v>
      </c>
      <c r="F1159" s="36" t="str" cm="1">
        <f t="array" ref="F1159">GetNumber(D1159,2)</f>
        <v>4</v>
      </c>
      <c r="G1159" s="35">
        <v>14.8</v>
      </c>
      <c r="H1159" s="35">
        <v>14260</v>
      </c>
      <c r="I1159" s="35">
        <f>23.53*($T$2)</f>
        <v>47.06</v>
      </c>
      <c r="J1159" s="35">
        <f>348.2*($T$2)</f>
        <v>696.4</v>
      </c>
      <c r="K1159" s="35">
        <f t="shared" si="88"/>
        <v>8.4158529580700758</v>
      </c>
      <c r="L1159" s="35">
        <f t="shared" si="89"/>
        <v>8.4147896302592429</v>
      </c>
      <c r="M1159" s="35">
        <f>2.951875*($T$2)</f>
        <v>5.9037499999999996</v>
      </c>
      <c r="N1159" s="35">
        <f>54*(5280/3600)</f>
        <v>79.199999999999989</v>
      </c>
      <c r="O1159" s="35">
        <f t="shared" si="87"/>
        <v>0.84775272831705917</v>
      </c>
      <c r="P1159" s="35">
        <f t="shared" si="85"/>
        <v>49.685091901206206</v>
      </c>
      <c r="Q1159" s="35">
        <f>('Batt Capacity and Sys Weight'!$I$3) + (B1159*$T$2)</f>
        <v>33.928474999999999</v>
      </c>
      <c r="R1159" s="35">
        <f>'Batt Capacity and Sys Weight'!$H$3</f>
        <v>97.68</v>
      </c>
    </row>
    <row r="1160" spans="1:18" x14ac:dyDescent="0.3">
      <c r="A1160" s="35" t="s">
        <v>201</v>
      </c>
      <c r="B1160" s="35">
        <v>3.77</v>
      </c>
      <c r="C1160" s="35">
        <v>1050</v>
      </c>
      <c r="D1160" s="35" t="s">
        <v>141</v>
      </c>
      <c r="E1160" s="36" t="str" cm="1">
        <f t="array" ref="E1160">GetNumber(D1160,1)</f>
        <v>7</v>
      </c>
      <c r="F1160" s="36" t="str" cm="1">
        <f t="array" ref="F1160">GetNumber(D1160,2)</f>
        <v>6</v>
      </c>
      <c r="G1160" s="35">
        <v>14.8</v>
      </c>
      <c r="H1160" s="35">
        <v>14270</v>
      </c>
      <c r="I1160" s="35">
        <f>23.53*($T$2)</f>
        <v>47.06</v>
      </c>
      <c r="J1160" s="35">
        <f>348.2*($T$2)</f>
        <v>696.4</v>
      </c>
      <c r="K1160" s="35">
        <f t="shared" si="88"/>
        <v>8.4158529580700758</v>
      </c>
      <c r="L1160" s="35">
        <f t="shared" si="89"/>
        <v>8.4147896302592429</v>
      </c>
      <c r="M1160" s="35">
        <f>1.814375*($T$2)</f>
        <v>3.6287500000000001</v>
      </c>
      <c r="N1160" s="35">
        <f>81.1*(5280/3600)</f>
        <v>118.94666666666664</v>
      </c>
      <c r="O1160" s="35">
        <f t="shared" si="87"/>
        <v>0.52107265939115455</v>
      </c>
      <c r="P1160" s="35">
        <f t="shared" si="85"/>
        <v>30.539026421596787</v>
      </c>
      <c r="Q1160" s="35">
        <f>('Batt Capacity and Sys Weight'!$I$3) + (B1160*$T$2)</f>
        <v>33.928474999999999</v>
      </c>
      <c r="R1160" s="35">
        <f>'Batt Capacity and Sys Weight'!$H$3</f>
        <v>97.68</v>
      </c>
    </row>
    <row r="1161" spans="1:18" x14ac:dyDescent="0.3">
      <c r="A1161" s="35" t="s">
        <v>201</v>
      </c>
      <c r="B1161" s="35">
        <v>3.77</v>
      </c>
      <c r="C1161" s="35">
        <v>1050</v>
      </c>
      <c r="D1161" s="35" t="s">
        <v>142</v>
      </c>
      <c r="E1161" s="36">
        <v>7.5</v>
      </c>
      <c r="F1161" s="36" t="str" cm="1">
        <f t="array" ref="F1161">GetNumber(D1161,3)</f>
        <v>4</v>
      </c>
      <c r="G1161" s="35">
        <v>14.8</v>
      </c>
      <c r="H1161" s="35">
        <v>13399</v>
      </c>
      <c r="I1161" s="35">
        <f>31.04*($T$2)</f>
        <v>62.08</v>
      </c>
      <c r="J1161" s="35">
        <f>459.3*($T$2)</f>
        <v>918.6</v>
      </c>
      <c r="K1161" s="35">
        <f t="shared" si="88"/>
        <v>6.3801436969301122</v>
      </c>
      <c r="L1161" s="35">
        <f t="shared" si="89"/>
        <v>6.3788659793814437</v>
      </c>
      <c r="M1161" s="35">
        <f>2.95*($T$2)</f>
        <v>5.9</v>
      </c>
      <c r="N1161" s="35">
        <f>50.8*(5280/3600)</f>
        <v>74.506666666666661</v>
      </c>
      <c r="O1161" s="35">
        <f t="shared" si="87"/>
        <v>0.64228173307206615</v>
      </c>
      <c r="P1161" s="35">
        <f t="shared" si="85"/>
        <v>37.642847811887663</v>
      </c>
      <c r="Q1161" s="35">
        <f>('Batt Capacity and Sys Weight'!$I$3) + (B1161*$T$2)</f>
        <v>33.928474999999999</v>
      </c>
      <c r="R1161" s="35">
        <f>'Batt Capacity and Sys Weight'!$H$3</f>
        <v>97.68</v>
      </c>
    </row>
    <row r="1162" spans="1:18" x14ac:dyDescent="0.3">
      <c r="A1162" s="35" t="s">
        <v>201</v>
      </c>
      <c r="B1162" s="35">
        <v>3.77</v>
      </c>
      <c r="C1162" s="35">
        <v>1050</v>
      </c>
      <c r="D1162" s="35" t="s">
        <v>143</v>
      </c>
      <c r="E1162" s="36" t="str" cm="1">
        <f t="array" ref="E1162">GetNumber(D1162,1)</f>
        <v>8</v>
      </c>
      <c r="F1162" s="36" t="str" cm="1">
        <f t="array" ref="F1162">GetNumber(D1162,2)</f>
        <v>5</v>
      </c>
      <c r="G1162" s="35">
        <v>14.8</v>
      </c>
      <c r="H1162" s="35">
        <v>14435</v>
      </c>
      <c r="I1162" s="35">
        <f>22.03*($T$2)</f>
        <v>44.06</v>
      </c>
      <c r="J1162" s="35">
        <f>326*($T$2)</f>
        <v>652</v>
      </c>
      <c r="K1162" s="35">
        <f t="shared" si="88"/>
        <v>8.9889570552147244</v>
      </c>
      <c r="L1162" s="35">
        <f t="shared" si="89"/>
        <v>8.9877439854743528</v>
      </c>
      <c r="M1162" s="35">
        <f>2.8*($T$2)</f>
        <v>5.6</v>
      </c>
      <c r="N1162" s="35">
        <f>68.3*(5280/3600)</f>
        <v>100.17333333333332</v>
      </c>
      <c r="O1162" s="35">
        <f t="shared" si="87"/>
        <v>0.85889570552147232</v>
      </c>
      <c r="P1162" s="35">
        <f t="shared" si="85"/>
        <v>50.338159509202455</v>
      </c>
      <c r="Q1162" s="35">
        <f>('Batt Capacity and Sys Weight'!$I$3) + (B1162*$T$2)</f>
        <v>33.928474999999999</v>
      </c>
      <c r="R1162" s="35">
        <f>'Batt Capacity and Sys Weight'!$H$3</f>
        <v>97.68</v>
      </c>
    </row>
    <row r="1163" spans="1:18" x14ac:dyDescent="0.3">
      <c r="A1163" s="35" t="s">
        <v>201</v>
      </c>
      <c r="B1163" s="35">
        <v>3.77</v>
      </c>
      <c r="C1163" s="35">
        <v>1050</v>
      </c>
      <c r="D1163" s="35" t="s">
        <v>130</v>
      </c>
      <c r="E1163" s="36" t="str" cm="1">
        <f t="array" ref="E1163">GetNumber(D1163,1)</f>
        <v>9</v>
      </c>
      <c r="F1163" s="36" t="str" cm="1">
        <f t="array" ref="F1163">GetNumber(D1163,2)</f>
        <v>5</v>
      </c>
      <c r="G1163" s="35">
        <v>14.8</v>
      </c>
      <c r="H1163" s="35">
        <v>13573</v>
      </c>
      <c r="I1163" s="35">
        <f>29.85*($T$2)</f>
        <v>59.7</v>
      </c>
      <c r="J1163" s="35">
        <f>441.7*($T$2)</f>
        <v>883.4</v>
      </c>
      <c r="K1163" s="35">
        <f t="shared" si="88"/>
        <v>6.634367217568486</v>
      </c>
      <c r="L1163" s="35">
        <f t="shared" si="89"/>
        <v>6.6331658291457289</v>
      </c>
      <c r="M1163" s="35">
        <f>3.800625*($T$2)</f>
        <v>7.6012500000000003</v>
      </c>
      <c r="N1163" s="35">
        <f>64.3*(5280/3600)</f>
        <v>94.306666666666658</v>
      </c>
      <c r="O1163" s="35">
        <f t="shared" si="87"/>
        <v>0.86045392800543352</v>
      </c>
      <c r="P1163" s="35">
        <f t="shared" si="85"/>
        <v>50.429483812542458</v>
      </c>
      <c r="Q1163" s="35">
        <f>('Batt Capacity and Sys Weight'!$I$3) + (B1163*$T$2)</f>
        <v>33.928474999999999</v>
      </c>
      <c r="R1163" s="35">
        <f>'Batt Capacity and Sys Weight'!$H$3</f>
        <v>97.68</v>
      </c>
    </row>
    <row r="1164" spans="1:18" x14ac:dyDescent="0.3">
      <c r="A1164" s="35" t="s">
        <v>201</v>
      </c>
      <c r="B1164" s="35">
        <v>3.77</v>
      </c>
      <c r="C1164" s="35">
        <v>1050</v>
      </c>
      <c r="D1164" s="35" t="s">
        <v>145</v>
      </c>
      <c r="E1164" s="36" t="str" cm="1">
        <f t="array" ref="E1164">GetNumber(D1164,1)</f>
        <v>8</v>
      </c>
      <c r="F1164" s="36" t="str" cm="1">
        <f t="array" ref="F1164">GetNumber(D1164,2)</f>
        <v>6</v>
      </c>
      <c r="G1164" s="35">
        <v>14.8</v>
      </c>
      <c r="H1164" s="35">
        <v>13383</v>
      </c>
      <c r="I1164" s="35">
        <f>31.41*($T$2)</f>
        <v>62.82</v>
      </c>
      <c r="J1164" s="35">
        <f>464.9*($T$2)</f>
        <v>929.8</v>
      </c>
      <c r="K1164" s="35">
        <f t="shared" si="88"/>
        <v>6.3032910303291034</v>
      </c>
      <c r="L1164" s="35">
        <f t="shared" si="89"/>
        <v>6.303724928366762</v>
      </c>
      <c r="M1164" s="35">
        <f>3.650625*($T$2)</f>
        <v>7.3012499999999996</v>
      </c>
      <c r="N1164" s="35">
        <f>76*(5280/3600)</f>
        <v>111.46666666666665</v>
      </c>
      <c r="O1164" s="35">
        <f t="shared" si="87"/>
        <v>0.78524951602495163</v>
      </c>
      <c r="P1164" s="35">
        <f t="shared" si="85"/>
        <v>46.021903635190363</v>
      </c>
      <c r="Q1164" s="35">
        <f>('Batt Capacity and Sys Weight'!$I$3) + (B1164*$T$2)</f>
        <v>33.928474999999999</v>
      </c>
      <c r="R1164" s="35">
        <f>'Batt Capacity and Sys Weight'!$H$3</f>
        <v>97.68</v>
      </c>
    </row>
    <row r="1165" spans="1:18" x14ac:dyDescent="0.3">
      <c r="A1165" s="35" t="s">
        <v>201</v>
      </c>
      <c r="B1165" s="35">
        <v>3.77</v>
      </c>
      <c r="C1165" s="35">
        <v>1050</v>
      </c>
      <c r="D1165" s="35" t="s">
        <v>146</v>
      </c>
      <c r="E1165" s="36" t="str" cm="1">
        <f t="array" ref="E1165">GetNumber(D1165,1)</f>
        <v>7</v>
      </c>
      <c r="F1165" s="36" t="str" cm="1">
        <f t="array" ref="F1165">GetNumber(D1165,2)</f>
        <v>4</v>
      </c>
      <c r="G1165" s="35">
        <v>18.5</v>
      </c>
      <c r="H1165" s="35">
        <v>17904</v>
      </c>
      <c r="I1165" s="35">
        <f>23.86*($T$2)</f>
        <v>47.72</v>
      </c>
      <c r="J1165" s="35">
        <f>441.5*($T$2)</f>
        <v>883</v>
      </c>
      <c r="K1165" s="35">
        <f t="shared" si="88"/>
        <v>6.2853907134767839</v>
      </c>
      <c r="L1165" s="35">
        <f t="shared" si="89"/>
        <v>6.2866722548197824</v>
      </c>
      <c r="M1165" s="35">
        <f>3.2275*($T$2)</f>
        <v>6.4550000000000001</v>
      </c>
      <c r="N1165" s="35">
        <f>67.8*(5280/3600)</f>
        <v>99.439999999999984</v>
      </c>
      <c r="O1165" s="35">
        <f t="shared" si="87"/>
        <v>0.73103057757644396</v>
      </c>
      <c r="P1165" s="35">
        <f t="shared" si="85"/>
        <v>40.572197055492637</v>
      </c>
      <c r="Q1165" s="35">
        <f>('Batt Capacity and Sys Weight'!$I$4) + (B1165*$T$2)</f>
        <v>34.704503000000003</v>
      </c>
      <c r="R1165" s="35">
        <f>'Batt Capacity and Sys Weight'!$H$4</f>
        <v>92.5</v>
      </c>
    </row>
    <row r="1166" spans="1:18" x14ac:dyDescent="0.3">
      <c r="A1166" s="35" t="s">
        <v>201</v>
      </c>
      <c r="B1166" s="35">
        <v>3.77</v>
      </c>
      <c r="C1166" s="35">
        <v>1050</v>
      </c>
      <c r="D1166" s="35" t="s">
        <v>148</v>
      </c>
      <c r="E1166" s="36" t="str" cm="1">
        <f t="array" ref="E1166">GetNumber(D1166,1)</f>
        <v>7</v>
      </c>
      <c r="F1166" s="36" t="str" cm="1">
        <f t="array" ref="F1166">GetNumber(D1166,2)</f>
        <v>5</v>
      </c>
      <c r="G1166" s="35">
        <v>18.5</v>
      </c>
      <c r="H1166" s="35">
        <v>17308</v>
      </c>
      <c r="I1166" s="35">
        <f>29.15*($T$2)</f>
        <v>58.3</v>
      </c>
      <c r="J1166" s="35">
        <f>539.2*($T$2)</f>
        <v>1078.4000000000001</v>
      </c>
      <c r="K1166" s="35">
        <f t="shared" si="88"/>
        <v>5.1465133531157266</v>
      </c>
      <c r="L1166" s="35">
        <f t="shared" si="89"/>
        <v>5.1457975986277882</v>
      </c>
      <c r="M1166" s="35">
        <f>3.0775*($T$2)</f>
        <v>6.1550000000000002</v>
      </c>
      <c r="N1166" s="35">
        <f>82*(5280/3600)</f>
        <v>120.26666666666665</v>
      </c>
      <c r="O1166" s="35">
        <f t="shared" si="87"/>
        <v>0.57075296735905034</v>
      </c>
      <c r="P1166" s="35">
        <f t="shared" si="85"/>
        <v>31.676789688427299</v>
      </c>
      <c r="Q1166" s="35">
        <f>('Batt Capacity and Sys Weight'!$I$4) + (B1166*$T$2)</f>
        <v>34.704503000000003</v>
      </c>
      <c r="R1166" s="35">
        <f>'Batt Capacity and Sys Weight'!$H$4</f>
        <v>92.5</v>
      </c>
    </row>
    <row r="1167" spans="1:18" x14ac:dyDescent="0.3">
      <c r="A1167" s="35" t="s">
        <v>201</v>
      </c>
      <c r="B1167" s="35">
        <v>3.77</v>
      </c>
      <c r="C1167" s="35">
        <v>1050</v>
      </c>
      <c r="D1167" s="35" t="s">
        <v>149</v>
      </c>
      <c r="E1167" s="36" t="str" cm="1">
        <f t="array" ref="E1167">GetNumber(D1167,1)</f>
        <v>7</v>
      </c>
      <c r="F1167" s="36" t="str" cm="1">
        <f t="array" ref="F1167">GetNumber(D1167,2)</f>
        <v>6</v>
      </c>
      <c r="G1167" s="35">
        <v>18.5</v>
      </c>
      <c r="H1167" s="35">
        <v>17214</v>
      </c>
      <c r="I1167" s="35">
        <f>29.96*($T$2)</f>
        <v>59.92</v>
      </c>
      <c r="J1167" s="35">
        <f>554.2*($T$2)</f>
        <v>1108.4000000000001</v>
      </c>
      <c r="K1167" s="35">
        <f t="shared" si="88"/>
        <v>5.0072176109707689</v>
      </c>
      <c r="L1167" s="35">
        <f t="shared" si="89"/>
        <v>5.0066755674232315</v>
      </c>
      <c r="M1167" s="35">
        <f>3.271875*($T$2)</f>
        <v>6.5437500000000002</v>
      </c>
      <c r="N1167" s="35">
        <f>97.8*(5280/3600)</f>
        <v>143.44</v>
      </c>
      <c r="O1167" s="35">
        <f t="shared" si="87"/>
        <v>0.59037802237459402</v>
      </c>
      <c r="P1167" s="35">
        <f t="shared" si="85"/>
        <v>32.765980241789968</v>
      </c>
      <c r="Q1167" s="35">
        <f>('Batt Capacity and Sys Weight'!$I$4) + (B1167*$T$2)</f>
        <v>34.704503000000003</v>
      </c>
      <c r="R1167" s="35">
        <f>'Batt Capacity and Sys Weight'!$H$4</f>
        <v>92.5</v>
      </c>
    </row>
    <row r="1168" spans="1:18" x14ac:dyDescent="0.3">
      <c r="A1168" s="35" t="s">
        <v>201</v>
      </c>
      <c r="B1168" s="35">
        <v>3.77</v>
      </c>
      <c r="C1168" s="35">
        <v>1050</v>
      </c>
      <c r="D1168" s="35" t="s">
        <v>141</v>
      </c>
      <c r="E1168" s="36" t="str" cm="1">
        <f t="array" ref="E1168">GetNumber(D1168,1)</f>
        <v>7</v>
      </c>
      <c r="F1168" s="36" t="str" cm="1">
        <f t="array" ref="F1168">GetNumber(D1168,2)</f>
        <v>6</v>
      </c>
      <c r="G1168" s="35">
        <v>18.5</v>
      </c>
      <c r="H1168" s="35">
        <v>17069</v>
      </c>
      <c r="I1168" s="35">
        <f>31.09*($T$2)</f>
        <v>62.18</v>
      </c>
      <c r="J1168" s="35">
        <f>575.2*($T$2)</f>
        <v>1150.4000000000001</v>
      </c>
      <c r="K1168" s="35">
        <f t="shared" si="88"/>
        <v>4.8244089012517382</v>
      </c>
      <c r="L1168" s="35">
        <f t="shared" si="89"/>
        <v>4.8247024766806046</v>
      </c>
      <c r="M1168" s="35">
        <f>2.608125*($T$2)</f>
        <v>5.2162499999999996</v>
      </c>
      <c r="N1168" s="35">
        <f>97*(5280/3600)</f>
        <v>142.26666666666665</v>
      </c>
      <c r="O1168" s="35">
        <f t="shared" si="87"/>
        <v>0.45342924200278162</v>
      </c>
      <c r="P1168" s="35">
        <f t="shared" si="85"/>
        <v>25.165322931154378</v>
      </c>
      <c r="Q1168" s="35">
        <f>('Batt Capacity and Sys Weight'!$I$4) + (B1168*$T$2)</f>
        <v>34.704503000000003</v>
      </c>
      <c r="R1168" s="35">
        <f>'Batt Capacity and Sys Weight'!$H$4</f>
        <v>92.5</v>
      </c>
    </row>
    <row r="1169" spans="1:18" x14ac:dyDescent="0.3">
      <c r="A1169" s="35" t="s">
        <v>201</v>
      </c>
      <c r="B1169" s="35">
        <v>3.77</v>
      </c>
      <c r="C1169" s="35">
        <v>1050</v>
      </c>
      <c r="D1169" s="35" t="s">
        <v>143</v>
      </c>
      <c r="E1169" s="36" t="str" cm="1">
        <f t="array" ref="E1169">GetNumber(D1169,1)</f>
        <v>8</v>
      </c>
      <c r="F1169" s="36" t="str" cm="1">
        <f t="array" ref="F1169">GetNumber(D1169,2)</f>
        <v>5</v>
      </c>
      <c r="G1169" s="35">
        <v>18.5</v>
      </c>
      <c r="H1169" s="35">
        <v>17215</v>
      </c>
      <c r="I1169" s="35">
        <f>29.9*($T$2)</f>
        <v>59.8</v>
      </c>
      <c r="J1169" s="35">
        <f>553.2*($T$2)</f>
        <v>1106.4000000000001</v>
      </c>
      <c r="K1169" s="35">
        <f t="shared" si="88"/>
        <v>5.0162689804772231</v>
      </c>
      <c r="L1169" s="35">
        <f t="shared" si="89"/>
        <v>5.0167224080267561</v>
      </c>
      <c r="M1169" s="35">
        <f>3.96625*($T$2)</f>
        <v>7.9325000000000001</v>
      </c>
      <c r="N1169" s="35">
        <f>81.5*(5280/3600)</f>
        <v>119.53333333333333</v>
      </c>
      <c r="O1169" s="35">
        <f t="shared" si="87"/>
        <v>0.71696493130874905</v>
      </c>
      <c r="P1169" s="35">
        <f t="shared" ref="P1169:P1232" si="90">M1169*K1169</f>
        <v>39.79155368763557</v>
      </c>
      <c r="Q1169" s="35">
        <f>('Batt Capacity and Sys Weight'!$I$4) + (B1169*$T$2)</f>
        <v>34.704503000000003</v>
      </c>
      <c r="R1169" s="35">
        <f>'Batt Capacity and Sys Weight'!$H$4</f>
        <v>92.5</v>
      </c>
    </row>
    <row r="1170" spans="1:18" x14ac:dyDescent="0.3">
      <c r="A1170" s="35" t="s">
        <v>201</v>
      </c>
      <c r="B1170" s="35">
        <v>3.77</v>
      </c>
      <c r="C1170" s="35">
        <v>1050</v>
      </c>
      <c r="D1170" s="35" t="s">
        <v>144</v>
      </c>
      <c r="E1170" s="36" t="str" cm="1">
        <f t="array" ref="E1170">GetNumber(D1170,1)</f>
        <v>7</v>
      </c>
      <c r="F1170" s="36" t="str" cm="1">
        <f t="array" ref="F1170">GetNumber(D1170,2)</f>
        <v>4</v>
      </c>
      <c r="G1170" s="35">
        <v>18.5</v>
      </c>
      <c r="H1170" s="35">
        <v>18001</v>
      </c>
      <c r="I1170" s="35">
        <f>23.06*($T$2)</f>
        <v>46.12</v>
      </c>
      <c r="J1170" s="35">
        <f>426.6*($T$2)</f>
        <v>853.2</v>
      </c>
      <c r="K1170" s="35">
        <f t="shared" si="88"/>
        <v>6.50492264416315</v>
      </c>
      <c r="L1170" s="35">
        <f t="shared" si="89"/>
        <v>6.5047701647875114</v>
      </c>
      <c r="M1170" s="35">
        <f>3.01375*($T$2)</f>
        <v>6.0274999999999999</v>
      </c>
      <c r="N1170" s="35">
        <f>68.2*(5280/3600)</f>
        <v>100.02666666666667</v>
      </c>
      <c r="O1170" s="35">
        <f t="shared" si="87"/>
        <v>0.70645804031879977</v>
      </c>
      <c r="P1170" s="35">
        <f t="shared" si="90"/>
        <v>39.208421237693386</v>
      </c>
      <c r="Q1170" s="35">
        <f>('Batt Capacity and Sys Weight'!$I$4) + (B1170*$T$2)</f>
        <v>34.704503000000003</v>
      </c>
      <c r="R1170" s="35">
        <f>'Batt Capacity and Sys Weight'!$H$4</f>
        <v>92.5</v>
      </c>
    </row>
    <row r="1171" spans="1:18" x14ac:dyDescent="0.3">
      <c r="A1171" s="35" t="s">
        <v>201</v>
      </c>
      <c r="B1171" s="35">
        <v>3.77</v>
      </c>
      <c r="C1171" s="35">
        <v>1050</v>
      </c>
      <c r="D1171" s="35" t="s">
        <v>202</v>
      </c>
      <c r="E1171" s="36">
        <v>6</v>
      </c>
      <c r="F1171" s="36">
        <v>4.3</v>
      </c>
      <c r="G1171" s="35">
        <v>22.2</v>
      </c>
      <c r="H1171" s="35">
        <v>21532</v>
      </c>
      <c r="I1171" s="35">
        <f>23.65*($T$2)</f>
        <v>47.3</v>
      </c>
      <c r="J1171" s="35">
        <f>525*($T$2)</f>
        <v>1050</v>
      </c>
      <c r="K1171" s="35">
        <f t="shared" si="88"/>
        <v>5.7085714285714291</v>
      </c>
      <c r="L1171" s="35">
        <f t="shared" si="89"/>
        <v>5.7082452431289648</v>
      </c>
      <c r="M1171" s="35">
        <f>3.2075*($T$2)</f>
        <v>6.415</v>
      </c>
      <c r="N1171" s="35">
        <f>87.7*(5280/3600)</f>
        <v>128.62666666666667</v>
      </c>
      <c r="O1171" s="35">
        <f t="shared" si="87"/>
        <v>0.61095238095238091</v>
      </c>
      <c r="P1171" s="35">
        <f t="shared" si="90"/>
        <v>36.620485714285721</v>
      </c>
      <c r="Q1171" s="35">
        <f>('Batt Capacity and Sys Weight'!$I$5) + (B1171*$T$2)</f>
        <v>39.113753000000003</v>
      </c>
      <c r="R1171" s="35">
        <f>'Batt Capacity and Sys Weight'!$H$5</f>
        <v>99.9</v>
      </c>
    </row>
    <row r="1172" spans="1:18" x14ac:dyDescent="0.3">
      <c r="A1172" s="35" t="s">
        <v>201</v>
      </c>
      <c r="B1172" s="35">
        <v>3.77</v>
      </c>
      <c r="C1172" s="35">
        <v>1050</v>
      </c>
      <c r="D1172" s="35" t="s">
        <v>151</v>
      </c>
      <c r="E1172" s="36" t="str" cm="1">
        <f t="array" ref="E1172">GetNumber(D1172,1)</f>
        <v>6</v>
      </c>
      <c r="F1172" s="36" cm="1">
        <f t="array" ref="F1172">GetNumber(D1172,2)+(GetNumber(D1172,3)/10)</f>
        <v>4.5</v>
      </c>
      <c r="G1172" s="35">
        <v>22.2</v>
      </c>
      <c r="H1172" s="35">
        <v>21695</v>
      </c>
      <c r="I1172" s="35">
        <f>22.3*($T$2)</f>
        <v>44.6</v>
      </c>
      <c r="J1172" s="35">
        <f>495*($T$2)</f>
        <v>990</v>
      </c>
      <c r="K1172" s="35">
        <f t="shared" si="88"/>
        <v>6.0545454545454556</v>
      </c>
      <c r="L1172" s="35">
        <f t="shared" si="89"/>
        <v>6.0538116591928253</v>
      </c>
      <c r="M1172" s="35">
        <f>3.18375*($T$2)</f>
        <v>6.3674999999999997</v>
      </c>
      <c r="N1172" s="35">
        <f>92.5*(5280/3600)</f>
        <v>135.66666666666666</v>
      </c>
      <c r="O1172" s="35">
        <f t="shared" si="87"/>
        <v>0.64318181818181819</v>
      </c>
      <c r="P1172" s="35">
        <f t="shared" si="90"/>
        <v>38.552318181818187</v>
      </c>
      <c r="Q1172" s="35">
        <f>('Batt Capacity and Sys Weight'!$I$5) + (B1172*$T$2)</f>
        <v>39.113753000000003</v>
      </c>
      <c r="R1172" s="35">
        <f>'Batt Capacity and Sys Weight'!$H$5</f>
        <v>99.9</v>
      </c>
    </row>
    <row r="1173" spans="1:18" x14ac:dyDescent="0.3">
      <c r="A1173" s="35" t="s">
        <v>201</v>
      </c>
      <c r="B1173" s="35">
        <v>3.77</v>
      </c>
      <c r="C1173" s="35">
        <v>1050</v>
      </c>
      <c r="D1173" s="35" t="s">
        <v>161</v>
      </c>
      <c r="E1173" s="36" t="str" cm="1">
        <f t="array" ref="E1173">GetNumber(D1173,1)</f>
        <v>6</v>
      </c>
      <c r="F1173" s="36" cm="1">
        <f t="array" ref="F1173">GetNumber(D1173,2)+(GetNumber(D1173,3)/10)</f>
        <v>5.5</v>
      </c>
      <c r="G1173" s="35">
        <v>22.2</v>
      </c>
      <c r="H1173" s="35">
        <v>21795</v>
      </c>
      <c r="I1173" s="35">
        <f>21.39*($T$2)</f>
        <v>42.78</v>
      </c>
      <c r="J1173" s="35">
        <f>474.9*($T$2)</f>
        <v>949.8</v>
      </c>
      <c r="K1173" s="35">
        <f t="shared" si="88"/>
        <v>6.3108022741629828</v>
      </c>
      <c r="L1173" s="35">
        <f t="shared" si="89"/>
        <v>6.3113604488078536</v>
      </c>
      <c r="M1173" s="35">
        <f>2.405*($T$2)</f>
        <v>4.8099999999999996</v>
      </c>
      <c r="N1173" s="35">
        <f>113.5*(5280/3600)</f>
        <v>166.46666666666667</v>
      </c>
      <c r="O1173" s="35">
        <f t="shared" si="87"/>
        <v>0.50642240471678246</v>
      </c>
      <c r="P1173" s="35">
        <f t="shared" si="90"/>
        <v>30.354958938723946</v>
      </c>
      <c r="Q1173" s="35">
        <f>('Batt Capacity and Sys Weight'!$I$5) + (B1173*$T$2)</f>
        <v>39.113753000000003</v>
      </c>
      <c r="R1173" s="35">
        <f>'Batt Capacity and Sys Weight'!$H$5</f>
        <v>99.9</v>
      </c>
    </row>
    <row r="1174" spans="1:18" x14ac:dyDescent="0.3">
      <c r="A1174" s="35" t="s">
        <v>201</v>
      </c>
      <c r="B1174" s="35">
        <v>3.77</v>
      </c>
      <c r="C1174" s="35">
        <v>1050</v>
      </c>
      <c r="D1174" s="35" t="s">
        <v>152</v>
      </c>
      <c r="E1174" s="36" t="str" cm="1">
        <f t="array" ref="E1174">GetNumber(D1174,1)</f>
        <v>6</v>
      </c>
      <c r="F1174" s="36" t="str" cm="1">
        <f t="array" ref="F1174">GetNumber(D1174,2)</f>
        <v>6</v>
      </c>
      <c r="G1174" s="35">
        <v>22.2</v>
      </c>
      <c r="H1174" s="35">
        <v>21404</v>
      </c>
      <c r="I1174" s="35">
        <f>24.42*($T$2)</f>
        <v>48.84</v>
      </c>
      <c r="J1174" s="35">
        <f>542.1*($T$2)</f>
        <v>1084.2</v>
      </c>
      <c r="K1174" s="35">
        <f t="shared" si="88"/>
        <v>5.5285002767017151</v>
      </c>
      <c r="L1174" s="35">
        <f t="shared" si="89"/>
        <v>5.5282555282555279</v>
      </c>
      <c r="M1174" s="35">
        <f>2.445*($T$2)</f>
        <v>4.8899999999999997</v>
      </c>
      <c r="N1174" s="35">
        <f>121.6*(5280/3600)</f>
        <v>178.34666666666664</v>
      </c>
      <c r="O1174" s="35">
        <f t="shared" si="87"/>
        <v>0.45102379634753725</v>
      </c>
      <c r="P1174" s="35">
        <f t="shared" si="90"/>
        <v>27.034366353071384</v>
      </c>
      <c r="Q1174" s="35">
        <f>('Batt Capacity and Sys Weight'!$I$5) + (B1174*$T$2)</f>
        <v>39.113753000000003</v>
      </c>
      <c r="R1174" s="35">
        <f>'Batt Capacity and Sys Weight'!$H$5</f>
        <v>99.9</v>
      </c>
    </row>
    <row r="1175" spans="1:18" x14ac:dyDescent="0.3">
      <c r="A1175" s="35" t="s">
        <v>201</v>
      </c>
      <c r="B1175" s="35">
        <v>3.77</v>
      </c>
      <c r="C1175" s="35">
        <v>1050</v>
      </c>
      <c r="D1175" s="35" t="s">
        <v>162</v>
      </c>
      <c r="E1175" s="36" cm="1">
        <f t="array" ref="E1175">GetNumber(D1175, 1) + (GetNumber(D1175, 2)/10)</f>
        <v>6.5</v>
      </c>
      <c r="F1175" s="36" cm="1">
        <f t="array" ref="F1175">GetNumber(D1175, 3) + (GetNumber(D1175, 4)/10)</f>
        <v>5</v>
      </c>
      <c r="G1175" s="35">
        <v>22.2</v>
      </c>
      <c r="H1175" s="35">
        <v>21621</v>
      </c>
      <c r="I1175" s="35">
        <f>23.03*($T$2)</f>
        <v>46.06</v>
      </c>
      <c r="J1175" s="35">
        <f>511.3*($T$2)</f>
        <v>1022.6</v>
      </c>
      <c r="K1175" s="35">
        <f t="shared" si="88"/>
        <v>5.8615294347741056</v>
      </c>
      <c r="L1175" s="35">
        <f t="shared" si="89"/>
        <v>5.8619192357794176</v>
      </c>
      <c r="M1175" s="35">
        <f>2.60375*($T$2)</f>
        <v>5.2074999999999996</v>
      </c>
      <c r="N1175" s="35">
        <f>102.4*(5280/3600)</f>
        <v>150.18666666666667</v>
      </c>
      <c r="O1175" s="35">
        <f t="shared" si="87"/>
        <v>0.50924115000977899</v>
      </c>
      <c r="P1175" s="35">
        <f t="shared" si="90"/>
        <v>30.523914531586151</v>
      </c>
      <c r="Q1175" s="35">
        <f>('Batt Capacity and Sys Weight'!$I$5) + (B1175*$T$2)</f>
        <v>39.113753000000003</v>
      </c>
      <c r="R1175" s="35">
        <f>'Batt Capacity and Sys Weight'!$H$5</f>
        <v>99.9</v>
      </c>
    </row>
    <row r="1176" spans="1:18" x14ac:dyDescent="0.3">
      <c r="A1176" s="35" t="s">
        <v>201</v>
      </c>
      <c r="B1176" s="35">
        <v>3.77</v>
      </c>
      <c r="C1176" s="35">
        <v>1050</v>
      </c>
      <c r="D1176" s="35" t="s">
        <v>163</v>
      </c>
      <c r="E1176" s="36" cm="1">
        <f t="array" ref="E1176">GetNumber(D1176, 1) + (GetNumber(D1176, 2)/10)</f>
        <v>6.5</v>
      </c>
      <c r="F1176" s="36" cm="1">
        <f t="array" ref="F1176">GetNumber(D1176, 3) + (GetNumber(D1176, 4)/10)</f>
        <v>5.5</v>
      </c>
      <c r="G1176" s="35">
        <v>22.2</v>
      </c>
      <c r="H1176" s="35">
        <v>21451</v>
      </c>
      <c r="I1176" s="35">
        <f>24.36*($T$2)</f>
        <v>48.72</v>
      </c>
      <c r="J1176" s="35">
        <f>540.7*($T$2)</f>
        <v>1081.4000000000001</v>
      </c>
      <c r="K1176" s="35">
        <f t="shared" si="88"/>
        <v>5.5428148696134638</v>
      </c>
      <c r="L1176" s="35">
        <f t="shared" si="89"/>
        <v>5.541871921182266</v>
      </c>
      <c r="M1176" s="35">
        <f>2.67*($T$2)</f>
        <v>5.34</v>
      </c>
      <c r="N1176" s="35">
        <f>111.7*(5280/3600)</f>
        <v>163.82666666666665</v>
      </c>
      <c r="O1176" s="35">
        <f t="shared" si="87"/>
        <v>0.49380432772332161</v>
      </c>
      <c r="P1176" s="35">
        <f t="shared" si="90"/>
        <v>29.598631403735897</v>
      </c>
      <c r="Q1176" s="35">
        <f>('Batt Capacity and Sys Weight'!$I$5) + (B1176*$T$2)</f>
        <v>39.113753000000003</v>
      </c>
      <c r="R1176" s="35">
        <f>'Batt Capacity and Sys Weight'!$H$5</f>
        <v>99.9</v>
      </c>
    </row>
    <row r="1177" spans="1:18" x14ac:dyDescent="0.3">
      <c r="A1177" s="35" t="s">
        <v>201</v>
      </c>
      <c r="B1177" s="35">
        <v>3.77</v>
      </c>
      <c r="C1177" s="35">
        <v>1050</v>
      </c>
      <c r="D1177" s="35" t="s">
        <v>164</v>
      </c>
      <c r="E1177" s="36" cm="1">
        <f t="array" ref="E1177">GetNumber(D1177, 1) + (GetNumber(D1177, 2)/10)</f>
        <v>6.5</v>
      </c>
      <c r="F1177" s="36" cm="1">
        <f t="array" ref="F1177">GetNumber(D1177, 3) + (GetNumber(D1177, 4)/10)</f>
        <v>6</v>
      </c>
      <c r="G1177" s="35">
        <v>22.2</v>
      </c>
      <c r="H1177" s="35">
        <v>21171</v>
      </c>
      <c r="I1177" s="35">
        <f>26.94*($T$2)</f>
        <v>53.88</v>
      </c>
      <c r="J1177" s="35">
        <f>598.1*($T$2)</f>
        <v>1196.2</v>
      </c>
      <c r="K1177" s="35">
        <f t="shared" si="88"/>
        <v>5.0108677478682493</v>
      </c>
      <c r="L1177" s="35">
        <f t="shared" si="89"/>
        <v>5.0111358574610243</v>
      </c>
      <c r="M1177" s="35">
        <f>2.67875*($T$2)</f>
        <v>5.3574999999999999</v>
      </c>
      <c r="N1177" s="35">
        <f>120.3*(5280/3600)</f>
        <v>176.43999999999997</v>
      </c>
      <c r="O1177" s="35">
        <f t="shared" si="87"/>
        <v>0.44787660926266504</v>
      </c>
      <c r="P1177" s="35">
        <f t="shared" si="90"/>
        <v>26.845723959204147</v>
      </c>
      <c r="Q1177" s="35">
        <f>('Batt Capacity and Sys Weight'!$I$5) + (B1177*$T$2)</f>
        <v>39.113753000000003</v>
      </c>
      <c r="R1177" s="35">
        <f>'Batt Capacity and Sys Weight'!$H$5</f>
        <v>99.9</v>
      </c>
    </row>
    <row r="1178" spans="1:18" x14ac:dyDescent="0.3">
      <c r="A1178" s="35" t="s">
        <v>201</v>
      </c>
      <c r="B1178" s="35">
        <v>3.77</v>
      </c>
      <c r="C1178" s="35">
        <v>1050</v>
      </c>
      <c r="D1178" s="35" t="s">
        <v>165</v>
      </c>
      <c r="E1178" s="36" cm="1">
        <f t="array" ref="E1178">GetNumber(D1178, 1) + (GetNumber(D1178, 2)/10)</f>
        <v>6.5</v>
      </c>
      <c r="F1178" s="36" cm="1">
        <f t="array" ref="F1178">GetNumber(D1178, 3) + (GetNumber(D1178, 4)/10)</f>
        <v>6.5</v>
      </c>
      <c r="G1178" s="35">
        <v>22.2</v>
      </c>
      <c r="H1178" s="35">
        <v>21011</v>
      </c>
      <c r="I1178" s="35">
        <f>28.29*($T$2)</f>
        <v>56.58</v>
      </c>
      <c r="J1178" s="35">
        <f>628*($T$2)</f>
        <v>1256</v>
      </c>
      <c r="K1178" s="35">
        <f t="shared" si="88"/>
        <v>4.7722929936305736</v>
      </c>
      <c r="L1178" s="35">
        <f t="shared" si="89"/>
        <v>4.7720042417815485</v>
      </c>
      <c r="M1178" s="35">
        <f>2.616875*($T$2)</f>
        <v>5.2337499999999997</v>
      </c>
      <c r="N1178" s="35">
        <f>129.3*(5280/3600)</f>
        <v>189.64000000000001</v>
      </c>
      <c r="O1178" s="35">
        <f t="shared" si="87"/>
        <v>0.4166998407643312</v>
      </c>
      <c r="P1178" s="35">
        <f t="shared" si="90"/>
        <v>24.976988455414013</v>
      </c>
      <c r="Q1178" s="35">
        <f>('Batt Capacity and Sys Weight'!$I$5) + (B1178*$T$2)</f>
        <v>39.113753000000003</v>
      </c>
      <c r="R1178" s="35">
        <f>'Batt Capacity and Sys Weight'!$H$5</f>
        <v>99.9</v>
      </c>
    </row>
    <row r="1179" spans="1:18" x14ac:dyDescent="0.3">
      <c r="A1179" s="35" t="s">
        <v>201</v>
      </c>
      <c r="B1179" s="35">
        <v>3.77</v>
      </c>
      <c r="C1179" s="35">
        <v>1050</v>
      </c>
      <c r="D1179" s="35" t="s">
        <v>144</v>
      </c>
      <c r="E1179" s="36" t="str" cm="1">
        <f t="array" ref="E1179">GetNumber(D1179,1)</f>
        <v>7</v>
      </c>
      <c r="F1179" s="36" t="str" cm="1">
        <f t="array" ref="F1179">GetNumber(D1179,2)</f>
        <v>4</v>
      </c>
      <c r="G1179" s="35">
        <v>22.2</v>
      </c>
      <c r="H1179" s="35">
        <v>20804</v>
      </c>
      <c r="I1179" s="35">
        <f>29.98*($T$2)</f>
        <v>59.96</v>
      </c>
      <c r="J1179" s="35">
        <f>665.5*($T$2)</f>
        <v>1331</v>
      </c>
      <c r="K1179" s="35">
        <f t="shared" si="88"/>
        <v>4.5033809166040566</v>
      </c>
      <c r="L1179" s="35">
        <f t="shared" si="89"/>
        <v>4.5030020013342229</v>
      </c>
      <c r="M1179" s="35">
        <f>4.0125*($T$2)</f>
        <v>8.0250000000000004</v>
      </c>
      <c r="N1179" s="35">
        <f>78.8*(5280/3600)</f>
        <v>115.57333333333332</v>
      </c>
      <c r="O1179" s="35">
        <f t="shared" si="87"/>
        <v>0.60293012772351617</v>
      </c>
      <c r="P1179" s="35">
        <f t="shared" si="90"/>
        <v>36.139631855747552</v>
      </c>
      <c r="Q1179" s="35">
        <f>('Batt Capacity and Sys Weight'!$I$5) + (B1179*$T$2)</f>
        <v>39.113753000000003</v>
      </c>
      <c r="R1179" s="35">
        <f>'Batt Capacity and Sys Weight'!$H$5</f>
        <v>99.9</v>
      </c>
    </row>
    <row r="1180" spans="1:18" x14ac:dyDescent="0.3">
      <c r="A1180" s="35" t="s">
        <v>203</v>
      </c>
      <c r="B1180" s="35">
        <v>3.81</v>
      </c>
      <c r="C1180" s="35">
        <v>1400</v>
      </c>
      <c r="D1180" s="35" t="s">
        <v>125</v>
      </c>
      <c r="E1180" s="36" t="str" cm="1">
        <f t="array" ref="E1180">GetNumber(D1180,1)</f>
        <v>7</v>
      </c>
      <c r="F1180" s="36" t="str" cm="1">
        <f t="array" ref="F1180">GetNumber(D1180,2)</f>
        <v>7</v>
      </c>
      <c r="G1180" s="35">
        <v>11.1</v>
      </c>
      <c r="H1180" s="35">
        <v>13444</v>
      </c>
      <c r="I1180" s="35">
        <f>28.3*($T$2)</f>
        <v>56.6</v>
      </c>
      <c r="J1180" s="35">
        <f>314.1*($T$2)</f>
        <v>628.20000000000005</v>
      </c>
      <c r="K1180" s="35">
        <f t="shared" si="88"/>
        <v>9.5415472779369619</v>
      </c>
      <c r="L1180" s="35">
        <f t="shared" si="89"/>
        <v>9.5406360424028271</v>
      </c>
      <c r="M1180" s="35">
        <f>2.056875*($T$2)</f>
        <v>4.1137499999999996</v>
      </c>
      <c r="N1180" s="35">
        <f>89.1*(5280/3600)</f>
        <v>130.67999999999998</v>
      </c>
      <c r="O1180" s="35">
        <f t="shared" si="87"/>
        <v>0.65484718242597895</v>
      </c>
      <c r="P1180" s="35">
        <f t="shared" si="90"/>
        <v>39.251540114613171</v>
      </c>
      <c r="Q1180" s="35">
        <f>('Batt Capacity and Sys Weight'!$I$2) + (B1180*$T$2)</f>
        <v>38.453000000000003</v>
      </c>
      <c r="R1180" s="35">
        <f>'Batt Capacity and Sys Weight'!$H$2</f>
        <v>99.9</v>
      </c>
    </row>
    <row r="1181" spans="1:18" x14ac:dyDescent="0.3">
      <c r="A1181" s="35" t="s">
        <v>203</v>
      </c>
      <c r="B1181" s="35">
        <v>3.81</v>
      </c>
      <c r="C1181" s="35">
        <v>1400</v>
      </c>
      <c r="D1181" s="35" t="s">
        <v>126</v>
      </c>
      <c r="E1181" s="36" t="str" cm="1">
        <f t="array" ref="E1181">GetNumber(D1181,1)</f>
        <v>8</v>
      </c>
      <c r="F1181" s="36" t="str" cm="1">
        <f t="array" ref="F1181">GetNumber(D1181,2)</f>
        <v>4</v>
      </c>
      <c r="G1181" s="35">
        <v>11.1</v>
      </c>
      <c r="H1181" s="35">
        <v>13523</v>
      </c>
      <c r="I1181" s="35">
        <f>25.75*($T$2)</f>
        <v>51.5</v>
      </c>
      <c r="J1181" s="35">
        <f>285.9*($T$2)</f>
        <v>571.79999999999995</v>
      </c>
      <c r="K1181" s="35">
        <f t="shared" si="88"/>
        <v>10.482686253934943</v>
      </c>
      <c r="L1181" s="35">
        <f t="shared" si="89"/>
        <v>10.485436893203884</v>
      </c>
      <c r="M1181" s="35">
        <f>2.65*($T$2)</f>
        <v>5.3</v>
      </c>
      <c r="N1181" s="35">
        <f>51.2*(5280/3600)</f>
        <v>75.093333333333334</v>
      </c>
      <c r="O1181" s="35">
        <f t="shared" si="87"/>
        <v>0.92689751661420083</v>
      </c>
      <c r="P1181" s="35">
        <f t="shared" si="90"/>
        <v>55.558237145855202</v>
      </c>
      <c r="Q1181" s="35">
        <f>('Batt Capacity and Sys Weight'!$I$2) + (B1181*$T$2)</f>
        <v>38.453000000000003</v>
      </c>
      <c r="R1181" s="35">
        <f>'Batt Capacity and Sys Weight'!$H$2</f>
        <v>99.9</v>
      </c>
    </row>
    <row r="1182" spans="1:18" x14ac:dyDescent="0.3">
      <c r="A1182" s="35" t="s">
        <v>203</v>
      </c>
      <c r="B1182" s="35">
        <v>3.81</v>
      </c>
      <c r="C1182" s="35">
        <v>1400</v>
      </c>
      <c r="D1182" s="35" t="s">
        <v>127</v>
      </c>
      <c r="E1182" s="36" t="str" cm="1">
        <f t="array" ref="E1182">GetNumber(D1182,1)</f>
        <v>8</v>
      </c>
      <c r="F1182" s="36" t="str" cm="1">
        <f t="array" ref="F1182">GetNumber(D1182,2)</f>
        <v>6</v>
      </c>
      <c r="G1182" s="35">
        <v>11.1</v>
      </c>
      <c r="H1182" s="35">
        <v>12643</v>
      </c>
      <c r="I1182" s="35">
        <f>35.47*($T$2)</f>
        <v>70.94</v>
      </c>
      <c r="J1182" s="35">
        <f>393.7*($T$2)</f>
        <v>787.4</v>
      </c>
      <c r="K1182" s="35">
        <f t="shared" si="88"/>
        <v>7.6123952247904505</v>
      </c>
      <c r="L1182" s="35">
        <f t="shared" si="89"/>
        <v>7.6120665351000856</v>
      </c>
      <c r="M1182" s="35">
        <f>2.963125*($T$2)</f>
        <v>5.9262499999999996</v>
      </c>
      <c r="N1182" s="35">
        <f>71.8*(5280/3600)</f>
        <v>105.30666666666666</v>
      </c>
      <c r="O1182" s="35">
        <f t="shared" si="87"/>
        <v>0.75263525527051045</v>
      </c>
      <c r="P1182" s="35">
        <f t="shared" si="90"/>
        <v>45.112957200914401</v>
      </c>
      <c r="Q1182" s="35">
        <f>('Batt Capacity and Sys Weight'!$I$2) + (B1182*$T$2)</f>
        <v>38.453000000000003</v>
      </c>
      <c r="R1182" s="35">
        <f>'Batt Capacity and Sys Weight'!$H$2</f>
        <v>99.9</v>
      </c>
    </row>
    <row r="1183" spans="1:18" x14ac:dyDescent="0.3">
      <c r="A1183" s="35" t="s">
        <v>203</v>
      </c>
      <c r="B1183" s="35">
        <v>3.81</v>
      </c>
      <c r="C1183" s="35">
        <v>1400</v>
      </c>
      <c r="D1183" s="35" t="s">
        <v>129</v>
      </c>
      <c r="E1183" s="36" t="str" cm="1">
        <f t="array" ref="E1183">GetNumber(D1183,1)</f>
        <v>9</v>
      </c>
      <c r="F1183" s="36" cm="1">
        <f t="array" ref="F1183">GetNumber(D1183,2)+(GetNumber(D1183,3)/10)</f>
        <v>4.5</v>
      </c>
      <c r="G1183" s="35">
        <v>11.1</v>
      </c>
      <c r="H1183" s="35">
        <v>12610</v>
      </c>
      <c r="I1183" s="35">
        <f>35.79*($T$2)</f>
        <v>71.58</v>
      </c>
      <c r="J1183" s="35">
        <f>397.3*($T$2)</f>
        <v>794.6</v>
      </c>
      <c r="K1183" s="35">
        <f t="shared" si="88"/>
        <v>7.5434180719859061</v>
      </c>
      <c r="L1183" s="35">
        <f t="shared" si="89"/>
        <v>7.5440067057837386</v>
      </c>
      <c r="M1183" s="35">
        <f>3.6775*($T$2)</f>
        <v>7.3550000000000004</v>
      </c>
      <c r="N1183" s="35">
        <f>53.7*(5280/3600)</f>
        <v>78.760000000000005</v>
      </c>
      <c r="O1183" s="35">
        <f t="shared" si="87"/>
        <v>0.92562295494588476</v>
      </c>
      <c r="P1183" s="35">
        <f t="shared" si="90"/>
        <v>55.481839919456341</v>
      </c>
      <c r="Q1183" s="35">
        <f>('Batt Capacity and Sys Weight'!$I$2) + (B1183*$T$2)</f>
        <v>38.453000000000003</v>
      </c>
      <c r="R1183" s="35">
        <f>'Batt Capacity and Sys Weight'!$H$2</f>
        <v>99.9</v>
      </c>
    </row>
    <row r="1184" spans="1:18" x14ac:dyDescent="0.3">
      <c r="A1184" s="35" t="s">
        <v>203</v>
      </c>
      <c r="B1184" s="35">
        <v>3.81</v>
      </c>
      <c r="C1184" s="35">
        <v>1400</v>
      </c>
      <c r="D1184" s="35" t="s">
        <v>130</v>
      </c>
      <c r="E1184" s="36" t="str" cm="1">
        <f t="array" ref="E1184">GetNumber(D1184,1)</f>
        <v>9</v>
      </c>
      <c r="F1184" s="36" t="str" cm="1">
        <f t="array" ref="F1184">GetNumber(D1184,2)</f>
        <v>5</v>
      </c>
      <c r="G1184" s="35">
        <v>11.1</v>
      </c>
      <c r="H1184" s="35">
        <v>12897</v>
      </c>
      <c r="I1184" s="35">
        <f>28.09*($T$2)</f>
        <v>56.18</v>
      </c>
      <c r="J1184" s="35">
        <f>311.8*($T$2)</f>
        <v>623.6</v>
      </c>
      <c r="K1184" s="35">
        <f t="shared" si="88"/>
        <v>9.6119307248236048</v>
      </c>
      <c r="L1184" s="35">
        <f t="shared" si="89"/>
        <v>9.611961552153792</v>
      </c>
      <c r="M1184" s="35">
        <f>2.9275*($T$2)</f>
        <v>5.8550000000000004</v>
      </c>
      <c r="N1184" s="35">
        <f>61.1*(5280/3600)</f>
        <v>89.61333333333333</v>
      </c>
      <c r="O1184" s="35">
        <f t="shared" si="87"/>
        <v>0.93890314304041056</v>
      </c>
      <c r="P1184" s="35">
        <f t="shared" si="90"/>
        <v>56.277854393842212</v>
      </c>
      <c r="Q1184" s="35">
        <f>('Batt Capacity and Sys Weight'!$I$2) + (B1184*$T$2)</f>
        <v>38.453000000000003</v>
      </c>
      <c r="R1184" s="35">
        <f>'Batt Capacity and Sys Weight'!$H$2</f>
        <v>99.9</v>
      </c>
    </row>
    <row r="1185" spans="1:18" x14ac:dyDescent="0.3">
      <c r="A1185" s="35" t="s">
        <v>203</v>
      </c>
      <c r="B1185" s="35">
        <v>3.81</v>
      </c>
      <c r="C1185" s="35">
        <v>1400</v>
      </c>
      <c r="D1185" s="35" t="s">
        <v>131</v>
      </c>
      <c r="E1185" s="36" t="str" cm="1">
        <f t="array" ref="E1185">GetNumber(D1185,1)</f>
        <v>10</v>
      </c>
      <c r="F1185" s="36" t="str" cm="1">
        <f t="array" ref="F1185">GetNumber(D1185,2)</f>
        <v>6</v>
      </c>
      <c r="G1185" s="35">
        <v>11.1</v>
      </c>
      <c r="H1185" s="35">
        <v>11882</v>
      </c>
      <c r="I1185" s="35">
        <f>39.71*($T$2)</f>
        <v>79.42</v>
      </c>
      <c r="J1185" s="35">
        <f>440.8*($T$2)</f>
        <v>881.6</v>
      </c>
      <c r="K1185" s="35">
        <f t="shared" si="88"/>
        <v>6.7990018148820326</v>
      </c>
      <c r="L1185" s="35">
        <f t="shared" si="89"/>
        <v>6.7992948879375463</v>
      </c>
      <c r="M1185" s="35">
        <f>3.8825*($T$2)</f>
        <v>7.7649999999999997</v>
      </c>
      <c r="N1185" s="35">
        <f>67.5*(5280/3600)</f>
        <v>99</v>
      </c>
      <c r="O1185" s="35">
        <f t="shared" si="87"/>
        <v>0.88078493647912892</v>
      </c>
      <c r="P1185" s="35">
        <f t="shared" si="90"/>
        <v>52.794249092558978</v>
      </c>
      <c r="Q1185" s="35">
        <f>('Batt Capacity and Sys Weight'!$I$2) + (B1185*$T$2)</f>
        <v>38.453000000000003</v>
      </c>
      <c r="R1185" s="35">
        <f>'Batt Capacity and Sys Weight'!$H$2</f>
        <v>99.9</v>
      </c>
    </row>
    <row r="1186" spans="1:18" x14ac:dyDescent="0.3">
      <c r="A1186" s="35" t="s">
        <v>203</v>
      </c>
      <c r="B1186" s="35">
        <v>3.81</v>
      </c>
      <c r="C1186" s="35">
        <v>1400</v>
      </c>
      <c r="D1186" s="35" t="s">
        <v>142</v>
      </c>
      <c r="E1186" s="36">
        <v>7.5</v>
      </c>
      <c r="F1186" s="36" t="str" cm="1">
        <f t="array" ref="F1186">GetNumber(D1186,3)</f>
        <v>4</v>
      </c>
      <c r="G1186" s="35">
        <v>11.1</v>
      </c>
      <c r="H1186" s="35">
        <v>12475</v>
      </c>
      <c r="I1186" s="35">
        <f>32.17*($T$2)</f>
        <v>64.34</v>
      </c>
      <c r="J1186" s="35">
        <f>357*($T$2)</f>
        <v>714</v>
      </c>
      <c r="K1186" s="35">
        <f t="shared" si="88"/>
        <v>8.3949579831932777</v>
      </c>
      <c r="L1186" s="35">
        <f t="shared" si="89"/>
        <v>8.3929126515387011</v>
      </c>
      <c r="M1186" s="35">
        <f>2.553125*($T$2)</f>
        <v>5.1062500000000002</v>
      </c>
      <c r="N1186" s="35">
        <f>47.3*(5280/3600)</f>
        <v>69.373333333333321</v>
      </c>
      <c r="O1186" s="35">
        <f t="shared" si="87"/>
        <v>0.71516106442577032</v>
      </c>
      <c r="P1186" s="35">
        <f t="shared" si="90"/>
        <v>42.866754201680678</v>
      </c>
      <c r="Q1186" s="35">
        <f>('Batt Capacity and Sys Weight'!$I$2) + (B1186*$T$2)</f>
        <v>38.453000000000003</v>
      </c>
      <c r="R1186" s="35">
        <f>'Batt Capacity and Sys Weight'!$H$2</f>
        <v>99.9</v>
      </c>
    </row>
    <row r="1187" spans="1:18" x14ac:dyDescent="0.3">
      <c r="A1187" s="35" t="s">
        <v>203</v>
      </c>
      <c r="B1187" s="35">
        <v>3.81</v>
      </c>
      <c r="C1187" s="35">
        <v>1400</v>
      </c>
      <c r="D1187" s="35" t="s">
        <v>130</v>
      </c>
      <c r="E1187" s="36" t="str" cm="1">
        <f t="array" ref="E1187">GetNumber(D1187,1)</f>
        <v>9</v>
      </c>
      <c r="F1187" s="36" t="str" cm="1">
        <f t="array" ref="F1187">GetNumber(D1187,2)</f>
        <v>5</v>
      </c>
      <c r="G1187" s="35">
        <v>11.1</v>
      </c>
      <c r="H1187" s="35">
        <v>12620</v>
      </c>
      <c r="I1187" s="35">
        <f>31.02*($T$2)</f>
        <v>62.04</v>
      </c>
      <c r="J1187" s="35">
        <f>344.3*($T$2)</f>
        <v>688.6</v>
      </c>
      <c r="K1187" s="35">
        <f t="shared" si="88"/>
        <v>8.7046180656404299</v>
      </c>
      <c r="L1187" s="35">
        <f t="shared" si="89"/>
        <v>8.7040618955512574</v>
      </c>
      <c r="M1187" s="35">
        <f>3.286875*($T$2)</f>
        <v>6.5737500000000004</v>
      </c>
      <c r="N1187" s="35">
        <f>59.8*(5280/3600)</f>
        <v>87.706666666666649</v>
      </c>
      <c r="O1187" s="35">
        <f t="shared" si="87"/>
        <v>0.95465437118791752</v>
      </c>
      <c r="P1187" s="35">
        <f t="shared" si="90"/>
        <v>57.221983009003779</v>
      </c>
      <c r="Q1187" s="35">
        <f>('Batt Capacity and Sys Weight'!$I$2) + (B1187*$T$2)</f>
        <v>38.453000000000003</v>
      </c>
      <c r="R1187" s="35">
        <f>'Batt Capacity and Sys Weight'!$H$2</f>
        <v>99.9</v>
      </c>
    </row>
    <row r="1188" spans="1:18" x14ac:dyDescent="0.3">
      <c r="A1188" s="35" t="s">
        <v>203</v>
      </c>
      <c r="B1188" s="35">
        <v>3.81</v>
      </c>
      <c r="C1188" s="35">
        <v>1400</v>
      </c>
      <c r="D1188" s="35" t="s">
        <v>145</v>
      </c>
      <c r="E1188" s="36" t="str" cm="1">
        <f t="array" ref="E1188">GetNumber(D1188,1)</f>
        <v>8</v>
      </c>
      <c r="F1188" s="36" t="str" cm="1">
        <f t="array" ref="F1188">GetNumber(D1188,2)</f>
        <v>6</v>
      </c>
      <c r="G1188" s="35">
        <v>11.1</v>
      </c>
      <c r="H1188" s="35">
        <v>12462</v>
      </c>
      <c r="I1188" s="35">
        <f>32.85*($T$2)</f>
        <v>65.7</v>
      </c>
      <c r="J1188" s="35">
        <f>364.7*($T$2)</f>
        <v>729.4</v>
      </c>
      <c r="K1188" s="35">
        <f t="shared" si="88"/>
        <v>8.2177131889224029</v>
      </c>
      <c r="L1188" s="35">
        <f t="shared" si="89"/>
        <v>8.2191780821917799</v>
      </c>
      <c r="M1188" s="35">
        <f>3.16125*($T$2)</f>
        <v>6.3224999999999998</v>
      </c>
      <c r="N1188" s="35">
        <f>70.8*(5280/3600)</f>
        <v>103.83999999999999</v>
      </c>
      <c r="O1188" s="35">
        <f t="shared" si="87"/>
        <v>0.86680833561831649</v>
      </c>
      <c r="P1188" s="35">
        <f t="shared" si="90"/>
        <v>51.956491636961893</v>
      </c>
      <c r="Q1188" s="35">
        <f>('Batt Capacity and Sys Weight'!$I$2) + (B1188*$T$2)</f>
        <v>38.453000000000003</v>
      </c>
      <c r="R1188" s="35">
        <f>'Batt Capacity and Sys Weight'!$H$2</f>
        <v>99.9</v>
      </c>
    </row>
    <row r="1189" spans="1:18" x14ac:dyDescent="0.3">
      <c r="A1189" s="35" t="s">
        <v>203</v>
      </c>
      <c r="B1189" s="35">
        <v>3.81</v>
      </c>
      <c r="C1189" s="35">
        <v>1400</v>
      </c>
      <c r="D1189" s="35" t="s">
        <v>146</v>
      </c>
      <c r="E1189" s="36" t="str" cm="1">
        <f t="array" ref="E1189">GetNumber(D1189,1)</f>
        <v>7</v>
      </c>
      <c r="F1189" s="36" t="str" cm="1">
        <f t="array" ref="F1189">GetNumber(D1189,2)</f>
        <v>4</v>
      </c>
      <c r="G1189" s="35">
        <v>14.8</v>
      </c>
      <c r="H1189" s="35">
        <v>17690</v>
      </c>
      <c r="I1189" s="35">
        <f>27.83*($T$2)</f>
        <v>55.66</v>
      </c>
      <c r="J1189" s="35">
        <f>411.9*($T$2)</f>
        <v>823.8</v>
      </c>
      <c r="K1189" s="35">
        <f t="shared" si="88"/>
        <v>7.1143481427530961</v>
      </c>
      <c r="L1189" s="35">
        <f t="shared" si="89"/>
        <v>7.1146245059288553</v>
      </c>
      <c r="M1189" s="35">
        <f>3.121875*($T$2)</f>
        <v>6.2437500000000004</v>
      </c>
      <c r="N1189" s="35">
        <f>67*(5280/3600)</f>
        <v>98.266666666666666</v>
      </c>
      <c r="O1189" s="35">
        <f t="shared" si="87"/>
        <v>0.7579206117989804</v>
      </c>
      <c r="P1189" s="35">
        <f t="shared" si="90"/>
        <v>44.420211216314648</v>
      </c>
      <c r="Q1189" s="35">
        <f>('Batt Capacity and Sys Weight'!$I$3) + (B1189*$T$2)</f>
        <v>34.008474999999997</v>
      </c>
      <c r="R1189" s="35">
        <f>'Batt Capacity and Sys Weight'!$H$3</f>
        <v>97.68</v>
      </c>
    </row>
    <row r="1190" spans="1:18" x14ac:dyDescent="0.3">
      <c r="A1190" s="35" t="s">
        <v>203</v>
      </c>
      <c r="B1190" s="35">
        <v>3.81</v>
      </c>
      <c r="C1190" s="35">
        <v>1400</v>
      </c>
      <c r="D1190" s="35" t="s">
        <v>148</v>
      </c>
      <c r="E1190" s="36" t="str" cm="1">
        <f t="array" ref="E1190">GetNumber(D1190,1)</f>
        <v>7</v>
      </c>
      <c r="F1190" s="36" t="str" cm="1">
        <f t="array" ref="F1190">GetNumber(D1190,2)</f>
        <v>5</v>
      </c>
      <c r="G1190" s="35">
        <v>14.8</v>
      </c>
      <c r="H1190" s="35">
        <v>17285</v>
      </c>
      <c r="I1190" s="35">
        <f>34.39*($T$2)</f>
        <v>68.78</v>
      </c>
      <c r="J1190" s="35">
        <f>508.9*($T$2)</f>
        <v>1017.8</v>
      </c>
      <c r="K1190" s="35">
        <f t="shared" si="88"/>
        <v>5.7583022204755361</v>
      </c>
      <c r="L1190" s="35">
        <f t="shared" si="89"/>
        <v>5.7574876417563248</v>
      </c>
      <c r="M1190" s="35">
        <f>2.989375*($T$2)</f>
        <v>5.9787499999999998</v>
      </c>
      <c r="N1190" s="35">
        <f>81.8*(5280/3600)</f>
        <v>119.97333333333331</v>
      </c>
      <c r="O1190" s="35">
        <f t="shared" si="87"/>
        <v>0.58741894281784246</v>
      </c>
      <c r="P1190" s="35">
        <f t="shared" si="90"/>
        <v>34.42744940066811</v>
      </c>
      <c r="Q1190" s="35">
        <f>('Batt Capacity and Sys Weight'!$I$3) + (B1190*$T$2)</f>
        <v>34.008474999999997</v>
      </c>
      <c r="R1190" s="35">
        <f>'Batt Capacity and Sys Weight'!$H$3</f>
        <v>97.68</v>
      </c>
    </row>
    <row r="1191" spans="1:18" x14ac:dyDescent="0.3">
      <c r="A1191" s="35" t="s">
        <v>203</v>
      </c>
      <c r="B1191" s="35">
        <v>3.81</v>
      </c>
      <c r="C1191" s="35">
        <v>1400</v>
      </c>
      <c r="D1191" s="35" t="s">
        <v>149</v>
      </c>
      <c r="E1191" s="36" t="str" cm="1">
        <f t="array" ref="E1191">GetNumber(D1191,1)</f>
        <v>7</v>
      </c>
      <c r="F1191" s="36" t="str" cm="1">
        <f t="array" ref="F1191">GetNumber(D1191,2)</f>
        <v>6</v>
      </c>
      <c r="G1191" s="35">
        <v>14.8</v>
      </c>
      <c r="H1191" s="35">
        <v>17177</v>
      </c>
      <c r="I1191" s="35">
        <f>37.18*($T$2)</f>
        <v>74.36</v>
      </c>
      <c r="J1191" s="35">
        <f>550.2*($T$2)</f>
        <v>1100.4000000000001</v>
      </c>
      <c r="K1191" s="35">
        <f t="shared" si="88"/>
        <v>5.3260632497273717</v>
      </c>
      <c r="L1191" s="35">
        <f t="shared" si="89"/>
        <v>5.3254437869822491</v>
      </c>
      <c r="M1191" s="35">
        <f>3.2625*($T$2)</f>
        <v>6.5250000000000004</v>
      </c>
      <c r="N1191" s="35">
        <f>97.6*(5280/3600)</f>
        <v>143.14666666666665</v>
      </c>
      <c r="O1191" s="35">
        <f t="shared" si="87"/>
        <v>0.5929661941112323</v>
      </c>
      <c r="P1191" s="35">
        <f t="shared" si="90"/>
        <v>34.752562704471103</v>
      </c>
      <c r="Q1191" s="35">
        <f>('Batt Capacity and Sys Weight'!$I$3) + (B1191*$T$2)</f>
        <v>34.008474999999997</v>
      </c>
      <c r="R1191" s="35">
        <f>'Batt Capacity and Sys Weight'!$H$3</f>
        <v>97.68</v>
      </c>
    </row>
    <row r="1192" spans="1:18" x14ac:dyDescent="0.3">
      <c r="A1192" s="35" t="s">
        <v>203</v>
      </c>
      <c r="B1192" s="35">
        <v>3.81</v>
      </c>
      <c r="C1192" s="35">
        <v>1400</v>
      </c>
      <c r="D1192" s="35" t="s">
        <v>141</v>
      </c>
      <c r="E1192" s="36" t="str" cm="1">
        <f t="array" ref="E1192">GetNumber(D1192,1)</f>
        <v>7</v>
      </c>
      <c r="F1192" s="36" t="str" cm="1">
        <f t="array" ref="F1192">GetNumber(D1192,2)</f>
        <v>6</v>
      </c>
      <c r="G1192" s="35">
        <v>14.8</v>
      </c>
      <c r="H1192" s="35">
        <v>17666</v>
      </c>
      <c r="I1192" s="35">
        <f>27.44*($T$2)</f>
        <v>54.88</v>
      </c>
      <c r="J1192" s="35">
        <f>406.1*($T$2)</f>
        <v>812.2</v>
      </c>
      <c r="K1192" s="35">
        <f t="shared" si="88"/>
        <v>7.2159566609209556</v>
      </c>
      <c r="L1192" s="35">
        <f t="shared" si="89"/>
        <v>7.2157434402332363</v>
      </c>
      <c r="M1192" s="35">
        <f>2.145*($T$2)</f>
        <v>4.29</v>
      </c>
      <c r="N1192" s="35">
        <f>100.4*(5280/3600)</f>
        <v>147.25333333333333</v>
      </c>
      <c r="O1192" s="35">
        <f t="shared" si="87"/>
        <v>0.52819502585570055</v>
      </c>
      <c r="P1192" s="35">
        <f t="shared" si="90"/>
        <v>30.956454075350898</v>
      </c>
      <c r="Q1192" s="35">
        <f>('Batt Capacity and Sys Weight'!$I$3) + (B1192*$T$2)</f>
        <v>34.008474999999997</v>
      </c>
      <c r="R1192" s="35">
        <f>'Batt Capacity and Sys Weight'!$H$3</f>
        <v>97.68</v>
      </c>
    </row>
    <row r="1193" spans="1:18" x14ac:dyDescent="0.3">
      <c r="A1193" s="35" t="s">
        <v>203</v>
      </c>
      <c r="B1193" s="35">
        <v>3.81</v>
      </c>
      <c r="C1193" s="35">
        <v>1400</v>
      </c>
      <c r="D1193" s="35" t="s">
        <v>141</v>
      </c>
      <c r="E1193" s="36" t="str" cm="1">
        <f t="array" ref="E1193">GetNumber(D1193,1)</f>
        <v>7</v>
      </c>
      <c r="F1193" s="36" t="str" cm="1">
        <f t="array" ref="F1193">GetNumber(D1193,2)</f>
        <v>6</v>
      </c>
      <c r="G1193" s="35">
        <v>14.8</v>
      </c>
      <c r="H1193" s="35">
        <v>16811</v>
      </c>
      <c r="I1193" s="35">
        <f>36.26*($T$2)</f>
        <v>72.52</v>
      </c>
      <c r="J1193" s="35">
        <f>536.7*($T$2)</f>
        <v>1073.4000000000001</v>
      </c>
      <c r="K1193" s="35">
        <f t="shared" si="88"/>
        <v>5.4600335382895473</v>
      </c>
      <c r="L1193" s="35">
        <f t="shared" si="89"/>
        <v>5.4605626034197474</v>
      </c>
      <c r="M1193" s="35">
        <f>2.51125*($T$2)</f>
        <v>5.0225</v>
      </c>
      <c r="N1193" s="35">
        <f>95.5*(5280/3600)</f>
        <v>140.06666666666666</v>
      </c>
      <c r="O1193" s="35">
        <f t="shared" si="87"/>
        <v>0.46790572014160603</v>
      </c>
      <c r="P1193" s="35">
        <f t="shared" si="90"/>
        <v>27.423018446059253</v>
      </c>
      <c r="Q1193" s="35">
        <f>('Batt Capacity and Sys Weight'!$I$3) + (B1193*$T$2)</f>
        <v>34.008474999999997</v>
      </c>
      <c r="R1193" s="35">
        <f>'Batt Capacity and Sys Weight'!$H$3</f>
        <v>97.68</v>
      </c>
    </row>
    <row r="1194" spans="1:18" x14ac:dyDescent="0.3">
      <c r="A1194" s="35" t="s">
        <v>203</v>
      </c>
      <c r="B1194" s="35">
        <v>3.81</v>
      </c>
      <c r="C1194" s="35">
        <v>1400</v>
      </c>
      <c r="D1194" s="35" t="s">
        <v>143</v>
      </c>
      <c r="E1194" s="36" t="str" cm="1">
        <f t="array" ref="E1194">GetNumber(D1194,1)</f>
        <v>8</v>
      </c>
      <c r="F1194" s="36" t="str" cm="1">
        <f t="array" ref="F1194">GetNumber(D1194,2)</f>
        <v>5</v>
      </c>
      <c r="G1194" s="35">
        <v>14.8</v>
      </c>
      <c r="H1194" s="35">
        <v>16955</v>
      </c>
      <c r="I1194" s="35">
        <f>34.74*($T$2)</f>
        <v>69.48</v>
      </c>
      <c r="J1194" s="35">
        <f>514.1*($T$2)</f>
        <v>1028.2</v>
      </c>
      <c r="K1194" s="35">
        <f t="shared" si="88"/>
        <v>5.7000583544057575</v>
      </c>
      <c r="L1194" s="35">
        <f t="shared" si="89"/>
        <v>5.6994818652849748</v>
      </c>
      <c r="M1194" s="35">
        <f>3.809375*($T$2)</f>
        <v>7.6187500000000004</v>
      </c>
      <c r="N1194" s="35">
        <f>80.3*(5280/3600)</f>
        <v>117.77333333333333</v>
      </c>
      <c r="O1194" s="35">
        <f t="shared" si="87"/>
        <v>0.74097938144329889</v>
      </c>
      <c r="P1194" s="35">
        <f t="shared" si="90"/>
        <v>43.427319587628865</v>
      </c>
      <c r="Q1194" s="35">
        <f>('Batt Capacity and Sys Weight'!$I$3) + (B1194*$T$2)</f>
        <v>34.008474999999997</v>
      </c>
      <c r="R1194" s="35">
        <f>'Batt Capacity and Sys Weight'!$H$3</f>
        <v>97.68</v>
      </c>
    </row>
    <row r="1195" spans="1:18" x14ac:dyDescent="0.3">
      <c r="A1195" s="35" t="s">
        <v>203</v>
      </c>
      <c r="B1195" s="35">
        <v>3.81</v>
      </c>
      <c r="C1195" s="35">
        <v>1400</v>
      </c>
      <c r="D1195" s="35" t="s">
        <v>144</v>
      </c>
      <c r="E1195" s="36" t="str" cm="1">
        <f t="array" ref="E1195">GetNumber(D1195,1)</f>
        <v>7</v>
      </c>
      <c r="F1195" s="36" t="str" cm="1">
        <f t="array" ref="F1195">GetNumber(D1195,2)</f>
        <v>4</v>
      </c>
      <c r="G1195" s="35">
        <v>14.8</v>
      </c>
      <c r="H1195" s="35">
        <v>17728</v>
      </c>
      <c r="I1195" s="35">
        <f>26.82*($T$2)</f>
        <v>53.64</v>
      </c>
      <c r="J1195" s="35">
        <f>397*($T$2)</f>
        <v>794</v>
      </c>
      <c r="K1195" s="35">
        <f t="shared" si="88"/>
        <v>7.3813602015113355</v>
      </c>
      <c r="L1195" s="35">
        <f t="shared" si="89"/>
        <v>7.3825503355704702</v>
      </c>
      <c r="M1195" s="35">
        <f>2.945625*($T$2)</f>
        <v>5.8912500000000003</v>
      </c>
      <c r="N1195" s="35">
        <f>67.2*(5280/3600)</f>
        <v>98.56</v>
      </c>
      <c r="O1195" s="35">
        <f t="shared" si="87"/>
        <v>0.74197103274559195</v>
      </c>
      <c r="P1195" s="35">
        <f t="shared" si="90"/>
        <v>43.485438287153656</v>
      </c>
      <c r="Q1195" s="35">
        <f>('Batt Capacity and Sys Weight'!$I$3) + (B1195*$T$2)</f>
        <v>34.008474999999997</v>
      </c>
      <c r="R1195" s="35">
        <f>'Batt Capacity and Sys Weight'!$H$3</f>
        <v>97.68</v>
      </c>
    </row>
    <row r="1196" spans="1:18" x14ac:dyDescent="0.3">
      <c r="A1196" s="35" t="s">
        <v>203</v>
      </c>
      <c r="B1196" s="35">
        <v>3.81</v>
      </c>
      <c r="C1196" s="35">
        <v>1400</v>
      </c>
      <c r="D1196" s="35" t="s">
        <v>160</v>
      </c>
      <c r="E1196" s="36" t="str" cm="1">
        <f t="array" ref="E1196">GetNumber(D1196,1)</f>
        <v>6</v>
      </c>
      <c r="F1196" s="36" cm="1">
        <f t="array" ref="F1196">GetNumber(D1196,2)+(GetNumber(D1196,3)/10)</f>
        <v>4.3</v>
      </c>
      <c r="G1196" s="35">
        <v>18.5</v>
      </c>
      <c r="H1196" s="35">
        <v>22190</v>
      </c>
      <c r="I1196" s="35">
        <f>30.99*($T$2)</f>
        <v>61.98</v>
      </c>
      <c r="J1196" s="35">
        <f>573.3*($T$2)</f>
        <v>1146.5999999999999</v>
      </c>
      <c r="K1196" s="35">
        <f t="shared" si="88"/>
        <v>4.8403976975405554</v>
      </c>
      <c r="L1196" s="35">
        <f t="shared" si="89"/>
        <v>4.8402710551790902</v>
      </c>
      <c r="M1196" s="35">
        <f>3.42625*($T$2)</f>
        <v>6.8525</v>
      </c>
      <c r="N1196" s="35">
        <f>90.4*(5280/3600)</f>
        <v>132.58666666666667</v>
      </c>
      <c r="O1196" s="35">
        <f t="shared" si="87"/>
        <v>0.59763649049363343</v>
      </c>
      <c r="P1196" s="35">
        <f t="shared" si="90"/>
        <v>33.168825222396656</v>
      </c>
      <c r="Q1196" s="35">
        <f>('Batt Capacity and Sys Weight'!$I$4) + (B1196*$T$2)</f>
        <v>34.784503000000001</v>
      </c>
      <c r="R1196" s="35">
        <f>'Batt Capacity and Sys Weight'!$H$4</f>
        <v>92.5</v>
      </c>
    </row>
    <row r="1197" spans="1:18" x14ac:dyDescent="0.3">
      <c r="A1197" s="35" t="s">
        <v>203</v>
      </c>
      <c r="B1197" s="35">
        <v>3.81</v>
      </c>
      <c r="C1197" s="35">
        <v>1400</v>
      </c>
      <c r="D1197" s="35" t="s">
        <v>151</v>
      </c>
      <c r="E1197" s="36" t="str" cm="1">
        <f t="array" ref="E1197">GetNumber(D1197,1)</f>
        <v>6</v>
      </c>
      <c r="F1197" s="36" cm="1">
        <f t="array" ref="F1197">GetNumber(D1197,2)+(GetNumber(D1197,3)/10)</f>
        <v>4.5</v>
      </c>
      <c r="G1197" s="35">
        <v>18.5</v>
      </c>
      <c r="H1197" s="35">
        <v>22425</v>
      </c>
      <c r="I1197" s="35">
        <f>28.75*($T$2)</f>
        <v>57.5</v>
      </c>
      <c r="J1197" s="35">
        <f>531.8*($T$2)</f>
        <v>1063.5999999999999</v>
      </c>
      <c r="K1197" s="35">
        <f t="shared" si="88"/>
        <v>5.2181271154569391</v>
      </c>
      <c r="L1197" s="35">
        <f t="shared" si="89"/>
        <v>5.2173913043478262</v>
      </c>
      <c r="M1197" s="35">
        <f>3.38875*($T$2)</f>
        <v>6.7774999999999999</v>
      </c>
      <c r="N1197" s="35">
        <f>95.6*(5280/3600)</f>
        <v>140.21333333333331</v>
      </c>
      <c r="O1197" s="35">
        <f t="shared" si="87"/>
        <v>0.63722264009025953</v>
      </c>
      <c r="P1197" s="35">
        <f t="shared" si="90"/>
        <v>35.365856525009406</v>
      </c>
      <c r="Q1197" s="35">
        <f>('Batt Capacity and Sys Weight'!$I$4) + (B1197*$T$2)</f>
        <v>34.784503000000001</v>
      </c>
      <c r="R1197" s="35">
        <f>'Batt Capacity and Sys Weight'!$H$4</f>
        <v>92.5</v>
      </c>
    </row>
    <row r="1198" spans="1:18" x14ac:dyDescent="0.3">
      <c r="A1198" s="35" t="s">
        <v>203</v>
      </c>
      <c r="B1198" s="35">
        <v>3.81</v>
      </c>
      <c r="C1198" s="35">
        <v>1400</v>
      </c>
      <c r="D1198" s="35" t="s">
        <v>161</v>
      </c>
      <c r="E1198" s="36" t="str" cm="1">
        <f t="array" ref="E1198">GetNumber(D1198,1)</f>
        <v>6</v>
      </c>
      <c r="F1198" s="36" cm="1">
        <f t="array" ref="F1198">GetNumber(D1198,2)+(GetNumber(D1198,3)/10)</f>
        <v>5.5</v>
      </c>
      <c r="G1198" s="35">
        <v>18.5</v>
      </c>
      <c r="H1198" s="35">
        <v>22512</v>
      </c>
      <c r="I1198" s="35">
        <f>27.73*($T$2)</f>
        <v>55.46</v>
      </c>
      <c r="J1198" s="35">
        <f>513*($T$2)</f>
        <v>1026</v>
      </c>
      <c r="K1198" s="35">
        <f t="shared" si="88"/>
        <v>5.4093567251461989</v>
      </c>
      <c r="L1198" s="35">
        <f t="shared" si="89"/>
        <v>5.4093040028849622</v>
      </c>
      <c r="M1198" s="35">
        <f>2.581875*($T$2)</f>
        <v>5.1637500000000003</v>
      </c>
      <c r="N1198" s="35">
        <f>117.3*(5280/3600)</f>
        <v>172.04</v>
      </c>
      <c r="O1198" s="35">
        <f t="shared" si="87"/>
        <v>0.50328947368421051</v>
      </c>
      <c r="P1198" s="35">
        <f t="shared" si="90"/>
        <v>27.932565789473685</v>
      </c>
      <c r="Q1198" s="35">
        <f>('Batt Capacity and Sys Weight'!$I$4) + (B1198*$T$2)</f>
        <v>34.784503000000001</v>
      </c>
      <c r="R1198" s="35">
        <f>'Batt Capacity and Sys Weight'!$H$4</f>
        <v>92.5</v>
      </c>
    </row>
    <row r="1199" spans="1:18" x14ac:dyDescent="0.3">
      <c r="A1199" s="35" t="s">
        <v>203</v>
      </c>
      <c r="B1199" s="35">
        <v>3.81</v>
      </c>
      <c r="C1199" s="35">
        <v>1400</v>
      </c>
      <c r="D1199" s="35" t="s">
        <v>152</v>
      </c>
      <c r="E1199" s="36" t="str" cm="1">
        <f t="array" ref="E1199">GetNumber(D1199,1)</f>
        <v>6</v>
      </c>
      <c r="F1199" s="36" t="str" cm="1">
        <f t="array" ref="F1199">GetNumber(D1199,2)</f>
        <v>6</v>
      </c>
      <c r="G1199" s="35">
        <v>18.5</v>
      </c>
      <c r="H1199" s="35">
        <v>22100</v>
      </c>
      <c r="I1199" s="35">
        <f>31.64*($T$2)</f>
        <v>63.28</v>
      </c>
      <c r="J1199" s="35">
        <f>585.3*($T$2)</f>
        <v>1170.5999999999999</v>
      </c>
      <c r="K1199" s="35">
        <f t="shared" si="88"/>
        <v>4.7411583803177866</v>
      </c>
      <c r="L1199" s="35">
        <f t="shared" si="89"/>
        <v>4.7408343868520859</v>
      </c>
      <c r="M1199" s="35">
        <f>2.599375*($T$2)</f>
        <v>5.1987500000000004</v>
      </c>
      <c r="N1199" s="35">
        <f>125.6*(5280/3600)</f>
        <v>184.21333333333331</v>
      </c>
      <c r="O1199" s="35">
        <f t="shared" si="87"/>
        <v>0.44410985819238002</v>
      </c>
      <c r="P1199" s="35">
        <f t="shared" si="90"/>
        <v>24.648097129677094</v>
      </c>
      <c r="Q1199" s="35">
        <f>('Batt Capacity and Sys Weight'!$I$4) + (B1199*$T$2)</f>
        <v>34.784503000000001</v>
      </c>
      <c r="R1199" s="35">
        <f>'Batt Capacity and Sys Weight'!$H$4</f>
        <v>92.5</v>
      </c>
    </row>
    <row r="1200" spans="1:18" x14ac:dyDescent="0.3">
      <c r="A1200" s="35" t="s">
        <v>203</v>
      </c>
      <c r="B1200" s="35">
        <v>3.81</v>
      </c>
      <c r="C1200" s="35">
        <v>1400</v>
      </c>
      <c r="D1200" s="35" t="s">
        <v>162</v>
      </c>
      <c r="E1200" s="36" cm="1">
        <f t="array" ref="E1200">GetNumber(D1200, 1) + (GetNumber(D1200, 2)/10)</f>
        <v>6.5</v>
      </c>
      <c r="F1200" s="36" cm="1">
        <f t="array" ref="F1200">GetNumber(D1200, 3) + (GetNumber(D1200, 4)/10)</f>
        <v>5</v>
      </c>
      <c r="G1200" s="35">
        <v>18.5</v>
      </c>
      <c r="H1200" s="35">
        <v>22261</v>
      </c>
      <c r="I1200" s="35">
        <f>29.97*($T$2)</f>
        <v>59.94</v>
      </c>
      <c r="J1200" s="35">
        <f>554.4*($T$2)</f>
        <v>1108.8</v>
      </c>
      <c r="K1200" s="35">
        <f t="shared" si="88"/>
        <v>5.0054112554112553</v>
      </c>
      <c r="L1200" s="35">
        <f t="shared" si="89"/>
        <v>5.005005005005005</v>
      </c>
      <c r="M1200" s="35">
        <f>2.764375*($T$2)</f>
        <v>5.5287499999999996</v>
      </c>
      <c r="N1200" s="35">
        <f>105.4*(5280/3600)</f>
        <v>154.58666666666667</v>
      </c>
      <c r="O1200" s="35">
        <f t="shared" si="87"/>
        <v>0.49862463924963929</v>
      </c>
      <c r="P1200" s="35">
        <f t="shared" si="90"/>
        <v>27.673667478354975</v>
      </c>
      <c r="Q1200" s="35">
        <f>('Batt Capacity and Sys Weight'!$I$4) + (B1200*$T$2)</f>
        <v>34.784503000000001</v>
      </c>
      <c r="R1200" s="35">
        <f>'Batt Capacity and Sys Weight'!$H$4</f>
        <v>92.5</v>
      </c>
    </row>
    <row r="1201" spans="1:18" x14ac:dyDescent="0.3">
      <c r="A1201" s="35" t="s">
        <v>203</v>
      </c>
      <c r="B1201" s="35">
        <v>3.81</v>
      </c>
      <c r="C1201" s="35">
        <v>1400</v>
      </c>
      <c r="D1201" s="35" t="s">
        <v>163</v>
      </c>
      <c r="E1201" s="36" cm="1">
        <f t="array" ref="E1201">GetNumber(D1201, 1) + (GetNumber(D1201, 2)/10)</f>
        <v>6.5</v>
      </c>
      <c r="F1201" s="36" cm="1">
        <f t="array" ref="F1201">GetNumber(D1201, 3) + (GetNumber(D1201, 4)/10)</f>
        <v>5.5</v>
      </c>
      <c r="G1201" s="35">
        <v>18.5</v>
      </c>
      <c r="H1201" s="35">
        <v>22088</v>
      </c>
      <c r="I1201" s="35">
        <f>31.74*($T$2)</f>
        <v>63.48</v>
      </c>
      <c r="J1201" s="35">
        <f>587.2*($T$2)</f>
        <v>1174.4000000000001</v>
      </c>
      <c r="K1201" s="35">
        <f t="shared" si="88"/>
        <v>4.7258174386920979</v>
      </c>
      <c r="L1201" s="35">
        <f t="shared" si="89"/>
        <v>4.7258979206049148</v>
      </c>
      <c r="M1201" s="35">
        <f>2.813125*($T$2)</f>
        <v>5.6262499999999998</v>
      </c>
      <c r="N1201" s="35">
        <f>115*(5280/3600)</f>
        <v>168.66666666666666</v>
      </c>
      <c r="O1201" s="35">
        <f t="shared" si="87"/>
        <v>0.4790744209809264</v>
      </c>
      <c r="P1201" s="35">
        <f t="shared" si="90"/>
        <v>26.588630364441414</v>
      </c>
      <c r="Q1201" s="35">
        <f>('Batt Capacity and Sys Weight'!$I$4) + (B1201*$T$2)</f>
        <v>34.784503000000001</v>
      </c>
      <c r="R1201" s="35">
        <f>'Batt Capacity and Sys Weight'!$H$4</f>
        <v>92.5</v>
      </c>
    </row>
    <row r="1202" spans="1:18" x14ac:dyDescent="0.3">
      <c r="A1202" s="35" t="s">
        <v>203</v>
      </c>
      <c r="B1202" s="35">
        <v>3.81</v>
      </c>
      <c r="C1202" s="35">
        <v>1400</v>
      </c>
      <c r="D1202" s="35" t="s">
        <v>164</v>
      </c>
      <c r="E1202" s="36" cm="1">
        <f t="array" ref="E1202">GetNumber(D1202, 1) + (GetNumber(D1202, 2)/10)</f>
        <v>6.5</v>
      </c>
      <c r="F1202" s="36" cm="1">
        <f t="array" ref="F1202">GetNumber(D1202, 3) + (GetNumber(D1202, 4)/10)</f>
        <v>6</v>
      </c>
      <c r="G1202" s="35">
        <v>18.5</v>
      </c>
      <c r="H1202" s="35">
        <v>21710</v>
      </c>
      <c r="I1202" s="35">
        <f>35.21*($T$2)</f>
        <v>70.42</v>
      </c>
      <c r="J1202" s="35">
        <f>651.3*($T$2)</f>
        <v>1302.5999999999999</v>
      </c>
      <c r="K1202" s="35">
        <f t="shared" si="88"/>
        <v>4.2607093505297096</v>
      </c>
      <c r="L1202" s="35">
        <f t="shared" si="89"/>
        <v>4.260153365521159</v>
      </c>
      <c r="M1202" s="35">
        <f>2.82875*($T$2)</f>
        <v>5.6574999999999998</v>
      </c>
      <c r="N1202" s="35">
        <f>123.4*(5280/3600)</f>
        <v>180.98666666666665</v>
      </c>
      <c r="O1202" s="35">
        <f t="shared" si="87"/>
        <v>0.43432366037156456</v>
      </c>
      <c r="P1202" s="35">
        <f t="shared" si="90"/>
        <v>24.104963150621831</v>
      </c>
      <c r="Q1202" s="35">
        <f>('Batt Capacity and Sys Weight'!$I$4) + (B1202*$T$2)</f>
        <v>34.784503000000001</v>
      </c>
      <c r="R1202" s="35">
        <f>'Batt Capacity and Sys Weight'!$H$4</f>
        <v>92.5</v>
      </c>
    </row>
    <row r="1203" spans="1:18" x14ac:dyDescent="0.3">
      <c r="A1203" s="35" t="s">
        <v>203</v>
      </c>
      <c r="B1203" s="35">
        <v>3.81</v>
      </c>
      <c r="C1203" s="35">
        <v>1400</v>
      </c>
      <c r="D1203" s="35" t="s">
        <v>165</v>
      </c>
      <c r="E1203" s="36" cm="1">
        <f t="array" ref="E1203">GetNumber(D1203, 1) + (GetNumber(D1203, 2)/10)</f>
        <v>6.5</v>
      </c>
      <c r="F1203" s="36" cm="1">
        <f t="array" ref="F1203">GetNumber(D1203, 3) + (GetNumber(D1203, 4)/10)</f>
        <v>6.5</v>
      </c>
      <c r="G1203" s="35">
        <v>18.5</v>
      </c>
      <c r="H1203" s="35">
        <v>21551</v>
      </c>
      <c r="I1203" s="35">
        <f>36.87*($T$2)</f>
        <v>73.739999999999995</v>
      </c>
      <c r="J1203" s="35">
        <f>682.2*($T$2)</f>
        <v>1364.4</v>
      </c>
      <c r="K1203" s="35">
        <f t="shared" si="88"/>
        <v>4.0677220756376427</v>
      </c>
      <c r="L1203" s="35">
        <f t="shared" si="89"/>
        <v>4.0683482506102528</v>
      </c>
      <c r="M1203" s="35">
        <f>2.7625*($T$2)</f>
        <v>5.5250000000000004</v>
      </c>
      <c r="N1203" s="35">
        <f>132.7*(5280/3600)</f>
        <v>194.62666666666664</v>
      </c>
      <c r="O1203" s="35">
        <f t="shared" si="87"/>
        <v>0.40493990032248611</v>
      </c>
      <c r="P1203" s="35">
        <f t="shared" si="90"/>
        <v>22.474164467897978</v>
      </c>
      <c r="Q1203" s="35">
        <f>('Batt Capacity and Sys Weight'!$I$4) + (B1203*$T$2)</f>
        <v>34.784503000000001</v>
      </c>
      <c r="R1203" s="35">
        <f>'Batt Capacity and Sys Weight'!$H$4</f>
        <v>92.5</v>
      </c>
    </row>
    <row r="1204" spans="1:18" x14ac:dyDescent="0.3">
      <c r="A1204" s="35" t="s">
        <v>203</v>
      </c>
      <c r="B1204" s="35">
        <v>3.81</v>
      </c>
      <c r="C1204" s="35">
        <v>1400</v>
      </c>
      <c r="D1204" s="35" t="s">
        <v>144</v>
      </c>
      <c r="E1204" s="36" t="str" cm="1">
        <f t="array" ref="E1204">GetNumber(D1204,1)</f>
        <v>7</v>
      </c>
      <c r="F1204" s="36" t="str" cm="1">
        <f t="array" ref="F1204">GetNumber(D1204,2)</f>
        <v>4</v>
      </c>
      <c r="G1204" s="35">
        <v>18.5</v>
      </c>
      <c r="H1204" s="35">
        <v>21392</v>
      </c>
      <c r="I1204" s="35">
        <f>38.65*($T$2)</f>
        <v>77.3</v>
      </c>
      <c r="J1204" s="35">
        <f>715*($T$2)</f>
        <v>1430</v>
      </c>
      <c r="K1204" s="35">
        <f t="shared" si="88"/>
        <v>3.8811188811188813</v>
      </c>
      <c r="L1204" s="35">
        <f t="shared" si="89"/>
        <v>3.8809831824062098</v>
      </c>
      <c r="M1204" s="35">
        <f>4.18875*($T$2)</f>
        <v>8.3774999999999995</v>
      </c>
      <c r="N1204" s="35">
        <f>81*(5280/3600)</f>
        <v>118.8</v>
      </c>
      <c r="O1204" s="35">
        <f t="shared" si="87"/>
        <v>0.58583916083916077</v>
      </c>
      <c r="P1204" s="35">
        <f t="shared" si="90"/>
        <v>32.514073426573425</v>
      </c>
      <c r="Q1204" s="35">
        <f>('Batt Capacity and Sys Weight'!$I$4) + (B1204*$T$2)</f>
        <v>34.784503000000001</v>
      </c>
      <c r="R1204" s="35">
        <f>'Batt Capacity and Sys Weight'!$H$4</f>
        <v>92.5</v>
      </c>
    </row>
    <row r="1205" spans="1:18" x14ac:dyDescent="0.3">
      <c r="A1205" s="35" t="s">
        <v>203</v>
      </c>
      <c r="B1205" s="35">
        <v>3.81</v>
      </c>
      <c r="C1205" s="35">
        <v>1400</v>
      </c>
      <c r="D1205" s="35" t="s">
        <v>204</v>
      </c>
      <c r="E1205" s="36">
        <v>5</v>
      </c>
      <c r="F1205" s="36">
        <v>4.3</v>
      </c>
      <c r="G1205" s="35">
        <v>22.2</v>
      </c>
      <c r="H1205" s="35">
        <v>27438</v>
      </c>
      <c r="I1205" s="35">
        <f>27.02*($T$2)</f>
        <v>54.04</v>
      </c>
      <c r="J1205" s="35">
        <f>599.9*($T$2)</f>
        <v>1199.8</v>
      </c>
      <c r="K1205" s="35">
        <f t="shared" si="88"/>
        <v>4.9958326387731296</v>
      </c>
      <c r="L1205" s="35">
        <f t="shared" si="89"/>
        <v>4.9962990377498153</v>
      </c>
      <c r="M1205" s="35">
        <f>2.76*($T$2)</f>
        <v>5.52</v>
      </c>
      <c r="N1205" s="35">
        <f>111.7*(5280/3600)</f>
        <v>163.82666666666665</v>
      </c>
      <c r="O1205" s="35">
        <f t="shared" si="87"/>
        <v>0.46007667944657443</v>
      </c>
      <c r="P1205" s="35">
        <f t="shared" si="90"/>
        <v>27.576996166027673</v>
      </c>
      <c r="Q1205" s="35">
        <f>('Batt Capacity and Sys Weight'!$I$5) + (B1205*$T$2)</f>
        <v>39.193753000000001</v>
      </c>
      <c r="R1205" s="35">
        <f>'Batt Capacity and Sys Weight'!$H$5</f>
        <v>99.9</v>
      </c>
    </row>
    <row r="1206" spans="1:18" x14ac:dyDescent="0.3">
      <c r="A1206" s="35" t="s">
        <v>203</v>
      </c>
      <c r="B1206" s="35">
        <v>3.81</v>
      </c>
      <c r="C1206" s="35">
        <v>1400</v>
      </c>
      <c r="D1206" s="35" t="s">
        <v>199</v>
      </c>
      <c r="E1206" s="36" t="str" cm="1">
        <f t="array" ref="E1206">GetNumber(D1206,1)</f>
        <v>5</v>
      </c>
      <c r="F1206" s="36" cm="1">
        <f t="array" ref="F1206">GetNumber(D1206,2)+(GetNumber(D1206,3)/10)</f>
        <v>4.5</v>
      </c>
      <c r="G1206" s="35">
        <v>22.2</v>
      </c>
      <c r="H1206" s="35">
        <v>27185</v>
      </c>
      <c r="I1206" s="35">
        <f>29.26*($T$2)</f>
        <v>58.52</v>
      </c>
      <c r="J1206" s="35">
        <f>649.5*($T$2)</f>
        <v>1299</v>
      </c>
      <c r="K1206" s="35">
        <f t="shared" si="88"/>
        <v>4.6143187066974596</v>
      </c>
      <c r="L1206" s="35">
        <f t="shared" si="89"/>
        <v>4.6138072453861927</v>
      </c>
      <c r="M1206" s="35">
        <f>2.749375*($T$2)</f>
        <v>5.4987500000000002</v>
      </c>
      <c r="N1206" s="35">
        <f>115.8*(5280/3600)</f>
        <v>169.83999999999997</v>
      </c>
      <c r="O1206" s="35">
        <f t="shared" si="87"/>
        <v>0.42330638953040806</v>
      </c>
      <c r="P1206" s="35">
        <f t="shared" si="90"/>
        <v>25.372984988452657</v>
      </c>
      <c r="Q1206" s="35">
        <f>('Batt Capacity and Sys Weight'!$I$5) + (B1206*$T$2)</f>
        <v>39.193753000000001</v>
      </c>
      <c r="R1206" s="35">
        <f>'Batt Capacity and Sys Weight'!$H$5</f>
        <v>99.9</v>
      </c>
    </row>
    <row r="1207" spans="1:18" x14ac:dyDescent="0.3">
      <c r="A1207" s="35" t="s">
        <v>203</v>
      </c>
      <c r="B1207" s="35">
        <v>3.81</v>
      </c>
      <c r="C1207" s="35">
        <v>1400</v>
      </c>
      <c r="D1207" s="35" t="s">
        <v>200</v>
      </c>
      <c r="E1207" s="36" t="str" cm="1">
        <f t="array" ref="E1207">GetNumber(D1207,1)</f>
        <v>5</v>
      </c>
      <c r="F1207" s="36" cm="1">
        <f t="array" ref="F1207">GetNumber(D1207,2)+(GetNumber(D1207,3)/10)</f>
        <v>4.5999999999999996</v>
      </c>
      <c r="G1207" s="35">
        <v>22.2</v>
      </c>
      <c r="H1207" s="35">
        <v>27330</v>
      </c>
      <c r="I1207" s="35">
        <f>28.05*($T$2)</f>
        <v>56.1</v>
      </c>
      <c r="J1207" s="35">
        <f>622.7*($T$2)</f>
        <v>1245.4000000000001</v>
      </c>
      <c r="K1207" s="35">
        <f t="shared" si="88"/>
        <v>4.8129115143728924</v>
      </c>
      <c r="L1207" s="35">
        <f t="shared" si="89"/>
        <v>4.8128342245989302</v>
      </c>
      <c r="M1207" s="35">
        <f>2.92125*($T$2)</f>
        <v>5.8425000000000002</v>
      </c>
      <c r="N1207" s="35">
        <f>119.1*(5280/3600)</f>
        <v>174.67999999999998</v>
      </c>
      <c r="O1207" s="35">
        <f t="shared" si="87"/>
        <v>0.46912638509715754</v>
      </c>
      <c r="P1207" s="35">
        <f t="shared" si="90"/>
        <v>28.119435522723624</v>
      </c>
      <c r="Q1207" s="35">
        <f>('Batt Capacity and Sys Weight'!$I$5) + (B1207*$T$2)</f>
        <v>39.193753000000001</v>
      </c>
      <c r="R1207" s="35">
        <f>'Batt Capacity and Sys Weight'!$H$5</f>
        <v>99.9</v>
      </c>
    </row>
    <row r="1208" spans="1:18" x14ac:dyDescent="0.3">
      <c r="A1208" s="35" t="s">
        <v>203</v>
      </c>
      <c r="B1208" s="35">
        <v>3.81</v>
      </c>
      <c r="C1208" s="35">
        <v>1400</v>
      </c>
      <c r="D1208" s="35" t="s">
        <v>159</v>
      </c>
      <c r="E1208" s="36" t="str" cm="1">
        <f t="array" ref="E1208">GetNumber(D1208,1)</f>
        <v>6</v>
      </c>
      <c r="F1208" s="36" t="str" cm="1">
        <f t="array" ref="F1208">GetNumber(D1208,2)</f>
        <v>4</v>
      </c>
      <c r="G1208" s="35">
        <v>22.2</v>
      </c>
      <c r="H1208" s="35">
        <v>26790</v>
      </c>
      <c r="I1208" s="35">
        <f>32.83*($T$2)</f>
        <v>65.66</v>
      </c>
      <c r="J1208" s="35">
        <f>728.9*($T$2)</f>
        <v>1457.8</v>
      </c>
      <c r="K1208" s="35">
        <f t="shared" si="88"/>
        <v>4.1116751269035543</v>
      </c>
      <c r="L1208" s="35">
        <f t="shared" si="89"/>
        <v>4.1120925982333238</v>
      </c>
      <c r="M1208" s="35">
        <f>3.234375*($T$2)</f>
        <v>6.46875</v>
      </c>
      <c r="N1208" s="35">
        <f>101.5*(5280/3600)</f>
        <v>148.86666666666665</v>
      </c>
      <c r="O1208" s="35">
        <f t="shared" si="87"/>
        <v>0.44373370832761694</v>
      </c>
      <c r="P1208" s="35">
        <f t="shared" si="90"/>
        <v>26.597398477157366</v>
      </c>
      <c r="Q1208" s="35">
        <f>('Batt Capacity and Sys Weight'!$I$5) + (B1208*$T$2)</f>
        <v>39.193753000000001</v>
      </c>
      <c r="R1208" s="35">
        <f>'Batt Capacity and Sys Weight'!$H$5</f>
        <v>99.9</v>
      </c>
    </row>
    <row r="1209" spans="1:18" x14ac:dyDescent="0.3">
      <c r="A1209" s="35" t="s">
        <v>203</v>
      </c>
      <c r="B1209" s="35">
        <v>3.81</v>
      </c>
      <c r="C1209" s="35">
        <v>1400</v>
      </c>
      <c r="D1209" s="35" t="s">
        <v>151</v>
      </c>
      <c r="E1209" s="36" t="str" cm="1">
        <f t="array" ref="E1209">GetNumber(D1209,1)</f>
        <v>6</v>
      </c>
      <c r="F1209" s="36" cm="1">
        <f t="array" ref="F1209">GetNumber(D1209,2)+(GetNumber(D1209,3)/10)</f>
        <v>4.5</v>
      </c>
      <c r="G1209" s="35">
        <v>22.2</v>
      </c>
      <c r="H1209" s="35">
        <v>26102</v>
      </c>
      <c r="I1209" s="35">
        <f>38.99*($T$2)</f>
        <v>77.98</v>
      </c>
      <c r="J1209" s="35">
        <f>865.6*($T$2)</f>
        <v>1731.2</v>
      </c>
      <c r="K1209" s="35">
        <f t="shared" si="88"/>
        <v>3.4623382624768948</v>
      </c>
      <c r="L1209" s="35">
        <f t="shared" si="89"/>
        <v>3.4624262631443958</v>
      </c>
      <c r="M1209" s="35">
        <f>4.643125*($T$2)</f>
        <v>9.2862500000000008</v>
      </c>
      <c r="N1209" s="35">
        <f>111.2*(5280/3600)</f>
        <v>163.09333333333333</v>
      </c>
      <c r="O1209" s="35">
        <f t="shared" si="87"/>
        <v>0.53640538354898337</v>
      </c>
      <c r="P1209" s="35">
        <f t="shared" si="90"/>
        <v>32.152138689926069</v>
      </c>
      <c r="Q1209" s="35">
        <f>('Batt Capacity and Sys Weight'!$I$5) + (B1209*$T$2)</f>
        <v>39.193753000000001</v>
      </c>
      <c r="R1209" s="35">
        <f>'Batt Capacity and Sys Weight'!$H$5</f>
        <v>99.9</v>
      </c>
    </row>
    <row r="1210" spans="1:18" x14ac:dyDescent="0.3">
      <c r="A1210" s="35" t="s">
        <v>203</v>
      </c>
      <c r="B1210" s="35">
        <v>3.81</v>
      </c>
      <c r="C1210" s="35">
        <v>1400</v>
      </c>
      <c r="D1210" s="35" t="s">
        <v>161</v>
      </c>
      <c r="E1210" s="36" t="str" cm="1">
        <f t="array" ref="E1210">GetNumber(D1210,1)</f>
        <v>6</v>
      </c>
      <c r="F1210" s="36" cm="1">
        <f t="array" ref="F1210">GetNumber(D1210,2)+(GetNumber(D1210,3)/10)</f>
        <v>5.5</v>
      </c>
      <c r="G1210" s="35">
        <v>22.2</v>
      </c>
      <c r="H1210" s="35">
        <v>26125</v>
      </c>
      <c r="I1210" s="35">
        <f>38.72*($T$2)</f>
        <v>77.44</v>
      </c>
      <c r="J1210" s="35">
        <f>859.5*($T$2)</f>
        <v>1719</v>
      </c>
      <c r="K1210" s="35">
        <f t="shared" si="88"/>
        <v>3.4869109947643979</v>
      </c>
      <c r="L1210" s="35">
        <f t="shared" si="89"/>
        <v>3.4865702479338845</v>
      </c>
      <c r="M1210" s="35">
        <f>3.40375*($T$2)</f>
        <v>6.8075000000000001</v>
      </c>
      <c r="N1210" s="35">
        <f>136.1*(5280/3600)</f>
        <v>199.61333333333332</v>
      </c>
      <c r="O1210" s="35">
        <f t="shared" si="87"/>
        <v>0.39601512507271669</v>
      </c>
      <c r="P1210" s="35">
        <f t="shared" si="90"/>
        <v>23.73714659685864</v>
      </c>
      <c r="Q1210" s="35">
        <f>('Batt Capacity and Sys Weight'!$I$5) + (B1210*$T$2)</f>
        <v>39.193753000000001</v>
      </c>
      <c r="R1210" s="35">
        <f>'Batt Capacity and Sys Weight'!$H$5</f>
        <v>99.9</v>
      </c>
    </row>
    <row r="1211" spans="1:18" x14ac:dyDescent="0.3">
      <c r="A1211" s="35" t="s">
        <v>203</v>
      </c>
      <c r="B1211" s="35">
        <v>3.81</v>
      </c>
      <c r="C1211" s="35">
        <v>1400</v>
      </c>
      <c r="D1211" s="35" t="s">
        <v>166</v>
      </c>
      <c r="E1211" s="36" t="str" cm="1">
        <f t="array" ref="E1211">GetNumber(D1211,1)</f>
        <v>6</v>
      </c>
      <c r="F1211" s="36" t="str" cm="1">
        <f t="array" ref="F1211">GetNumber(D1211,2)</f>
        <v>4</v>
      </c>
      <c r="G1211" s="35">
        <v>22.2</v>
      </c>
      <c r="H1211" s="35">
        <v>26812</v>
      </c>
      <c r="I1211" s="35">
        <f>32.68*($T$2)</f>
        <v>65.36</v>
      </c>
      <c r="J1211" s="35">
        <f>725.4*($T$2)</f>
        <v>1450.8</v>
      </c>
      <c r="K1211" s="35">
        <f t="shared" si="88"/>
        <v>4.1315136476426808</v>
      </c>
      <c r="L1211" s="35">
        <f t="shared" si="89"/>
        <v>4.1309669522643819</v>
      </c>
      <c r="M1211" s="35">
        <f>3.88875*($T$2)</f>
        <v>7.7774999999999999</v>
      </c>
      <c r="N1211" s="35">
        <f>101.6*(5280/3600)</f>
        <v>149.01333333333332</v>
      </c>
      <c r="O1211" s="35">
        <f t="shared" si="87"/>
        <v>0.53608354011579817</v>
      </c>
      <c r="P1211" s="35">
        <f t="shared" si="90"/>
        <v>32.132847394540953</v>
      </c>
      <c r="Q1211" s="35">
        <f>('Batt Capacity and Sys Weight'!$I$5) + (B1211*$T$2)</f>
        <v>39.193753000000001</v>
      </c>
      <c r="R1211" s="35">
        <f>'Batt Capacity and Sys Weight'!$H$5</f>
        <v>99.9</v>
      </c>
    </row>
    <row r="1212" spans="1:18" x14ac:dyDescent="0.3">
      <c r="A1212" s="35" t="s">
        <v>205</v>
      </c>
      <c r="B1212" s="35">
        <v>3.81</v>
      </c>
      <c r="C1212" s="35">
        <v>1700</v>
      </c>
      <c r="D1212" s="35" t="s">
        <v>148</v>
      </c>
      <c r="E1212" s="36" t="str" cm="1">
        <f t="array" ref="E1212">GetNumber(D1212,1)</f>
        <v>7</v>
      </c>
      <c r="F1212" s="36" t="str" cm="1">
        <f t="array" ref="F1212">GetNumber(D1212,2)</f>
        <v>5</v>
      </c>
      <c r="G1212" s="35">
        <v>11.1</v>
      </c>
      <c r="H1212" s="35">
        <v>15689</v>
      </c>
      <c r="I1212" s="35">
        <f>34.49*($T$2)</f>
        <v>68.98</v>
      </c>
      <c r="J1212" s="35">
        <f>382.8*($T$2)</f>
        <v>765.6</v>
      </c>
      <c r="K1212" s="35">
        <f t="shared" si="88"/>
        <v>7.8291536050156738</v>
      </c>
      <c r="L1212" s="35">
        <f t="shared" si="89"/>
        <v>7.8283560452305005</v>
      </c>
      <c r="M1212" s="35">
        <f>2.48*($T$2)</f>
        <v>4.96</v>
      </c>
      <c r="N1212" s="35">
        <f>74.3*(5280/3600)</f>
        <v>108.97333333333331</v>
      </c>
      <c r="O1212" s="35">
        <f t="shared" si="87"/>
        <v>0.64785788923719956</v>
      </c>
      <c r="P1212" s="35">
        <f t="shared" si="90"/>
        <v>38.832601880877739</v>
      </c>
      <c r="Q1212" s="35">
        <f>('Batt Capacity and Sys Weight'!$I$2) + (B1212*$T$2)</f>
        <v>38.453000000000003</v>
      </c>
      <c r="R1212" s="35">
        <f>'Batt Capacity and Sys Weight'!$H$2</f>
        <v>99.9</v>
      </c>
    </row>
    <row r="1213" spans="1:18" x14ac:dyDescent="0.3">
      <c r="A1213" s="35" t="s">
        <v>205</v>
      </c>
      <c r="B1213" s="35">
        <v>3.81</v>
      </c>
      <c r="C1213" s="35">
        <v>1700</v>
      </c>
      <c r="D1213" s="35" t="s">
        <v>149</v>
      </c>
      <c r="E1213" s="36" t="str" cm="1">
        <f t="array" ref="E1213">GetNumber(D1213,1)</f>
        <v>7</v>
      </c>
      <c r="F1213" s="36" t="str" cm="1">
        <f t="array" ref="F1213">GetNumber(D1213,2)</f>
        <v>6</v>
      </c>
      <c r="G1213" s="35">
        <v>11.1</v>
      </c>
      <c r="H1213" s="35">
        <v>15675</v>
      </c>
      <c r="I1213" s="35">
        <f>36.16*($T$2)</f>
        <v>72.319999999999993</v>
      </c>
      <c r="J1213" s="35">
        <f>401.4*($T$2)</f>
        <v>802.8</v>
      </c>
      <c r="K1213" s="35">
        <f t="shared" si="88"/>
        <v>7.4663677130044848</v>
      </c>
      <c r="L1213" s="35">
        <f t="shared" si="89"/>
        <v>7.4668141592920358</v>
      </c>
      <c r="M1213" s="35">
        <f>2.7425*($T$2)</f>
        <v>5.4850000000000003</v>
      </c>
      <c r="N1213" s="35">
        <f>89.1*(5280/3600)</f>
        <v>130.67999999999998</v>
      </c>
      <c r="O1213" s="35">
        <f t="shared" si="87"/>
        <v>0.68323368211260604</v>
      </c>
      <c r="P1213" s="35">
        <f t="shared" si="90"/>
        <v>40.953026905829603</v>
      </c>
      <c r="Q1213" s="35">
        <f>('Batt Capacity and Sys Weight'!$I$2) + (B1213*$T$2)</f>
        <v>38.453000000000003</v>
      </c>
      <c r="R1213" s="35">
        <f>'Batt Capacity and Sys Weight'!$H$2</f>
        <v>99.9</v>
      </c>
    </row>
    <row r="1214" spans="1:18" x14ac:dyDescent="0.3">
      <c r="A1214" s="35" t="s">
        <v>205</v>
      </c>
      <c r="B1214" s="35">
        <v>3.81</v>
      </c>
      <c r="C1214" s="35">
        <v>1700</v>
      </c>
      <c r="D1214" s="35" t="s">
        <v>125</v>
      </c>
      <c r="E1214" s="36" t="str" cm="1">
        <f t="array" ref="E1214">GetNumber(D1214,1)</f>
        <v>7</v>
      </c>
      <c r="F1214" s="36" t="str" cm="1">
        <f t="array" ref="F1214">GetNumber(D1214,2)</f>
        <v>7</v>
      </c>
      <c r="G1214" s="35">
        <v>11.1</v>
      </c>
      <c r="H1214" s="35">
        <v>15013</v>
      </c>
      <c r="I1214" s="35">
        <f>43.22*($T$2)</f>
        <v>86.44</v>
      </c>
      <c r="J1214" s="35">
        <f>479.7*($T$2)</f>
        <v>959.4</v>
      </c>
      <c r="K1214" s="35">
        <f t="shared" si="88"/>
        <v>6.2476547842401509</v>
      </c>
      <c r="L1214" s="35">
        <f t="shared" si="89"/>
        <v>6.2471078204534933</v>
      </c>
      <c r="M1214" s="35">
        <f>2.576875*($T$2)</f>
        <v>5.1537499999999996</v>
      </c>
      <c r="N1214" s="35">
        <f>99.5*(5280/3600)</f>
        <v>145.93333333333334</v>
      </c>
      <c r="O1214" s="35">
        <f t="shared" si="87"/>
        <v>0.53718469877006458</v>
      </c>
      <c r="P1214" s="35">
        <f t="shared" si="90"/>
        <v>32.198850844277672</v>
      </c>
      <c r="Q1214" s="35">
        <f>('Batt Capacity and Sys Weight'!$I$2) + (B1214*$T$2)</f>
        <v>38.453000000000003</v>
      </c>
      <c r="R1214" s="35">
        <f>'Batt Capacity and Sys Weight'!$H$2</f>
        <v>99.9</v>
      </c>
    </row>
    <row r="1215" spans="1:18" x14ac:dyDescent="0.3">
      <c r="A1215" s="35" t="s">
        <v>205</v>
      </c>
      <c r="B1215" s="35">
        <v>3.81</v>
      </c>
      <c r="C1215" s="35">
        <v>1700</v>
      </c>
      <c r="D1215" s="35" t="s">
        <v>126</v>
      </c>
      <c r="E1215" s="36" t="str" cm="1">
        <f t="array" ref="E1215">GetNumber(D1215,1)</f>
        <v>8</v>
      </c>
      <c r="F1215" s="36" t="str" cm="1">
        <f t="array" ref="F1215">GetNumber(D1215,2)</f>
        <v>4</v>
      </c>
      <c r="G1215" s="35">
        <v>11.1</v>
      </c>
      <c r="H1215" s="35">
        <v>15244</v>
      </c>
      <c r="I1215" s="35">
        <f>40.76*($T$2)</f>
        <v>81.52</v>
      </c>
      <c r="J1215" s="35">
        <f>452.4*($T$2)</f>
        <v>904.8</v>
      </c>
      <c r="K1215" s="35">
        <f t="shared" si="88"/>
        <v>6.6246684350132634</v>
      </c>
      <c r="L1215" s="35">
        <f t="shared" si="89"/>
        <v>6.6241413150147208</v>
      </c>
      <c r="M1215" s="35">
        <f>3.373125*($T$2)</f>
        <v>6.7462499999999999</v>
      </c>
      <c r="N1215" s="35">
        <f>57.7*(5280/3600)</f>
        <v>84.626666666666665</v>
      </c>
      <c r="O1215" s="35">
        <f t="shared" si="87"/>
        <v>0.74560676392572944</v>
      </c>
      <c r="P1215" s="35">
        <f t="shared" si="90"/>
        <v>44.691669429708227</v>
      </c>
      <c r="Q1215" s="35">
        <f>('Batt Capacity and Sys Weight'!$I$2) + (B1215*$T$2)</f>
        <v>38.453000000000003</v>
      </c>
      <c r="R1215" s="35">
        <f>'Batt Capacity and Sys Weight'!$H$2</f>
        <v>99.9</v>
      </c>
    </row>
    <row r="1216" spans="1:18" x14ac:dyDescent="0.3">
      <c r="A1216" s="35" t="s">
        <v>205</v>
      </c>
      <c r="B1216" s="35">
        <v>3.81</v>
      </c>
      <c r="C1216" s="35">
        <v>1700</v>
      </c>
      <c r="D1216" s="35" t="s">
        <v>141</v>
      </c>
      <c r="E1216" s="36" t="str" cm="1">
        <f t="array" ref="E1216">GetNumber(D1216,1)</f>
        <v>7</v>
      </c>
      <c r="F1216" s="36" t="str" cm="1">
        <f t="array" ref="F1216">GetNumber(D1216,2)</f>
        <v>6</v>
      </c>
      <c r="G1216" s="35">
        <v>11.1</v>
      </c>
      <c r="H1216" s="35">
        <v>15364</v>
      </c>
      <c r="I1216" s="35">
        <f>39.34*($T$2)</f>
        <v>78.680000000000007</v>
      </c>
      <c r="J1216" s="35">
        <f>436.7*($T$2)</f>
        <v>873.4</v>
      </c>
      <c r="K1216" s="35">
        <f t="shared" si="88"/>
        <v>6.8628348980993827</v>
      </c>
      <c r="L1216" s="35">
        <f t="shared" si="89"/>
        <v>6.8632435180477875</v>
      </c>
      <c r="M1216" s="35">
        <f>2.120625*($T$2)</f>
        <v>4.24125</v>
      </c>
      <c r="N1216" s="35">
        <f>87.3*(5280/3600)</f>
        <v>128.04</v>
      </c>
      <c r="O1216" s="35">
        <f t="shared" si="87"/>
        <v>0.48560224410350356</v>
      </c>
      <c r="P1216" s="35">
        <f t="shared" si="90"/>
        <v>29.106998511564008</v>
      </c>
      <c r="Q1216" s="35">
        <f>('Batt Capacity and Sys Weight'!$I$2) + (B1216*$T$2)</f>
        <v>38.453000000000003</v>
      </c>
      <c r="R1216" s="35">
        <f>'Batt Capacity and Sys Weight'!$H$2</f>
        <v>99.9</v>
      </c>
    </row>
    <row r="1217" spans="1:18" x14ac:dyDescent="0.3">
      <c r="A1217" s="35" t="s">
        <v>205</v>
      </c>
      <c r="B1217" s="35">
        <v>3.81</v>
      </c>
      <c r="C1217" s="35">
        <v>1700</v>
      </c>
      <c r="D1217" s="35" t="s">
        <v>143</v>
      </c>
      <c r="E1217" s="36" t="str" cm="1">
        <f t="array" ref="E1217">GetNumber(D1217,1)</f>
        <v>8</v>
      </c>
      <c r="F1217" s="36" t="str" cm="1">
        <f t="array" ref="F1217">GetNumber(D1217,2)</f>
        <v>5</v>
      </c>
      <c r="G1217" s="35">
        <v>11.1</v>
      </c>
      <c r="H1217" s="35">
        <v>15588</v>
      </c>
      <c r="I1217" s="35">
        <f>37.21*($T$2)</f>
        <v>74.42</v>
      </c>
      <c r="J1217" s="35">
        <f>413.1*($T$2)</f>
        <v>826.2</v>
      </c>
      <c r="K1217" s="35">
        <f t="shared" si="88"/>
        <v>7.2549019607843137</v>
      </c>
      <c r="L1217" s="35">
        <f t="shared" si="89"/>
        <v>7.2561139478634775</v>
      </c>
      <c r="M1217" s="35">
        <f>3.231875*($T$2)</f>
        <v>6.4637500000000001</v>
      </c>
      <c r="N1217" s="35">
        <f>73.8*(5280/3600)</f>
        <v>108.24</v>
      </c>
      <c r="O1217" s="35">
        <f t="shared" si="87"/>
        <v>0.78234688937303309</v>
      </c>
      <c r="P1217" s="35">
        <f t="shared" si="90"/>
        <v>46.893872549019612</v>
      </c>
      <c r="Q1217" s="35">
        <f>('Batt Capacity and Sys Weight'!$I$2) + (B1217*$T$2)</f>
        <v>38.453000000000003</v>
      </c>
      <c r="R1217" s="35">
        <f>'Batt Capacity and Sys Weight'!$H$2</f>
        <v>99.9</v>
      </c>
    </row>
    <row r="1218" spans="1:18" x14ac:dyDescent="0.3">
      <c r="A1218" s="35" t="s">
        <v>205</v>
      </c>
      <c r="B1218" s="35">
        <v>3.81</v>
      </c>
      <c r="C1218" s="35">
        <v>1700</v>
      </c>
      <c r="D1218" s="35" t="s">
        <v>160</v>
      </c>
      <c r="E1218" s="36" t="str" cm="1">
        <f t="array" ref="E1218">GetNumber(D1218,1)</f>
        <v>6</v>
      </c>
      <c r="F1218" s="36" cm="1">
        <f t="array" ref="F1218">GetNumber(D1218,2)+(GetNumber(D1218,3)/10)</f>
        <v>4.3</v>
      </c>
      <c r="G1218" s="35">
        <v>14.8</v>
      </c>
      <c r="H1218" s="35">
        <v>21375</v>
      </c>
      <c r="I1218" s="35">
        <f>35.39*($T$2)</f>
        <v>70.78</v>
      </c>
      <c r="J1218" s="35">
        <f>523.7*($T$2)</f>
        <v>1047.4000000000001</v>
      </c>
      <c r="K1218" s="35">
        <f t="shared" si="88"/>
        <v>5.5955699828145882</v>
      </c>
      <c r="L1218" s="35">
        <f t="shared" si="89"/>
        <v>5.5948007911839506</v>
      </c>
      <c r="M1218" s="35">
        <f>3.188125*($T$2)</f>
        <v>6.3762499999999998</v>
      </c>
      <c r="N1218" s="35">
        <f>87*(5280/3600)</f>
        <v>127.6</v>
      </c>
      <c r="O1218" s="35">
        <f t="shared" ref="O1218:O1281" si="91" xml:space="preserve"> (M1218/J1218)*100</f>
        <v>0.60876933358793195</v>
      </c>
      <c r="P1218" s="35">
        <f t="shared" si="90"/>
        <v>35.678753102921519</v>
      </c>
      <c r="Q1218" s="35">
        <f>('Batt Capacity and Sys Weight'!$I$3) + (B1218*$T$2)</f>
        <v>34.008474999999997</v>
      </c>
      <c r="R1218" s="35">
        <f>'Batt Capacity and Sys Weight'!$H$3</f>
        <v>97.68</v>
      </c>
    </row>
    <row r="1219" spans="1:18" x14ac:dyDescent="0.3">
      <c r="A1219" s="35" t="s">
        <v>205</v>
      </c>
      <c r="B1219" s="35">
        <v>3.81</v>
      </c>
      <c r="C1219" s="35">
        <v>1700</v>
      </c>
      <c r="D1219" s="35" t="s">
        <v>151</v>
      </c>
      <c r="E1219" s="36" t="str" cm="1">
        <f t="array" ref="E1219">GetNumber(D1219,1)</f>
        <v>6</v>
      </c>
      <c r="F1219" s="36" cm="1">
        <f t="array" ref="F1219">GetNumber(D1219,2)+(GetNumber(D1219,3)/10)</f>
        <v>4.5</v>
      </c>
      <c r="G1219" s="35">
        <v>14.8</v>
      </c>
      <c r="H1219" s="35">
        <v>21590</v>
      </c>
      <c r="I1219" s="35">
        <f>33.58*($T$2)</f>
        <v>67.16</v>
      </c>
      <c r="J1219" s="35">
        <f>497*($T$2)</f>
        <v>994</v>
      </c>
      <c r="K1219" s="35">
        <f t="shared" ref="K1219:K1282" si="92" xml:space="preserve"> (R1219/J1219)*60</f>
        <v>5.896177062374246</v>
      </c>
      <c r="L1219" s="35">
        <f t="shared" ref="L1219:L1282" si="93">( (R1219/G1219)/I1219)*60</f>
        <v>5.8963668850506261</v>
      </c>
      <c r="M1219" s="35">
        <f>3.20125*($T$2)</f>
        <v>6.4024999999999999</v>
      </c>
      <c r="N1219" s="35">
        <f>92*(5280/3600)</f>
        <v>134.93333333333334</v>
      </c>
      <c r="O1219" s="35">
        <f t="shared" si="91"/>
        <v>0.64411468812877259</v>
      </c>
      <c r="P1219" s="35">
        <f t="shared" si="90"/>
        <v>37.750273641851109</v>
      </c>
      <c r="Q1219" s="35">
        <f>('Batt Capacity and Sys Weight'!$I$3) + (B1219*$T$2)</f>
        <v>34.008474999999997</v>
      </c>
      <c r="R1219" s="35">
        <f>'Batt Capacity and Sys Weight'!$H$3</f>
        <v>97.68</v>
      </c>
    </row>
    <row r="1220" spans="1:18" x14ac:dyDescent="0.3">
      <c r="A1220" s="35" t="s">
        <v>205</v>
      </c>
      <c r="B1220" s="35">
        <v>3.81</v>
      </c>
      <c r="C1220" s="35">
        <v>1700</v>
      </c>
      <c r="D1220" s="35" t="s">
        <v>161</v>
      </c>
      <c r="E1220" s="36" t="str" cm="1">
        <f t="array" ref="E1220">GetNumber(D1220,1)</f>
        <v>6</v>
      </c>
      <c r="F1220" s="36" cm="1">
        <f t="array" ref="F1220">GetNumber(D1220,2)+(GetNumber(D1220,3)/10)</f>
        <v>5.5</v>
      </c>
      <c r="G1220" s="35">
        <v>14.8</v>
      </c>
      <c r="H1220" s="35">
        <v>21743</v>
      </c>
      <c r="I1220" s="35">
        <f>31.79*($T$2)</f>
        <v>63.58</v>
      </c>
      <c r="J1220" s="35">
        <f>470.5*($T$2)</f>
        <v>941</v>
      </c>
      <c r="K1220" s="35">
        <f t="shared" si="92"/>
        <v>6.2282678002125396</v>
      </c>
      <c r="L1220" s="35">
        <f t="shared" si="93"/>
        <v>6.2283737024221457</v>
      </c>
      <c r="M1220" s="35">
        <f>2.400625*($T$2)</f>
        <v>4.8012499999999996</v>
      </c>
      <c r="N1220" s="35">
        <f>113.2*(5280/3600)</f>
        <v>166.02666666666667</v>
      </c>
      <c r="O1220" s="35">
        <f t="shared" si="91"/>
        <v>0.51022848034006374</v>
      </c>
      <c r="P1220" s="35">
        <f t="shared" si="90"/>
        <v>29.903470775770455</v>
      </c>
      <c r="Q1220" s="35">
        <f>('Batt Capacity and Sys Weight'!$I$3) + (B1220*$T$2)</f>
        <v>34.008474999999997</v>
      </c>
      <c r="R1220" s="35">
        <f>'Batt Capacity and Sys Weight'!$H$3</f>
        <v>97.68</v>
      </c>
    </row>
    <row r="1221" spans="1:18" x14ac:dyDescent="0.3">
      <c r="A1221" s="35" t="s">
        <v>205</v>
      </c>
      <c r="B1221" s="35">
        <v>3.81</v>
      </c>
      <c r="C1221" s="35">
        <v>1700</v>
      </c>
      <c r="D1221" s="35" t="s">
        <v>152</v>
      </c>
      <c r="E1221" s="36" t="str" cm="1">
        <f t="array" ref="E1221">GetNumber(D1221,1)</f>
        <v>6</v>
      </c>
      <c r="F1221" s="36" t="str" cm="1">
        <f t="array" ref="F1221">GetNumber(D1221,2)</f>
        <v>6</v>
      </c>
      <c r="G1221" s="35">
        <v>14.8</v>
      </c>
      <c r="H1221" s="35">
        <v>21290</v>
      </c>
      <c r="I1221" s="35">
        <f>36.3*($T$2)</f>
        <v>72.599999999999994</v>
      </c>
      <c r="J1221" s="35">
        <f>537.2*($T$2)</f>
        <v>1074.4000000000001</v>
      </c>
      <c r="K1221" s="35">
        <f t="shared" si="92"/>
        <v>5.4549516008935219</v>
      </c>
      <c r="L1221" s="35">
        <f t="shared" si="93"/>
        <v>5.4545454545454559</v>
      </c>
      <c r="M1221" s="35">
        <f>2.425*($T$2)</f>
        <v>4.8499999999999996</v>
      </c>
      <c r="N1221" s="35">
        <f>121*(5280/3600)</f>
        <v>177.46666666666664</v>
      </c>
      <c r="O1221" s="35">
        <f t="shared" si="91"/>
        <v>0.45141474311243479</v>
      </c>
      <c r="P1221" s="35">
        <f t="shared" si="90"/>
        <v>26.456515264333579</v>
      </c>
      <c r="Q1221" s="35">
        <f>('Batt Capacity and Sys Weight'!$I$3) + (B1221*$T$2)</f>
        <v>34.008474999999997</v>
      </c>
      <c r="R1221" s="35">
        <f>'Batt Capacity and Sys Weight'!$H$3</f>
        <v>97.68</v>
      </c>
    </row>
    <row r="1222" spans="1:18" x14ac:dyDescent="0.3">
      <c r="A1222" s="35" t="s">
        <v>205</v>
      </c>
      <c r="B1222" s="35">
        <v>3.81</v>
      </c>
      <c r="C1222" s="35">
        <v>1700</v>
      </c>
      <c r="D1222" s="35" t="s">
        <v>162</v>
      </c>
      <c r="E1222" s="36" cm="1">
        <f t="array" ref="E1222">GetNumber(D1222, 1) + (GetNumber(D1222, 2)/10)</f>
        <v>6.5</v>
      </c>
      <c r="F1222" s="36" cm="1">
        <f t="array" ref="F1222">GetNumber(D1222, 3) + (GetNumber(D1222, 4)/10)</f>
        <v>5</v>
      </c>
      <c r="G1222" s="35">
        <v>14.8</v>
      </c>
      <c r="H1222" s="35">
        <v>21600</v>
      </c>
      <c r="I1222" s="35">
        <f>34.92*($T$2)</f>
        <v>69.84</v>
      </c>
      <c r="J1222" s="35">
        <f>516.8*($T$2)</f>
        <v>1033.5999999999999</v>
      </c>
      <c r="K1222" s="35">
        <f t="shared" si="92"/>
        <v>5.6702786377708989</v>
      </c>
      <c r="L1222" s="35">
        <f t="shared" si="93"/>
        <v>5.6701030927835046</v>
      </c>
      <c r="M1222" s="35">
        <f>2.61*($T$2)</f>
        <v>5.22</v>
      </c>
      <c r="N1222" s="35">
        <f>102.3*(5280/3600)</f>
        <v>150.04</v>
      </c>
      <c r="O1222" s="35">
        <f t="shared" si="91"/>
        <v>0.50503095975232204</v>
      </c>
      <c r="P1222" s="35">
        <f t="shared" si="90"/>
        <v>29.59885448916409</v>
      </c>
      <c r="Q1222" s="35">
        <f>('Batt Capacity and Sys Weight'!$I$3) + (B1222*$T$2)</f>
        <v>34.008474999999997</v>
      </c>
      <c r="R1222" s="35">
        <f>'Batt Capacity and Sys Weight'!$H$3</f>
        <v>97.68</v>
      </c>
    </row>
    <row r="1223" spans="1:18" x14ac:dyDescent="0.3">
      <c r="A1223" s="35" t="s">
        <v>205</v>
      </c>
      <c r="B1223" s="35">
        <v>3.81</v>
      </c>
      <c r="C1223" s="35">
        <v>1700</v>
      </c>
      <c r="D1223" s="35" t="s">
        <v>163</v>
      </c>
      <c r="E1223" s="36" cm="1">
        <f t="array" ref="E1223">GetNumber(D1223, 1) + (GetNumber(D1223, 2)/10)</f>
        <v>6.5</v>
      </c>
      <c r="F1223" s="36" cm="1">
        <f t="array" ref="F1223">GetNumber(D1223, 3) + (GetNumber(D1223, 4)/10)</f>
        <v>5.5</v>
      </c>
      <c r="G1223" s="35">
        <v>14.8</v>
      </c>
      <c r="H1223" s="35">
        <v>21420</v>
      </c>
      <c r="I1223" s="35">
        <f>36.71*($T$2)</f>
        <v>73.42</v>
      </c>
      <c r="J1223" s="35">
        <f>543.3*($T$2)</f>
        <v>1086.5999999999999</v>
      </c>
      <c r="K1223" s="35">
        <f t="shared" si="92"/>
        <v>5.3937051352843737</v>
      </c>
      <c r="L1223" s="35">
        <f t="shared" si="93"/>
        <v>5.3936257150640152</v>
      </c>
      <c r="M1223" s="35">
        <f>2.645625*($T$2)</f>
        <v>5.2912499999999998</v>
      </c>
      <c r="N1223" s="35">
        <f>111.6*(5280/3600)</f>
        <v>163.67999999999998</v>
      </c>
      <c r="O1223" s="35">
        <f t="shared" si="91"/>
        <v>0.48695472114853677</v>
      </c>
      <c r="P1223" s="35">
        <f t="shared" si="90"/>
        <v>28.539442297073442</v>
      </c>
      <c r="Q1223" s="35">
        <f>('Batt Capacity and Sys Weight'!$I$3) + (B1223*$T$2)</f>
        <v>34.008474999999997</v>
      </c>
      <c r="R1223" s="35">
        <f>'Batt Capacity and Sys Weight'!$H$3</f>
        <v>97.68</v>
      </c>
    </row>
    <row r="1224" spans="1:18" x14ac:dyDescent="0.3">
      <c r="A1224" s="35" t="s">
        <v>205</v>
      </c>
      <c r="B1224" s="35">
        <v>3.81</v>
      </c>
      <c r="C1224" s="35">
        <v>1700</v>
      </c>
      <c r="D1224" s="35" t="s">
        <v>164</v>
      </c>
      <c r="E1224" s="36" cm="1">
        <f t="array" ref="E1224">GetNumber(D1224, 1) + (GetNumber(D1224, 2)/10)</f>
        <v>6.5</v>
      </c>
      <c r="F1224" s="36" cm="1">
        <f t="array" ref="F1224">GetNumber(D1224, 3) + (GetNumber(D1224, 4)/10)</f>
        <v>6</v>
      </c>
      <c r="G1224" s="35">
        <v>14.8</v>
      </c>
      <c r="H1224" s="35">
        <v>21030</v>
      </c>
      <c r="I1224" s="35">
        <f>40.41*($T$2)</f>
        <v>80.819999999999993</v>
      </c>
      <c r="J1224" s="35">
        <f>598.1*($T$2)</f>
        <v>1196.2</v>
      </c>
      <c r="K1224" s="35">
        <f t="shared" si="92"/>
        <v>4.8995151312489558</v>
      </c>
      <c r="L1224" s="35">
        <f t="shared" si="93"/>
        <v>4.8997772828507804</v>
      </c>
      <c r="M1224" s="35">
        <f>2.63875*($T$2)</f>
        <v>5.2774999999999999</v>
      </c>
      <c r="N1224" s="35">
        <f>119.5*(5280/3600)</f>
        <v>175.26666666666665</v>
      </c>
      <c r="O1224" s="35">
        <f t="shared" si="91"/>
        <v>0.4411887644206654</v>
      </c>
      <c r="P1224" s="35">
        <f t="shared" si="90"/>
        <v>25.857191105166365</v>
      </c>
      <c r="Q1224" s="35">
        <f>('Batt Capacity and Sys Weight'!$I$3) + (B1224*$T$2)</f>
        <v>34.008474999999997</v>
      </c>
      <c r="R1224" s="35">
        <f>'Batt Capacity and Sys Weight'!$H$3</f>
        <v>97.68</v>
      </c>
    </row>
    <row r="1225" spans="1:18" x14ac:dyDescent="0.3">
      <c r="A1225" s="35" t="s">
        <v>205</v>
      </c>
      <c r="B1225" s="35">
        <v>3.81</v>
      </c>
      <c r="C1225" s="35">
        <v>1700</v>
      </c>
      <c r="D1225" s="35" t="s">
        <v>165</v>
      </c>
      <c r="E1225" s="36" cm="1">
        <f t="array" ref="E1225">GetNumber(D1225, 1) + (GetNumber(D1225, 2)/10)</f>
        <v>6.5</v>
      </c>
      <c r="F1225" s="36" cm="1">
        <f t="array" ref="F1225">GetNumber(D1225, 3) + (GetNumber(D1225, 4)/10)</f>
        <v>6.5</v>
      </c>
      <c r="G1225" s="35">
        <v>14.8</v>
      </c>
      <c r="H1225" s="35">
        <v>20850</v>
      </c>
      <c r="I1225" s="35">
        <f>42.31*($T$2)</f>
        <v>84.62</v>
      </c>
      <c r="J1225" s="35">
        <f>626.1*($T$2)</f>
        <v>1252.2</v>
      </c>
      <c r="K1225" s="35">
        <f t="shared" si="92"/>
        <v>4.6804024916147577</v>
      </c>
      <c r="L1225" s="35">
        <f t="shared" si="93"/>
        <v>4.6797447411959352</v>
      </c>
      <c r="M1225" s="35">
        <f>2.5725*($T$2)</f>
        <v>5.1449999999999996</v>
      </c>
      <c r="N1225" s="35">
        <f>128.3*(5280/3600)</f>
        <v>188.17333333333335</v>
      </c>
      <c r="O1225" s="35">
        <f t="shared" si="91"/>
        <v>0.41087685673215141</v>
      </c>
      <c r="P1225" s="35">
        <f t="shared" si="90"/>
        <v>24.080670819357927</v>
      </c>
      <c r="Q1225" s="35">
        <f>('Batt Capacity and Sys Weight'!$I$3) + (B1225*$T$2)</f>
        <v>34.008474999999997</v>
      </c>
      <c r="R1225" s="35">
        <f>'Batt Capacity and Sys Weight'!$H$3</f>
        <v>97.68</v>
      </c>
    </row>
    <row r="1226" spans="1:18" x14ac:dyDescent="0.3">
      <c r="A1226" s="35" t="s">
        <v>205</v>
      </c>
      <c r="B1226" s="35">
        <v>3.81</v>
      </c>
      <c r="C1226" s="35">
        <v>1700</v>
      </c>
      <c r="D1226" s="35" t="s">
        <v>144</v>
      </c>
      <c r="E1226" s="36" t="str" cm="1">
        <f t="array" ref="E1226">GetNumber(D1226,1)</f>
        <v>7</v>
      </c>
      <c r="F1226" s="36" t="str" cm="1">
        <f t="array" ref="F1226">GetNumber(D1226,2)</f>
        <v>4</v>
      </c>
      <c r="G1226" s="35">
        <v>14.8</v>
      </c>
      <c r="H1226" s="35">
        <v>20633</v>
      </c>
      <c r="I1226" s="35">
        <f>44.32*($T$2)</f>
        <v>88.64</v>
      </c>
      <c r="J1226" s="35">
        <f>655.9*($T$2)</f>
        <v>1311.8</v>
      </c>
      <c r="K1226" s="35">
        <f t="shared" si="92"/>
        <v>4.4677542308278708</v>
      </c>
      <c r="L1226" s="35">
        <f t="shared" si="93"/>
        <v>4.4675090252707585</v>
      </c>
      <c r="M1226" s="35">
        <f>3.975*($T$2)</f>
        <v>7.95</v>
      </c>
      <c r="N1226" s="35">
        <f>78.2*(5280/3600)</f>
        <v>114.69333333333333</v>
      </c>
      <c r="O1226" s="35">
        <f t="shared" si="91"/>
        <v>0.60603750571733506</v>
      </c>
      <c r="P1226" s="35">
        <f t="shared" si="90"/>
        <v>35.518646135081575</v>
      </c>
      <c r="Q1226" s="35">
        <f>('Batt Capacity and Sys Weight'!$I$3) + (B1226*$T$2)</f>
        <v>34.008474999999997</v>
      </c>
      <c r="R1226" s="35">
        <f>'Batt Capacity and Sys Weight'!$H$3</f>
        <v>97.68</v>
      </c>
    </row>
    <row r="1227" spans="1:18" x14ac:dyDescent="0.3">
      <c r="A1227" s="35" t="s">
        <v>205</v>
      </c>
      <c r="B1227" s="35">
        <v>3.81</v>
      </c>
      <c r="C1227" s="35">
        <v>1700</v>
      </c>
      <c r="D1227" s="35" t="s">
        <v>204</v>
      </c>
      <c r="E1227" s="36">
        <v>5</v>
      </c>
      <c r="F1227" s="36">
        <v>4.3</v>
      </c>
      <c r="G1227" s="35">
        <v>18.5</v>
      </c>
      <c r="H1227" s="35">
        <v>27367</v>
      </c>
      <c r="I1227" s="35">
        <f>33.44*($T$2)</f>
        <v>66.88</v>
      </c>
      <c r="J1227" s="35">
        <f>618.6*($T$2)</f>
        <v>1237.2</v>
      </c>
      <c r="K1227" s="35">
        <f t="shared" si="92"/>
        <v>4.4859359844810864</v>
      </c>
      <c r="L1227" s="35">
        <f t="shared" si="93"/>
        <v>4.4856459330143545</v>
      </c>
      <c r="M1227" s="35">
        <f>2.729375*($T$2)</f>
        <v>5.4587500000000002</v>
      </c>
      <c r="N1227" s="35">
        <f>111.4*(5280/3600)</f>
        <v>163.38666666666666</v>
      </c>
      <c r="O1227" s="35">
        <f t="shared" si="91"/>
        <v>0.44121807306821859</v>
      </c>
      <c r="P1227" s="35">
        <f t="shared" si="90"/>
        <v>24.487603055286133</v>
      </c>
      <c r="Q1227" s="35">
        <f>('Batt Capacity and Sys Weight'!$I$4) + (B1227*$T$2)</f>
        <v>34.784503000000001</v>
      </c>
      <c r="R1227" s="35">
        <f>'Batt Capacity and Sys Weight'!$H$4</f>
        <v>92.5</v>
      </c>
    </row>
    <row r="1228" spans="1:18" x14ac:dyDescent="0.3">
      <c r="A1228" s="35" t="s">
        <v>205</v>
      </c>
      <c r="B1228" s="35">
        <v>3.81</v>
      </c>
      <c r="C1228" s="35">
        <v>1700</v>
      </c>
      <c r="D1228" s="35" t="s">
        <v>199</v>
      </c>
      <c r="E1228" s="36" t="str" cm="1">
        <f t="array" ref="E1228">GetNumber(D1228,1)</f>
        <v>5</v>
      </c>
      <c r="F1228" s="36" cm="1">
        <f t="array" ref="F1228">GetNumber(D1228,2)+(GetNumber(D1228,3)/10)</f>
        <v>4.5</v>
      </c>
      <c r="G1228" s="35">
        <v>18.5</v>
      </c>
      <c r="H1228" s="35">
        <v>27003</v>
      </c>
      <c r="I1228" s="35">
        <f>36.22*($T$2)</f>
        <v>72.44</v>
      </c>
      <c r="J1228" s="35">
        <f>670*($T$2)</f>
        <v>1340</v>
      </c>
      <c r="K1228" s="35">
        <f t="shared" si="92"/>
        <v>4.1417910447761201</v>
      </c>
      <c r="L1228" s="35">
        <f t="shared" si="93"/>
        <v>4.1413583655438986</v>
      </c>
      <c r="M1228" s="35">
        <f>2.7225*($T$2)</f>
        <v>5.4450000000000003</v>
      </c>
      <c r="N1228" s="35">
        <f>115.1*(5280/3600)</f>
        <v>168.8133333333333</v>
      </c>
      <c r="O1228" s="35">
        <f t="shared" si="91"/>
        <v>0.40634328358208954</v>
      </c>
      <c r="P1228" s="35">
        <f t="shared" si="90"/>
        <v>22.552052238805974</v>
      </c>
      <c r="Q1228" s="35">
        <f>('Batt Capacity and Sys Weight'!$I$4) + (B1228*$T$2)</f>
        <v>34.784503000000001</v>
      </c>
      <c r="R1228" s="35">
        <f>'Batt Capacity and Sys Weight'!$H$4</f>
        <v>92.5</v>
      </c>
    </row>
    <row r="1229" spans="1:18" x14ac:dyDescent="0.3">
      <c r="A1229" s="35" t="s">
        <v>205</v>
      </c>
      <c r="B1229" s="35">
        <v>3.81</v>
      </c>
      <c r="C1229" s="35">
        <v>1700</v>
      </c>
      <c r="D1229" s="35" t="s">
        <v>200</v>
      </c>
      <c r="E1229" s="36" t="str" cm="1">
        <f t="array" ref="E1229">GetNumber(D1229,1)</f>
        <v>5</v>
      </c>
      <c r="F1229" s="36" cm="1">
        <f t="array" ref="F1229">GetNumber(D1229,2)+(GetNumber(D1229,3)/10)</f>
        <v>4.5999999999999996</v>
      </c>
      <c r="G1229" s="35">
        <v>18.5</v>
      </c>
      <c r="H1229" s="35">
        <v>27176</v>
      </c>
      <c r="I1229" s="35">
        <f>34.69*($T$2)</f>
        <v>69.38</v>
      </c>
      <c r="J1229" s="35">
        <f>641.8*($T$2)</f>
        <v>1283.5999999999999</v>
      </c>
      <c r="K1229" s="35">
        <f t="shared" si="92"/>
        <v>4.3237768775319418</v>
      </c>
      <c r="L1229" s="35">
        <f t="shared" si="93"/>
        <v>4.3240126837705386</v>
      </c>
      <c r="M1229" s="35">
        <f>2.89875*($T$2)</f>
        <v>5.7975000000000003</v>
      </c>
      <c r="N1229" s="35">
        <f>118.4*(5280/3600)</f>
        <v>173.65333333333334</v>
      </c>
      <c r="O1229" s="35">
        <f t="shared" si="91"/>
        <v>0.4516593954502961</v>
      </c>
      <c r="P1229" s="35">
        <f t="shared" si="90"/>
        <v>25.067096447491434</v>
      </c>
      <c r="Q1229" s="35">
        <f>('Batt Capacity and Sys Weight'!$I$4) + (B1229*$T$2)</f>
        <v>34.784503000000001</v>
      </c>
      <c r="R1229" s="35">
        <f>'Batt Capacity and Sys Weight'!$H$4</f>
        <v>92.5</v>
      </c>
    </row>
    <row r="1230" spans="1:18" x14ac:dyDescent="0.3">
      <c r="A1230" s="35" t="s">
        <v>205</v>
      </c>
      <c r="B1230" s="35">
        <v>3.81</v>
      </c>
      <c r="C1230" s="35">
        <v>1700</v>
      </c>
      <c r="D1230" s="35" t="s">
        <v>159</v>
      </c>
      <c r="E1230" s="36" t="str" cm="1">
        <f t="array" ref="E1230">GetNumber(D1230,1)</f>
        <v>6</v>
      </c>
      <c r="F1230" s="36" t="str" cm="1">
        <f t="array" ref="F1230">GetNumber(D1230,2)</f>
        <v>4</v>
      </c>
      <c r="G1230" s="35">
        <v>18.5</v>
      </c>
      <c r="H1230" s="35">
        <v>26605</v>
      </c>
      <c r="I1230" s="35">
        <f>40.17*($T$2)</f>
        <v>80.34</v>
      </c>
      <c r="J1230" s="35">
        <f>743.1*($T$2)</f>
        <v>1486.2</v>
      </c>
      <c r="K1230" s="35">
        <f t="shared" si="92"/>
        <v>3.7343560758982641</v>
      </c>
      <c r="L1230" s="35">
        <f t="shared" si="93"/>
        <v>3.7341299477221805</v>
      </c>
      <c r="M1230" s="35">
        <f>3.214375*($T$2)</f>
        <v>6.42875</v>
      </c>
      <c r="N1230" s="35">
        <f>100.8*(5280/3600)</f>
        <v>147.83999999999997</v>
      </c>
      <c r="O1230" s="35">
        <f t="shared" si="91"/>
        <v>0.43256291212488229</v>
      </c>
      <c r="P1230" s="35">
        <f t="shared" si="90"/>
        <v>24.007241622930966</v>
      </c>
      <c r="Q1230" s="35">
        <f>('Batt Capacity and Sys Weight'!$I$4) + (B1230*$T$2)</f>
        <v>34.784503000000001</v>
      </c>
      <c r="R1230" s="35">
        <f>'Batt Capacity and Sys Weight'!$H$4</f>
        <v>92.5</v>
      </c>
    </row>
    <row r="1231" spans="1:18" x14ac:dyDescent="0.3">
      <c r="A1231" s="35" t="s">
        <v>205</v>
      </c>
      <c r="B1231" s="35">
        <v>3.81</v>
      </c>
      <c r="C1231" s="35">
        <v>1700</v>
      </c>
      <c r="D1231" s="35" t="s">
        <v>151</v>
      </c>
      <c r="E1231" s="36" t="str" cm="1">
        <f t="array" ref="E1231">GetNumber(D1231,1)</f>
        <v>6</v>
      </c>
      <c r="F1231" s="36" cm="1">
        <f t="array" ref="F1231">GetNumber(D1231,2)+(GetNumber(D1231,3)/10)</f>
        <v>4.5</v>
      </c>
      <c r="G1231" s="35">
        <v>18.5</v>
      </c>
      <c r="H1231" s="35">
        <v>25968</v>
      </c>
      <c r="I1231" s="35">
        <f>47.69*($T$2)</f>
        <v>95.38</v>
      </c>
      <c r="J1231" s="35">
        <f>882.3*($T$2)</f>
        <v>1764.6</v>
      </c>
      <c r="K1231" s="35">
        <f t="shared" si="92"/>
        <v>3.1451887113226795</v>
      </c>
      <c r="L1231" s="35">
        <f t="shared" si="93"/>
        <v>3.1453134829104634</v>
      </c>
      <c r="M1231" s="35">
        <f>4.555*($T$2)</f>
        <v>9.11</v>
      </c>
      <c r="N1231" s="35">
        <f>110.7*(5280/3600)</f>
        <v>162.35999999999999</v>
      </c>
      <c r="O1231" s="35">
        <f t="shared" si="91"/>
        <v>0.51626430919188482</v>
      </c>
      <c r="P1231" s="35">
        <f t="shared" si="90"/>
        <v>28.65266916014961</v>
      </c>
      <c r="Q1231" s="35">
        <f>('Batt Capacity and Sys Weight'!$I$4) + (B1231*$T$2)</f>
        <v>34.784503000000001</v>
      </c>
      <c r="R1231" s="35">
        <f>'Batt Capacity and Sys Weight'!$H$4</f>
        <v>92.5</v>
      </c>
    </row>
    <row r="1232" spans="1:18" x14ac:dyDescent="0.3">
      <c r="A1232" s="35" t="s">
        <v>205</v>
      </c>
      <c r="B1232" s="35">
        <v>3.81</v>
      </c>
      <c r="C1232" s="35">
        <v>1700</v>
      </c>
      <c r="D1232" s="35" t="s">
        <v>161</v>
      </c>
      <c r="E1232" s="36" t="str" cm="1">
        <f t="array" ref="E1232">GetNumber(D1232,1)</f>
        <v>6</v>
      </c>
      <c r="F1232" s="36" cm="1">
        <f t="array" ref="F1232">GetNumber(D1232,2)+(GetNumber(D1232,3)/10)</f>
        <v>5.5</v>
      </c>
      <c r="G1232" s="35">
        <v>18.5</v>
      </c>
      <c r="H1232" s="35">
        <v>25882</v>
      </c>
      <c r="I1232" s="35">
        <f>47*($T$2)</f>
        <v>94</v>
      </c>
      <c r="J1232" s="35">
        <f>869.6*($T$2)</f>
        <v>1739.2</v>
      </c>
      <c r="K1232" s="35">
        <f t="shared" si="92"/>
        <v>3.1911223551057959</v>
      </c>
      <c r="L1232" s="35">
        <f t="shared" si="93"/>
        <v>3.1914893617021276</v>
      </c>
      <c r="M1232" s="35">
        <f>3.341875*($T$2)</f>
        <v>6.6837499999999999</v>
      </c>
      <c r="N1232" s="35">
        <f>134.8*(5280/3600)</f>
        <v>197.70666666666668</v>
      </c>
      <c r="O1232" s="35">
        <f t="shared" si="91"/>
        <v>0.38430025298988041</v>
      </c>
      <c r="P1232" s="35">
        <f t="shared" si="90"/>
        <v>21.328664040938364</v>
      </c>
      <c r="Q1232" s="35">
        <f>('Batt Capacity and Sys Weight'!$I$4) + (B1232*$T$2)</f>
        <v>34.784503000000001</v>
      </c>
      <c r="R1232" s="35">
        <f>'Batt Capacity and Sys Weight'!$H$4</f>
        <v>92.5</v>
      </c>
    </row>
    <row r="1233" spans="1:18" x14ac:dyDescent="0.3">
      <c r="A1233" s="35" t="s">
        <v>205</v>
      </c>
      <c r="B1233" s="35">
        <v>3.81</v>
      </c>
      <c r="C1233" s="35">
        <v>1700</v>
      </c>
      <c r="D1233" s="35" t="s">
        <v>166</v>
      </c>
      <c r="E1233" s="36" t="str" cm="1">
        <f t="array" ref="E1233">GetNumber(D1233,1)</f>
        <v>6</v>
      </c>
      <c r="F1233" s="36" t="str" cm="1">
        <f t="array" ref="F1233">GetNumber(D1233,2)</f>
        <v>4</v>
      </c>
      <c r="G1233" s="35">
        <v>18.5</v>
      </c>
      <c r="H1233" s="35">
        <v>26666</v>
      </c>
      <c r="I1233" s="35">
        <f>40*($T$2)</f>
        <v>80</v>
      </c>
      <c r="J1233" s="35">
        <f>740*($T$2)</f>
        <v>1480</v>
      </c>
      <c r="K1233" s="35">
        <f t="shared" si="92"/>
        <v>3.75</v>
      </c>
      <c r="L1233" s="35">
        <f t="shared" si="93"/>
        <v>3.75</v>
      </c>
      <c r="M1233" s="35">
        <f>3.838125*($T$2)</f>
        <v>7.6762499999999996</v>
      </c>
      <c r="N1233" s="35">
        <f>101*(5280/3600)</f>
        <v>148.13333333333333</v>
      </c>
      <c r="O1233" s="35">
        <f t="shared" si="91"/>
        <v>0.51866554054054059</v>
      </c>
      <c r="P1233" s="35">
        <f t="shared" ref="P1233:P1296" si="94">M1233*K1233</f>
        <v>28.785937499999999</v>
      </c>
      <c r="Q1233" s="35">
        <f>('Batt Capacity and Sys Weight'!$I$4) + (B1233*$T$2)</f>
        <v>34.784503000000001</v>
      </c>
      <c r="R1233" s="35">
        <f>'Batt Capacity and Sys Weight'!$H$4</f>
        <v>92.5</v>
      </c>
    </row>
    <row r="1234" spans="1:18" x14ac:dyDescent="0.3">
      <c r="A1234" s="35" t="s">
        <v>205</v>
      </c>
      <c r="B1234" s="35">
        <v>3.81</v>
      </c>
      <c r="C1234" s="35">
        <v>1700</v>
      </c>
      <c r="D1234" s="35" t="s">
        <v>204</v>
      </c>
      <c r="E1234" s="36">
        <v>5</v>
      </c>
      <c r="F1234" s="36">
        <v>4.3</v>
      </c>
      <c r="G1234" s="35">
        <v>22.2</v>
      </c>
      <c r="H1234" s="35">
        <v>31604</v>
      </c>
      <c r="I1234" s="35">
        <f>46.75*($T$2)</f>
        <v>93.5</v>
      </c>
      <c r="J1234" s="35">
        <f>1037.9*($T$2)</f>
        <v>2075.8000000000002</v>
      </c>
      <c r="K1234" s="35">
        <f t="shared" si="92"/>
        <v>2.8875614221023218</v>
      </c>
      <c r="L1234" s="35">
        <f t="shared" si="93"/>
        <v>2.8877005347593583</v>
      </c>
      <c r="M1234" s="35">
        <f>3.68625*($T$2)</f>
        <v>7.3724999999999996</v>
      </c>
      <c r="N1234" s="35">
        <f>128.7*(5280/3600)</f>
        <v>188.75999999999996</v>
      </c>
      <c r="O1234" s="35">
        <f t="shared" si="91"/>
        <v>0.35516427401483758</v>
      </c>
      <c r="P1234" s="35">
        <f t="shared" si="94"/>
        <v>21.288546584449367</v>
      </c>
      <c r="Q1234" s="35">
        <f>('Batt Capacity and Sys Weight'!$I$5) + (B1234*$T$2)</f>
        <v>39.193753000000001</v>
      </c>
      <c r="R1234" s="35">
        <f>'Batt Capacity and Sys Weight'!$H$5</f>
        <v>99.9</v>
      </c>
    </row>
    <row r="1235" spans="1:18" x14ac:dyDescent="0.3">
      <c r="A1235" s="35" t="s">
        <v>206</v>
      </c>
      <c r="B1235" s="35">
        <v>3.84</v>
      </c>
      <c r="C1235" s="35">
        <v>2100</v>
      </c>
      <c r="D1235" s="35" t="s">
        <v>152</v>
      </c>
      <c r="E1235" s="36" t="str" cm="1">
        <f t="array" ref="E1235">GetNumber(D1235,1)</f>
        <v>6</v>
      </c>
      <c r="F1235" s="36" t="str" cm="1">
        <f t="array" ref="F1235">GetNumber(D1235,2)</f>
        <v>6</v>
      </c>
      <c r="G1235" s="35">
        <v>11.1</v>
      </c>
      <c r="H1235" s="35">
        <v>19341</v>
      </c>
      <c r="I1235" s="35">
        <f>35.06*($T$2)</f>
        <v>70.12</v>
      </c>
      <c r="J1235" s="35">
        <f>389.2*($T$2)</f>
        <v>778.4</v>
      </c>
      <c r="K1235" s="35">
        <f t="shared" si="92"/>
        <v>7.7004110996916761</v>
      </c>
      <c r="L1235" s="35">
        <f t="shared" si="93"/>
        <v>7.7010838562464343</v>
      </c>
      <c r="M1235" s="35">
        <f>1.9775*($T$2)</f>
        <v>3.9550000000000001</v>
      </c>
      <c r="N1235" s="35">
        <f>109.9*(5280/3600)</f>
        <v>161.18666666666667</v>
      </c>
      <c r="O1235" s="35">
        <f t="shared" si="91"/>
        <v>0.50809352517985606</v>
      </c>
      <c r="P1235" s="35">
        <f t="shared" si="94"/>
        <v>30.455125899280581</v>
      </c>
      <c r="Q1235" s="35">
        <f>('Batt Capacity and Sys Weight'!$I$2) + (B1235*$T$2)</f>
        <v>38.513000000000005</v>
      </c>
      <c r="R1235" s="35">
        <f>'Batt Capacity and Sys Weight'!$H$2</f>
        <v>99.9</v>
      </c>
    </row>
    <row r="1236" spans="1:18" x14ac:dyDescent="0.3">
      <c r="A1236" s="35" t="s">
        <v>206</v>
      </c>
      <c r="B1236" s="35">
        <v>3.84</v>
      </c>
      <c r="C1236" s="35">
        <v>2100</v>
      </c>
      <c r="D1236" s="35" t="s">
        <v>163</v>
      </c>
      <c r="E1236" s="36" cm="1">
        <f t="array" ref="E1236">GetNumber(D1236, 1) + (GetNumber(D1236, 2)/10)</f>
        <v>6.5</v>
      </c>
      <c r="F1236" s="36" cm="1">
        <f t="array" ref="F1236">GetNumber(D1236, 3) + (GetNumber(D1236, 4)/10)</f>
        <v>5.5</v>
      </c>
      <c r="G1236" s="35">
        <v>11.1</v>
      </c>
      <c r="H1236" s="35">
        <v>19250</v>
      </c>
      <c r="I1236" s="35">
        <f>35.08*($T$2)</f>
        <v>70.16</v>
      </c>
      <c r="J1236" s="35">
        <f>389.4*($T$2)</f>
        <v>778.8</v>
      </c>
      <c r="K1236" s="35">
        <f t="shared" si="92"/>
        <v>7.6964560862865961</v>
      </c>
      <c r="L1236" s="35">
        <f t="shared" si="93"/>
        <v>7.6966932725199548</v>
      </c>
      <c r="M1236" s="35">
        <f>2.120625*($T$2)</f>
        <v>4.24125</v>
      </c>
      <c r="N1236" s="35">
        <f>100.3*(5280/3600)</f>
        <v>147.10666666666665</v>
      </c>
      <c r="O1236" s="35">
        <f t="shared" si="91"/>
        <v>0.54458782742681056</v>
      </c>
      <c r="P1236" s="35">
        <f t="shared" si="94"/>
        <v>32.642594375963029</v>
      </c>
      <c r="Q1236" s="35">
        <f>('Batt Capacity and Sys Weight'!$I$2) + (B1236*$T$2)</f>
        <v>38.513000000000005</v>
      </c>
      <c r="R1236" s="35">
        <f>'Batt Capacity and Sys Weight'!$H$2</f>
        <v>99.9</v>
      </c>
    </row>
    <row r="1237" spans="1:18" x14ac:dyDescent="0.3">
      <c r="A1237" s="35" t="s">
        <v>206</v>
      </c>
      <c r="B1237" s="35">
        <v>3.84</v>
      </c>
      <c r="C1237" s="35">
        <v>2100</v>
      </c>
      <c r="D1237" s="35" t="s">
        <v>164</v>
      </c>
      <c r="E1237" s="36" cm="1">
        <f t="array" ref="E1237">GetNumber(D1237, 1) + (GetNumber(D1237, 2)/10)</f>
        <v>6.5</v>
      </c>
      <c r="F1237" s="36" cm="1">
        <f t="array" ref="F1237">GetNumber(D1237, 3) + (GetNumber(D1237, 4)/10)</f>
        <v>6</v>
      </c>
      <c r="G1237" s="35">
        <v>11.1</v>
      </c>
      <c r="H1237" s="35">
        <v>18896</v>
      </c>
      <c r="I1237" s="35">
        <f>38.65*($T$2)</f>
        <v>77.3</v>
      </c>
      <c r="J1237" s="35">
        <f>429*($T$2)</f>
        <v>858</v>
      </c>
      <c r="K1237" s="35">
        <f t="shared" si="92"/>
        <v>6.9860139860139858</v>
      </c>
      <c r="L1237" s="35">
        <f t="shared" si="93"/>
        <v>6.9857697283311779</v>
      </c>
      <c r="M1237" s="35">
        <f>2.076875*($T$2)</f>
        <v>4.1537499999999996</v>
      </c>
      <c r="N1237" s="35">
        <f>107.4*(5280/3600)</f>
        <v>157.52000000000001</v>
      </c>
      <c r="O1237" s="35">
        <f t="shared" si="91"/>
        <v>0.4841200466200466</v>
      </c>
      <c r="P1237" s="35">
        <f t="shared" si="94"/>
        <v>29.018155594405592</v>
      </c>
      <c r="Q1237" s="35">
        <f>('Batt Capacity and Sys Weight'!$I$2) + (B1237*$T$2)</f>
        <v>38.513000000000005</v>
      </c>
      <c r="R1237" s="35">
        <f>'Batt Capacity and Sys Weight'!$H$2</f>
        <v>99.9</v>
      </c>
    </row>
    <row r="1238" spans="1:18" x14ac:dyDescent="0.3">
      <c r="A1238" s="35" t="s">
        <v>206</v>
      </c>
      <c r="B1238" s="35">
        <v>3.84</v>
      </c>
      <c r="C1238" s="35">
        <v>2100</v>
      </c>
      <c r="D1238" s="35" t="s">
        <v>165</v>
      </c>
      <c r="E1238" s="36" cm="1">
        <f t="array" ref="E1238">GetNumber(D1238, 1) + (GetNumber(D1238, 2)/10)</f>
        <v>6.5</v>
      </c>
      <c r="F1238" s="36" cm="1">
        <f t="array" ref="F1238">GetNumber(D1238, 3) + (GetNumber(D1238, 4)/10)</f>
        <v>6.5</v>
      </c>
      <c r="G1238" s="35">
        <v>11.1</v>
      </c>
      <c r="H1238" s="35">
        <v>18695</v>
      </c>
      <c r="I1238" s="35">
        <f>40.99*($T$2)</f>
        <v>81.98</v>
      </c>
      <c r="J1238" s="35">
        <f>455*($T$2)</f>
        <v>910</v>
      </c>
      <c r="K1238" s="35">
        <f t="shared" si="92"/>
        <v>6.5868131868131874</v>
      </c>
      <c r="L1238" s="35">
        <f t="shared" si="93"/>
        <v>6.586972432300561</v>
      </c>
      <c r="M1238" s="35">
        <f>1.944375*($T$2)</f>
        <v>3.8887499999999999</v>
      </c>
      <c r="N1238" s="35">
        <f>115.1*(5280/3600)</f>
        <v>168.8133333333333</v>
      </c>
      <c r="O1238" s="35">
        <f t="shared" si="91"/>
        <v>0.42733516483516482</v>
      </c>
      <c r="P1238" s="35">
        <f t="shared" si="94"/>
        <v>25.614469780219782</v>
      </c>
      <c r="Q1238" s="35">
        <f>('Batt Capacity and Sys Weight'!$I$2) + (B1238*$T$2)</f>
        <v>38.513000000000005</v>
      </c>
      <c r="R1238" s="35">
        <f>'Batt Capacity and Sys Weight'!$H$2</f>
        <v>99.9</v>
      </c>
    </row>
    <row r="1239" spans="1:18" x14ac:dyDescent="0.3">
      <c r="A1239" s="35" t="s">
        <v>206</v>
      </c>
      <c r="B1239" s="35">
        <v>3.84</v>
      </c>
      <c r="C1239" s="35">
        <v>2100</v>
      </c>
      <c r="D1239" s="35" t="s">
        <v>146</v>
      </c>
      <c r="E1239" s="36" t="str" cm="1">
        <f t="array" ref="E1239">GetNumber(D1239,1)</f>
        <v>7</v>
      </c>
      <c r="F1239" s="36" t="str" cm="1">
        <f t="array" ref="F1239">GetNumber(D1239,2)</f>
        <v>4</v>
      </c>
      <c r="G1239" s="35">
        <v>11.1</v>
      </c>
      <c r="H1239" s="35">
        <v>18331</v>
      </c>
      <c r="I1239" s="35">
        <f>45.82*($T$2)</f>
        <v>91.64</v>
      </c>
      <c r="J1239" s="35">
        <f>508.6*($T$2)</f>
        <v>1017.2</v>
      </c>
      <c r="K1239" s="35">
        <f t="shared" si="92"/>
        <v>5.8926464805348013</v>
      </c>
      <c r="L1239" s="35">
        <f t="shared" si="93"/>
        <v>5.8926233085988651</v>
      </c>
      <c r="M1239" s="35">
        <f>3.36*($T$2)</f>
        <v>6.72</v>
      </c>
      <c r="N1239" s="35">
        <f>69.4*(5280/3600)</f>
        <v>101.78666666666666</v>
      </c>
      <c r="O1239" s="35">
        <f t="shared" si="91"/>
        <v>0.66063704286276048</v>
      </c>
      <c r="P1239" s="35">
        <f t="shared" si="94"/>
        <v>39.598584349193864</v>
      </c>
      <c r="Q1239" s="35">
        <f>('Batt Capacity and Sys Weight'!$I$2) + (B1239*$T$2)</f>
        <v>38.513000000000005</v>
      </c>
      <c r="R1239" s="35">
        <f>'Batt Capacity and Sys Weight'!$H$2</f>
        <v>99.9</v>
      </c>
    </row>
    <row r="1240" spans="1:18" x14ac:dyDescent="0.3">
      <c r="A1240" s="35" t="s">
        <v>206</v>
      </c>
      <c r="B1240" s="35">
        <v>3.84</v>
      </c>
      <c r="C1240" s="35">
        <v>2100</v>
      </c>
      <c r="D1240" s="35" t="s">
        <v>148</v>
      </c>
      <c r="E1240" s="36" t="str" cm="1">
        <f t="array" ref="E1240">GetNumber(D1240,1)</f>
        <v>7</v>
      </c>
      <c r="F1240" s="36" t="str" cm="1">
        <f t="array" ref="F1240">GetNumber(D1240,2)</f>
        <v>5</v>
      </c>
      <c r="G1240" s="35">
        <v>11.1</v>
      </c>
      <c r="H1240" s="35">
        <v>17549</v>
      </c>
      <c r="I1240" s="35">
        <f>53.7*($T$2)</f>
        <v>107.4</v>
      </c>
      <c r="J1240" s="35">
        <f>596.1*($T$2)</f>
        <v>1192.2</v>
      </c>
      <c r="K1240" s="35">
        <f t="shared" si="92"/>
        <v>5.027679919476598</v>
      </c>
      <c r="L1240" s="35">
        <f t="shared" si="93"/>
        <v>5.0279329608938541</v>
      </c>
      <c r="M1240" s="35">
        <f>3.16125*($T$2)</f>
        <v>6.3224999999999998</v>
      </c>
      <c r="N1240" s="35">
        <f>83.1*(5280/3600)</f>
        <v>121.87999999999998</v>
      </c>
      <c r="O1240" s="35">
        <f t="shared" si="91"/>
        <v>0.53032209360845495</v>
      </c>
      <c r="P1240" s="35">
        <f t="shared" si="94"/>
        <v>31.787506290890789</v>
      </c>
      <c r="Q1240" s="35">
        <f>('Batt Capacity and Sys Weight'!$I$2) + (B1240*$T$2)</f>
        <v>38.513000000000005</v>
      </c>
      <c r="R1240" s="35">
        <f>'Batt Capacity and Sys Weight'!$H$2</f>
        <v>99.9</v>
      </c>
    </row>
    <row r="1241" spans="1:18" x14ac:dyDescent="0.3">
      <c r="A1241" s="35" t="s">
        <v>206</v>
      </c>
      <c r="B1241" s="35">
        <v>3.84</v>
      </c>
      <c r="C1241" s="35">
        <v>2100</v>
      </c>
      <c r="D1241" s="35" t="s">
        <v>166</v>
      </c>
      <c r="E1241" s="36" t="str" cm="1">
        <f t="array" ref="E1241">GetNumber(D1241,1)</f>
        <v>6</v>
      </c>
      <c r="F1241" s="36" t="str" cm="1">
        <f t="array" ref="F1241">GetNumber(D1241,2)</f>
        <v>4</v>
      </c>
      <c r="G1241" s="35">
        <v>11.1</v>
      </c>
      <c r="H1241" s="35">
        <v>20127</v>
      </c>
      <c r="I1241" s="35">
        <f>27.91*($T$2)</f>
        <v>55.82</v>
      </c>
      <c r="J1241" s="35">
        <f>309.8*($T$2)</f>
        <v>619.6</v>
      </c>
      <c r="K1241" s="35">
        <f t="shared" si="92"/>
        <v>9.6739832149774045</v>
      </c>
      <c r="L1241" s="35">
        <f t="shared" si="93"/>
        <v>9.6739519885345757</v>
      </c>
      <c r="M1241" s="35">
        <f>2.24*($T$2)</f>
        <v>4.4800000000000004</v>
      </c>
      <c r="N1241" s="35">
        <f>76.2*(5280/3600)</f>
        <v>111.75999999999999</v>
      </c>
      <c r="O1241" s="35">
        <f t="shared" si="91"/>
        <v>0.72304712717882513</v>
      </c>
      <c r="P1241" s="35">
        <f t="shared" si="94"/>
        <v>43.339444803098779</v>
      </c>
      <c r="Q1241" s="35">
        <f>('Batt Capacity and Sys Weight'!$I$2) + (B1241*$T$2)</f>
        <v>38.513000000000005</v>
      </c>
      <c r="R1241" s="35">
        <f>'Batt Capacity and Sys Weight'!$H$2</f>
        <v>99.9</v>
      </c>
    </row>
    <row r="1242" spans="1:18" x14ac:dyDescent="0.3">
      <c r="A1242" s="35" t="s">
        <v>206</v>
      </c>
      <c r="B1242" s="35">
        <v>3.84</v>
      </c>
      <c r="C1242" s="35">
        <v>2100</v>
      </c>
      <c r="D1242" s="35" t="s">
        <v>144</v>
      </c>
      <c r="E1242" s="36" t="str" cm="1">
        <f t="array" ref="E1242">GetNumber(D1242,1)</f>
        <v>7</v>
      </c>
      <c r="F1242" s="36" t="str" cm="1">
        <f t="array" ref="F1242">GetNumber(D1242,2)</f>
        <v>4</v>
      </c>
      <c r="G1242" s="35">
        <v>11.1</v>
      </c>
      <c r="H1242" s="35">
        <v>18611</v>
      </c>
      <c r="I1242" s="35">
        <f>43.11*($T$2)</f>
        <v>86.22</v>
      </c>
      <c r="J1242" s="35">
        <f>478.6*($T$2)</f>
        <v>957.2</v>
      </c>
      <c r="K1242" s="35">
        <f t="shared" si="92"/>
        <v>6.2620142081069794</v>
      </c>
      <c r="L1242" s="35">
        <f t="shared" si="93"/>
        <v>6.2630480167014611</v>
      </c>
      <c r="M1242" s="35">
        <f>3.205625*($T$2)</f>
        <v>6.4112499999999999</v>
      </c>
      <c r="N1242" s="35">
        <f>70.5*(5280/3600)</f>
        <v>103.39999999999999</v>
      </c>
      <c r="O1242" s="35">
        <f t="shared" si="91"/>
        <v>0.6697921019640618</v>
      </c>
      <c r="P1242" s="35">
        <f t="shared" si="94"/>
        <v>40.14733859172587</v>
      </c>
      <c r="Q1242" s="35">
        <f>('Batt Capacity and Sys Weight'!$I$2) + (B1242*$T$2)</f>
        <v>38.513000000000005</v>
      </c>
      <c r="R1242" s="35">
        <f>'Batt Capacity and Sys Weight'!$H$2</f>
        <v>99.9</v>
      </c>
    </row>
    <row r="1243" spans="1:18" x14ac:dyDescent="0.3">
      <c r="A1243" s="35" t="s">
        <v>206</v>
      </c>
      <c r="B1243" s="35">
        <v>3.84</v>
      </c>
      <c r="C1243" s="35">
        <v>2100</v>
      </c>
      <c r="D1243" s="35" t="s">
        <v>198</v>
      </c>
      <c r="E1243" s="36" t="str" cm="1">
        <f t="array" ref="E1243">GetNumber(D1243,1)</f>
        <v>5</v>
      </c>
      <c r="F1243" s="36" cm="1">
        <f t="array" ref="F1243">GetNumber(D1243,2)+(GetNumber(D1243,3)/10)</f>
        <v>4.3</v>
      </c>
      <c r="G1243" s="35">
        <v>14.8</v>
      </c>
      <c r="H1243" s="35">
        <v>26285</v>
      </c>
      <c r="I1243" s="35">
        <f>36.39*($T$2)</f>
        <v>72.78</v>
      </c>
      <c r="J1243" s="35">
        <f>538.5*($T$2)</f>
        <v>1077</v>
      </c>
      <c r="K1243" s="35">
        <f t="shared" si="92"/>
        <v>5.4417827298050137</v>
      </c>
      <c r="L1243" s="35">
        <f t="shared" si="93"/>
        <v>5.4410552349546579</v>
      </c>
      <c r="M1243" s="35">
        <f>2.530625*($T$2)</f>
        <v>5.0612500000000002</v>
      </c>
      <c r="N1243" s="35">
        <f>107*(5280/3600)</f>
        <v>156.93333333333331</v>
      </c>
      <c r="O1243" s="35">
        <f t="shared" si="91"/>
        <v>0.46993964716805947</v>
      </c>
      <c r="P1243" s="35">
        <f t="shared" si="94"/>
        <v>27.542222841225627</v>
      </c>
      <c r="Q1243" s="35">
        <f>('Batt Capacity and Sys Weight'!$I$3) + (B1243*$T$2)</f>
        <v>34.068474999999999</v>
      </c>
      <c r="R1243" s="35">
        <f>'Batt Capacity and Sys Weight'!$H$3</f>
        <v>97.68</v>
      </c>
    </row>
    <row r="1244" spans="1:18" x14ac:dyDescent="0.3">
      <c r="A1244" s="35" t="s">
        <v>206</v>
      </c>
      <c r="B1244" s="35">
        <v>3.84</v>
      </c>
      <c r="C1244" s="35">
        <v>2100</v>
      </c>
      <c r="D1244" s="35" t="s">
        <v>199</v>
      </c>
      <c r="E1244" s="36" t="str" cm="1">
        <f t="array" ref="E1244">GetNumber(D1244,1)</f>
        <v>5</v>
      </c>
      <c r="F1244" s="36" cm="1">
        <f t="array" ref="F1244">GetNumber(D1244,2)+(GetNumber(D1244,3)/10)</f>
        <v>4.5</v>
      </c>
      <c r="G1244" s="35">
        <v>14.8</v>
      </c>
      <c r="H1244" s="35">
        <v>26034</v>
      </c>
      <c r="I1244" s="35">
        <f>38.75*($T$2)</f>
        <v>77.5</v>
      </c>
      <c r="J1244" s="35">
        <f>573.5*($T$2)</f>
        <v>1147</v>
      </c>
      <c r="K1244" s="35">
        <f t="shared" si="92"/>
        <v>5.1096774193548393</v>
      </c>
      <c r="L1244" s="35">
        <f t="shared" si="93"/>
        <v>5.1096774193548393</v>
      </c>
      <c r="M1244" s="35">
        <f>2.49125*($T$2)</f>
        <v>4.9824999999999999</v>
      </c>
      <c r="N1244" s="35">
        <f>110.9*(5280/3600)</f>
        <v>162.65333333333334</v>
      </c>
      <c r="O1244" s="35">
        <f t="shared" si="91"/>
        <v>0.43439407149084575</v>
      </c>
      <c r="P1244" s="35">
        <f t="shared" si="94"/>
        <v>25.458967741935485</v>
      </c>
      <c r="Q1244" s="35">
        <f>('Batt Capacity and Sys Weight'!$I$3) + (B1244*$T$2)</f>
        <v>34.068474999999999</v>
      </c>
      <c r="R1244" s="35">
        <f>'Batt Capacity and Sys Weight'!$H$3</f>
        <v>97.68</v>
      </c>
    </row>
    <row r="1245" spans="1:18" x14ac:dyDescent="0.3">
      <c r="A1245" s="35" t="s">
        <v>206</v>
      </c>
      <c r="B1245" s="35">
        <v>3.84</v>
      </c>
      <c r="C1245" s="35">
        <v>2100</v>
      </c>
      <c r="D1245" s="35" t="s">
        <v>200</v>
      </c>
      <c r="E1245" s="36" t="str" cm="1">
        <f t="array" ref="E1245">GetNumber(D1245,1)</f>
        <v>5</v>
      </c>
      <c r="F1245" s="36" cm="1">
        <f t="array" ref="F1245">GetNumber(D1245,2)+(GetNumber(D1245,3)/10)</f>
        <v>4.5999999999999996</v>
      </c>
      <c r="G1245" s="35">
        <v>14.8</v>
      </c>
      <c r="H1245" s="35">
        <v>26121</v>
      </c>
      <c r="I1245" s="35">
        <f>37.78*($T$2)</f>
        <v>75.56</v>
      </c>
      <c r="J1245" s="35">
        <f>559.1*($T$2)</f>
        <v>1118.2</v>
      </c>
      <c r="K1245" s="35">
        <f t="shared" si="92"/>
        <v>5.241280629583259</v>
      </c>
      <c r="L1245" s="35">
        <f t="shared" si="93"/>
        <v>5.2408681842244578</v>
      </c>
      <c r="M1245" s="35">
        <f>2.65*($T$2)</f>
        <v>5.3</v>
      </c>
      <c r="N1245" s="35">
        <f>113.8*(5280/3600)</f>
        <v>166.90666666666664</v>
      </c>
      <c r="O1245" s="35">
        <f t="shared" si="91"/>
        <v>0.47397603291003398</v>
      </c>
      <c r="P1245" s="35">
        <f t="shared" si="94"/>
        <v>27.778787336791272</v>
      </c>
      <c r="Q1245" s="35">
        <f>('Batt Capacity and Sys Weight'!$I$3) + (B1245*$T$2)</f>
        <v>34.068474999999999</v>
      </c>
      <c r="R1245" s="35">
        <f>'Batt Capacity and Sys Weight'!$H$3</f>
        <v>97.68</v>
      </c>
    </row>
    <row r="1246" spans="1:18" x14ac:dyDescent="0.3">
      <c r="A1246" s="35" t="s">
        <v>206</v>
      </c>
      <c r="B1246" s="35">
        <v>3.84</v>
      </c>
      <c r="C1246" s="35">
        <v>2100</v>
      </c>
      <c r="D1246" s="35" t="s">
        <v>159</v>
      </c>
      <c r="E1246" s="36" t="str" cm="1">
        <f t="array" ref="E1246">GetNumber(D1246,1)</f>
        <v>6</v>
      </c>
      <c r="F1246" s="36" t="str" cm="1">
        <f t="array" ref="F1246">GetNumber(D1246,2)</f>
        <v>4</v>
      </c>
      <c r="G1246" s="35">
        <v>14.8</v>
      </c>
      <c r="H1246" s="35">
        <v>25506</v>
      </c>
      <c r="I1246" s="35">
        <f>43.16*($T$2)</f>
        <v>86.32</v>
      </c>
      <c r="J1246" s="35">
        <f>638.7*($T$2)</f>
        <v>1277.4000000000001</v>
      </c>
      <c r="K1246" s="35">
        <f t="shared" si="92"/>
        <v>4.5880695162047909</v>
      </c>
      <c r="L1246" s="35">
        <f t="shared" si="93"/>
        <v>4.5875810936051913</v>
      </c>
      <c r="M1246" s="35">
        <f>2.934375*($T$2)</f>
        <v>5.8687500000000004</v>
      </c>
      <c r="N1246" s="35">
        <f>96.6*(5280/3600)</f>
        <v>141.67999999999998</v>
      </c>
      <c r="O1246" s="35">
        <f t="shared" si="91"/>
        <v>0.45942930953499295</v>
      </c>
      <c r="P1246" s="35">
        <f t="shared" si="94"/>
        <v>26.926232973226867</v>
      </c>
      <c r="Q1246" s="35">
        <f>('Batt Capacity and Sys Weight'!$I$3) + (B1246*$T$2)</f>
        <v>34.068474999999999</v>
      </c>
      <c r="R1246" s="35">
        <f>'Batt Capacity and Sys Weight'!$H$3</f>
        <v>97.68</v>
      </c>
    </row>
    <row r="1247" spans="1:18" x14ac:dyDescent="0.3">
      <c r="A1247" s="35" t="s">
        <v>206</v>
      </c>
      <c r="B1247" s="35">
        <v>3.84</v>
      </c>
      <c r="C1247" s="35">
        <v>2100</v>
      </c>
      <c r="D1247" s="35" t="s">
        <v>151</v>
      </c>
      <c r="E1247" s="36" t="str" cm="1">
        <f t="array" ref="E1247">GetNumber(D1247,1)</f>
        <v>6</v>
      </c>
      <c r="F1247" s="36" cm="1">
        <f t="array" ref="F1247">GetNumber(D1247,2)+(GetNumber(D1247,3)/10)</f>
        <v>4.5</v>
      </c>
      <c r="G1247" s="35">
        <v>14.8</v>
      </c>
      <c r="H1247" s="35">
        <v>24651</v>
      </c>
      <c r="I1247" s="35">
        <f>50.98*($T$2)</f>
        <v>101.96</v>
      </c>
      <c r="J1247" s="35">
        <f>754.4*($T$2)</f>
        <v>1508.8</v>
      </c>
      <c r="K1247" s="35">
        <f t="shared" si="92"/>
        <v>3.8844114528101805</v>
      </c>
      <c r="L1247" s="35">
        <f t="shared" si="93"/>
        <v>3.8838760298156147</v>
      </c>
      <c r="M1247" s="35">
        <f>4.063125*($T$2)</f>
        <v>8.1262500000000006</v>
      </c>
      <c r="N1247" s="35">
        <f>105*(5280/3600)</f>
        <v>154</v>
      </c>
      <c r="O1247" s="35">
        <f t="shared" si="91"/>
        <v>0.53859027041357377</v>
      </c>
      <c r="P1247" s="35">
        <f t="shared" si="94"/>
        <v>31.565698568398734</v>
      </c>
      <c r="Q1247" s="35">
        <f>('Batt Capacity and Sys Weight'!$I$3) + (B1247*$T$2)</f>
        <v>34.068474999999999</v>
      </c>
      <c r="R1247" s="35">
        <f>'Batt Capacity and Sys Weight'!$H$3</f>
        <v>97.68</v>
      </c>
    </row>
    <row r="1248" spans="1:18" x14ac:dyDescent="0.3">
      <c r="A1248" s="35" t="s">
        <v>206</v>
      </c>
      <c r="B1248" s="35">
        <v>3.84</v>
      </c>
      <c r="C1248" s="35">
        <v>2100</v>
      </c>
      <c r="D1248" s="35" t="s">
        <v>161</v>
      </c>
      <c r="E1248" s="36" t="str" cm="1">
        <f t="array" ref="E1248">GetNumber(D1248,1)</f>
        <v>6</v>
      </c>
      <c r="F1248" s="36" cm="1">
        <f t="array" ref="F1248">GetNumber(D1248,2)+(GetNumber(D1248,3)/10)</f>
        <v>5.5</v>
      </c>
      <c r="G1248" s="35">
        <v>14.8</v>
      </c>
      <c r="H1248" s="35">
        <v>24741</v>
      </c>
      <c r="I1248" s="35">
        <f>50.23*($T$2)</f>
        <v>100.46</v>
      </c>
      <c r="J1248" s="35">
        <f>743.4*($T$2)</f>
        <v>1486.8</v>
      </c>
      <c r="K1248" s="35">
        <f t="shared" si="92"/>
        <v>3.9418886198547218</v>
      </c>
      <c r="L1248" s="35">
        <f t="shared" si="93"/>
        <v>3.9418674099143947</v>
      </c>
      <c r="M1248" s="35">
        <f>3.064375*($T$2)</f>
        <v>6.1287500000000001</v>
      </c>
      <c r="N1248" s="35">
        <f>128.9*(5280/3600)</f>
        <v>189.05333333333334</v>
      </c>
      <c r="O1248" s="35">
        <f t="shared" si="91"/>
        <v>0.41221078827011032</v>
      </c>
      <c r="P1248" s="35">
        <f t="shared" si="94"/>
        <v>24.158849878934628</v>
      </c>
      <c r="Q1248" s="35">
        <f>('Batt Capacity and Sys Weight'!$I$3) + (B1248*$T$2)</f>
        <v>34.068474999999999</v>
      </c>
      <c r="R1248" s="35">
        <f>'Batt Capacity and Sys Weight'!$H$3</f>
        <v>97.68</v>
      </c>
    </row>
    <row r="1249" spans="1:18" x14ac:dyDescent="0.3">
      <c r="A1249" s="35" t="s">
        <v>206</v>
      </c>
      <c r="B1249" s="35">
        <v>3.84</v>
      </c>
      <c r="C1249" s="35">
        <v>2100</v>
      </c>
      <c r="D1249" s="35" t="s">
        <v>162</v>
      </c>
      <c r="E1249" s="36" cm="1">
        <f t="array" ref="E1249">GetNumber(D1249, 1) + (GetNumber(D1249, 2)/10)</f>
        <v>6.5</v>
      </c>
      <c r="F1249" s="36" cm="1">
        <f t="array" ref="F1249">GetNumber(D1249, 3) + (GetNumber(D1249, 4)/10)</f>
        <v>5</v>
      </c>
      <c r="G1249" s="35">
        <v>14.8</v>
      </c>
      <c r="H1249" s="35">
        <v>24238</v>
      </c>
      <c r="I1249" s="35">
        <f>53.3*($T$2)</f>
        <v>106.6</v>
      </c>
      <c r="J1249" s="35">
        <f>788.9*($T$2)</f>
        <v>1577.8</v>
      </c>
      <c r="K1249" s="35">
        <f t="shared" si="92"/>
        <v>3.7145392318418056</v>
      </c>
      <c r="L1249" s="35">
        <f t="shared" si="93"/>
        <v>3.7148217636022522</v>
      </c>
      <c r="M1249" s="35">
        <f>3.269375*($T$2)</f>
        <v>6.5387500000000003</v>
      </c>
      <c r="N1249" s="35">
        <f>114.8*(5280/3600)</f>
        <v>168.37333333333331</v>
      </c>
      <c r="O1249" s="35">
        <f t="shared" si="91"/>
        <v>0.41442197997211305</v>
      </c>
      <c r="P1249" s="35">
        <f t="shared" si="94"/>
        <v>24.288443402205608</v>
      </c>
      <c r="Q1249" s="35">
        <f>('Batt Capacity and Sys Weight'!$I$3) + (B1249*$T$2)</f>
        <v>34.068474999999999</v>
      </c>
      <c r="R1249" s="35">
        <f>'Batt Capacity and Sys Weight'!$H$3</f>
        <v>97.68</v>
      </c>
    </row>
    <row r="1250" spans="1:18" x14ac:dyDescent="0.3">
      <c r="A1250" s="35" t="s">
        <v>206</v>
      </c>
      <c r="B1250" s="35">
        <v>3.84</v>
      </c>
      <c r="C1250" s="35">
        <v>2100</v>
      </c>
      <c r="D1250" s="35" t="s">
        <v>198</v>
      </c>
      <c r="E1250" s="36" t="str" cm="1">
        <f t="array" ref="E1250">GetNumber(D1250,1)</f>
        <v>5</v>
      </c>
      <c r="F1250" s="36" cm="1">
        <f t="array" ref="F1250">GetNumber(D1250,2)+(GetNumber(D1250,3)/10)</f>
        <v>4.3</v>
      </c>
      <c r="G1250" s="35">
        <v>18.5</v>
      </c>
      <c r="H1250" s="35">
        <v>31273</v>
      </c>
      <c r="I1250" s="35">
        <f>53.98*($T$2)</f>
        <v>107.96</v>
      </c>
      <c r="J1250" s="35">
        <f>998.6*($T$2)</f>
        <v>1997.2</v>
      </c>
      <c r="K1250" s="35">
        <f t="shared" si="92"/>
        <v>2.7788904466252755</v>
      </c>
      <c r="L1250" s="35">
        <f t="shared" si="93"/>
        <v>2.7788069655427936</v>
      </c>
      <c r="M1250" s="35">
        <f>3.59375*($T$2)</f>
        <v>7.1875</v>
      </c>
      <c r="N1250" s="35">
        <f>127.3*(5280/3600)</f>
        <v>186.70666666666665</v>
      </c>
      <c r="O1250" s="35">
        <f t="shared" si="91"/>
        <v>0.35987883036250751</v>
      </c>
      <c r="P1250" s="35">
        <f t="shared" si="94"/>
        <v>19.973275085119166</v>
      </c>
      <c r="Q1250" s="35">
        <f>('Batt Capacity and Sys Weight'!$I$4) + (B1250*$T$2)</f>
        <v>34.844503000000003</v>
      </c>
      <c r="R1250" s="35">
        <f>'Batt Capacity and Sys Weight'!$H$4</f>
        <v>92.5</v>
      </c>
    </row>
    <row r="1251" spans="1:18" x14ac:dyDescent="0.3">
      <c r="A1251" s="35" t="s">
        <v>207</v>
      </c>
      <c r="B1251" s="35">
        <v>3.77</v>
      </c>
      <c r="C1251" s="35">
        <v>850</v>
      </c>
      <c r="D1251" s="35" t="s">
        <v>104</v>
      </c>
      <c r="E1251" s="36" t="str" cm="1">
        <f t="array" ref="E1251">GetNumber(D1251,1)</f>
        <v>9</v>
      </c>
      <c r="F1251" s="36" cm="1">
        <f t="array" ref="F1251">GetNumber(D1251,2)+(GetNumber(D1251,3)/10)</f>
        <v>7.5</v>
      </c>
      <c r="G1251" s="35">
        <v>11.1</v>
      </c>
      <c r="H1251" s="35">
        <v>8421</v>
      </c>
      <c r="I1251" s="35">
        <f>21.19*($T$2)</f>
        <v>42.38</v>
      </c>
      <c r="J1251" s="35">
        <f>235.2*($T$2)</f>
        <v>470.4</v>
      </c>
      <c r="K1251" s="35">
        <f t="shared" si="92"/>
        <v>12.742346938775512</v>
      </c>
      <c r="L1251" s="35">
        <f t="shared" si="93"/>
        <v>12.741859367626237</v>
      </c>
      <c r="M1251" s="35">
        <f>1.970625*($T$2)</f>
        <v>3.9412500000000001</v>
      </c>
      <c r="N1251" s="35">
        <f>59.8*(5280/3600)</f>
        <v>87.706666666666649</v>
      </c>
      <c r="O1251" s="35">
        <f t="shared" si="91"/>
        <v>0.83785076530612257</v>
      </c>
      <c r="P1251" s="35">
        <f t="shared" si="94"/>
        <v>50.220774872448992</v>
      </c>
      <c r="Q1251" s="35">
        <f>('Batt Capacity and Sys Weight'!$I$2) + (B1251*$T$2)</f>
        <v>38.373000000000005</v>
      </c>
      <c r="R1251" s="35">
        <f>'Batt Capacity and Sys Weight'!$H$2</f>
        <v>99.9</v>
      </c>
    </row>
    <row r="1252" spans="1:18" x14ac:dyDescent="0.3">
      <c r="A1252" s="35" t="s">
        <v>207</v>
      </c>
      <c r="B1252" s="35">
        <v>3.77</v>
      </c>
      <c r="C1252" s="35">
        <v>850</v>
      </c>
      <c r="D1252" s="35" t="s">
        <v>103</v>
      </c>
      <c r="E1252" s="36" t="str" cm="1">
        <f t="array" ref="E1252">GetNumber(D1252,1)</f>
        <v>9</v>
      </c>
      <c r="F1252" s="36" t="str" cm="1">
        <f t="array" ref="F1252">GetNumber(D1252,2)</f>
        <v>9</v>
      </c>
      <c r="G1252" s="35">
        <v>11.1</v>
      </c>
      <c r="H1252" s="35">
        <v>8084</v>
      </c>
      <c r="I1252" s="35">
        <f>24.41*($T$2)</f>
        <v>48.82</v>
      </c>
      <c r="J1252" s="35">
        <f>270.9*($T$2)</f>
        <v>541.79999999999995</v>
      </c>
      <c r="K1252" s="35">
        <f t="shared" si="92"/>
        <v>11.063122923588042</v>
      </c>
      <c r="L1252" s="35">
        <f t="shared" si="93"/>
        <v>11.06104055714871</v>
      </c>
      <c r="M1252" s="35">
        <f>1.8825*($T$2)</f>
        <v>3.7650000000000001</v>
      </c>
      <c r="N1252" s="35">
        <f>68.9*(5280/3600)</f>
        <v>101.05333333333333</v>
      </c>
      <c r="O1252" s="35">
        <f t="shared" si="91"/>
        <v>0.69490586932447407</v>
      </c>
      <c r="P1252" s="35">
        <f t="shared" si="94"/>
        <v>41.652657807308977</v>
      </c>
      <c r="Q1252" s="35">
        <f>('Batt Capacity and Sys Weight'!$I$2) + (B1252*$T$2)</f>
        <v>38.373000000000005</v>
      </c>
      <c r="R1252" s="35">
        <f>'Batt Capacity and Sys Weight'!$H$2</f>
        <v>99.9</v>
      </c>
    </row>
    <row r="1253" spans="1:18" x14ac:dyDescent="0.3">
      <c r="A1253" s="35" t="s">
        <v>207</v>
      </c>
      <c r="B1253" s="35">
        <v>3.77</v>
      </c>
      <c r="C1253" s="35">
        <v>850</v>
      </c>
      <c r="D1253" s="35" t="s">
        <v>99</v>
      </c>
      <c r="E1253" s="36" t="str" cm="1">
        <f t="array" ref="E1253">GetNumber(D1253,1)</f>
        <v>10</v>
      </c>
      <c r="F1253" s="36" t="str" cm="1">
        <f t="array" ref="F1253">GetNumber(D1253,2)</f>
        <v>5</v>
      </c>
      <c r="G1253" s="35">
        <v>11.1</v>
      </c>
      <c r="H1253" s="35">
        <v>8808</v>
      </c>
      <c r="I1253" s="35">
        <f>17.14*($T$2)</f>
        <v>34.28</v>
      </c>
      <c r="J1253" s="35">
        <f>190.3*($T$2)</f>
        <v>380.6</v>
      </c>
      <c r="K1253" s="35">
        <f t="shared" si="92"/>
        <v>15.748817656332106</v>
      </c>
      <c r="L1253" s="35">
        <f t="shared" si="93"/>
        <v>15.752625437572929</v>
      </c>
      <c r="M1253" s="35">
        <f>2.35875*($T$2)</f>
        <v>4.7175000000000002</v>
      </c>
      <c r="N1253" s="35">
        <f>41.7*(5280/3600)</f>
        <v>61.16</v>
      </c>
      <c r="O1253" s="35">
        <f t="shared" si="91"/>
        <v>1.2394902785076196</v>
      </c>
      <c r="P1253" s="35">
        <f t="shared" si="94"/>
        <v>74.29504729374672</v>
      </c>
      <c r="Q1253" s="35">
        <f>('Batt Capacity and Sys Weight'!$I$2) + (B1253*$T$2)</f>
        <v>38.373000000000005</v>
      </c>
      <c r="R1253" s="35">
        <f>'Batt Capacity and Sys Weight'!$H$2</f>
        <v>99.9</v>
      </c>
    </row>
    <row r="1254" spans="1:18" x14ac:dyDescent="0.3">
      <c r="A1254" s="35" t="s">
        <v>207</v>
      </c>
      <c r="B1254" s="35">
        <v>3.77</v>
      </c>
      <c r="C1254" s="35">
        <v>850</v>
      </c>
      <c r="D1254" s="35" t="s">
        <v>67</v>
      </c>
      <c r="E1254" s="36" t="str" cm="1">
        <f t="array" ref="E1254">GetNumber(D1254,1)</f>
        <v>10</v>
      </c>
      <c r="F1254" s="36" t="str" cm="1">
        <f t="array" ref="F1254">GetNumber(D1254,2)</f>
        <v>6</v>
      </c>
      <c r="G1254" s="35">
        <v>11.1</v>
      </c>
      <c r="H1254" s="35">
        <v>8630</v>
      </c>
      <c r="I1254" s="35">
        <f>19.16*($T$2)</f>
        <v>38.32</v>
      </c>
      <c r="J1254" s="35">
        <f>212.7*($T$2)</f>
        <v>425.4</v>
      </c>
      <c r="K1254" s="35">
        <f t="shared" si="92"/>
        <v>14.090267983074755</v>
      </c>
      <c r="L1254" s="35">
        <f t="shared" si="93"/>
        <v>14.091858037578289</v>
      </c>
      <c r="M1254" s="35">
        <f>2.495625*($T$2)</f>
        <v>4.99125</v>
      </c>
      <c r="N1254" s="35">
        <f>49*(5280/3600)</f>
        <v>71.86666666666666</v>
      </c>
      <c r="O1254" s="35">
        <f t="shared" si="91"/>
        <v>1.1733074753173485</v>
      </c>
      <c r="P1254" s="35">
        <f t="shared" si="94"/>
        <v>70.328050070521869</v>
      </c>
      <c r="Q1254" s="35">
        <f>('Batt Capacity and Sys Weight'!$I$2) + (B1254*$T$2)</f>
        <v>38.373000000000005</v>
      </c>
      <c r="R1254" s="35">
        <f>'Batt Capacity and Sys Weight'!$H$2</f>
        <v>99.9</v>
      </c>
    </row>
    <row r="1255" spans="1:18" x14ac:dyDescent="0.3">
      <c r="A1255" s="35" t="s">
        <v>207</v>
      </c>
      <c r="B1255" s="35">
        <v>3.77</v>
      </c>
      <c r="C1255" s="35">
        <v>850</v>
      </c>
      <c r="D1255" s="35" t="s">
        <v>131</v>
      </c>
      <c r="E1255" s="36" t="str" cm="1">
        <f t="array" ref="E1255">GetNumber(D1255,1)</f>
        <v>10</v>
      </c>
      <c r="F1255" s="36" t="str" cm="1">
        <f t="array" ref="F1255">GetNumber(D1255,2)</f>
        <v>6</v>
      </c>
      <c r="G1255" s="35">
        <v>11.1</v>
      </c>
      <c r="H1255" s="35">
        <v>9036</v>
      </c>
      <c r="I1255" s="35">
        <f>16.11*($T$2)</f>
        <v>32.22</v>
      </c>
      <c r="J1255" s="35">
        <f>178.8*($T$2)</f>
        <v>357.6</v>
      </c>
      <c r="K1255" s="35">
        <f t="shared" si="92"/>
        <v>16.761744966442954</v>
      </c>
      <c r="L1255" s="35">
        <f t="shared" si="93"/>
        <v>16.759776536312849</v>
      </c>
      <c r="M1255" s="35">
        <f>2.17125*($T$2)</f>
        <v>4.3425000000000002</v>
      </c>
      <c r="N1255" s="35">
        <f>51.3*(5280/3600)</f>
        <v>75.239999999999995</v>
      </c>
      <c r="O1255" s="35">
        <f t="shared" si="91"/>
        <v>1.2143456375838926</v>
      </c>
      <c r="P1255" s="35">
        <f t="shared" si="94"/>
        <v>72.787877516778536</v>
      </c>
      <c r="Q1255" s="35">
        <f>('Batt Capacity and Sys Weight'!$I$2) + (B1255*$T$2)</f>
        <v>38.373000000000005</v>
      </c>
      <c r="R1255" s="35">
        <f>'Batt Capacity and Sys Weight'!$H$2</f>
        <v>99.9</v>
      </c>
    </row>
    <row r="1256" spans="1:18" x14ac:dyDescent="0.3">
      <c r="A1256" s="35" t="s">
        <v>207</v>
      </c>
      <c r="B1256" s="35">
        <v>3.77</v>
      </c>
      <c r="C1256" s="35">
        <v>850</v>
      </c>
      <c r="D1256" s="35" t="s">
        <v>68</v>
      </c>
      <c r="E1256" s="36" t="str" cm="1">
        <f t="array" ref="E1256">GetNumber(D1256,1)</f>
        <v>10</v>
      </c>
      <c r="F1256" s="36" t="str" cm="1">
        <f t="array" ref="F1256">GetNumber(D1256,2)</f>
        <v>7</v>
      </c>
      <c r="G1256" s="35">
        <v>11.1</v>
      </c>
      <c r="H1256" s="35">
        <v>8341</v>
      </c>
      <c r="I1256" s="35">
        <f>21.97*($T$2)</f>
        <v>43.94</v>
      </c>
      <c r="J1256" s="35">
        <f>243.9*($T$2)</f>
        <v>487.8</v>
      </c>
      <c r="K1256" s="35">
        <f t="shared" si="92"/>
        <v>12.287822878228782</v>
      </c>
      <c r="L1256" s="35">
        <f t="shared" si="93"/>
        <v>12.289485662266728</v>
      </c>
      <c r="M1256" s="35">
        <f>2.5175*($T$2)</f>
        <v>5.0350000000000001</v>
      </c>
      <c r="N1256" s="35">
        <f>55.3*(5280/3600)</f>
        <v>81.106666666666655</v>
      </c>
      <c r="O1256" s="35">
        <f t="shared" si="91"/>
        <v>1.0321853218532187</v>
      </c>
      <c r="P1256" s="35">
        <f t="shared" si="94"/>
        <v>61.869188191881918</v>
      </c>
      <c r="Q1256" s="35">
        <f>('Batt Capacity and Sys Weight'!$I$2) + (B1256*$T$2)</f>
        <v>38.373000000000005</v>
      </c>
      <c r="R1256" s="35">
        <f>'Batt Capacity and Sys Weight'!$H$2</f>
        <v>99.9</v>
      </c>
    </row>
    <row r="1257" spans="1:18" x14ac:dyDescent="0.3">
      <c r="A1257" s="35" t="s">
        <v>207</v>
      </c>
      <c r="B1257" s="35">
        <v>3.77</v>
      </c>
      <c r="C1257" s="35">
        <v>850</v>
      </c>
      <c r="D1257" s="35" t="s">
        <v>69</v>
      </c>
      <c r="E1257" s="36" t="str" cm="1">
        <f t="array" ref="E1257">GetNumber(D1257,1)</f>
        <v>10</v>
      </c>
      <c r="F1257" s="36" t="str" cm="1">
        <f t="array" ref="F1257">GetNumber(D1257,2)</f>
        <v>8</v>
      </c>
      <c r="G1257" s="35">
        <v>11.1</v>
      </c>
      <c r="H1257" s="35">
        <v>8083</v>
      </c>
      <c r="I1257" s="35">
        <f>24.26*($T$2)</f>
        <v>48.52</v>
      </c>
      <c r="J1257" s="35">
        <f>269.3*($T$2)</f>
        <v>538.6</v>
      </c>
      <c r="K1257" s="35">
        <f t="shared" si="92"/>
        <v>11.128852580764946</v>
      </c>
      <c r="L1257" s="35">
        <f t="shared" si="93"/>
        <v>11.129431162407254</v>
      </c>
      <c r="M1257" s="35">
        <f>2.469375*($T$2)</f>
        <v>4.9387499999999998</v>
      </c>
      <c r="N1257" s="35">
        <f>61.2*(5280/3600)</f>
        <v>89.759999999999991</v>
      </c>
      <c r="O1257" s="35">
        <f t="shared" si="91"/>
        <v>0.91696063869290745</v>
      </c>
      <c r="P1257" s="35">
        <f t="shared" si="94"/>
        <v>54.962620683252872</v>
      </c>
      <c r="Q1257" s="35">
        <f>('Batt Capacity and Sys Weight'!$I$2) + (B1257*$T$2)</f>
        <v>38.373000000000005</v>
      </c>
      <c r="R1257" s="35">
        <f>'Batt Capacity and Sys Weight'!$H$2</f>
        <v>99.9</v>
      </c>
    </row>
    <row r="1258" spans="1:18" x14ac:dyDescent="0.3">
      <c r="A1258" s="35" t="s">
        <v>207</v>
      </c>
      <c r="B1258" s="35">
        <v>3.77</v>
      </c>
      <c r="C1258" s="35">
        <v>850</v>
      </c>
      <c r="D1258" s="35" t="s">
        <v>70</v>
      </c>
      <c r="E1258" s="36" t="str" cm="1">
        <f t="array" ref="E1258">GetNumber(D1258,1)</f>
        <v>11</v>
      </c>
      <c r="F1258" s="36" cm="1">
        <f t="array" ref="F1258">GetNumber(D1258,2)+(GetNumber(D1258,3)/10)</f>
        <v>5.5</v>
      </c>
      <c r="G1258" s="35">
        <v>11.1</v>
      </c>
      <c r="H1258" s="35">
        <v>8243</v>
      </c>
      <c r="I1258" s="35">
        <f>23.77*($T$2)</f>
        <v>47.54</v>
      </c>
      <c r="J1258" s="35">
        <f>263.9*($T$2)</f>
        <v>527.79999999999995</v>
      </c>
      <c r="K1258" s="35">
        <f t="shared" si="92"/>
        <v>11.356574460022738</v>
      </c>
      <c r="L1258" s="35">
        <f t="shared" si="93"/>
        <v>11.358855700462769</v>
      </c>
      <c r="M1258" s="35">
        <f>3.119375*($T$2)</f>
        <v>6.2387499999999996</v>
      </c>
      <c r="N1258" s="35">
        <f>42.9*(5280/3600)</f>
        <v>62.919999999999995</v>
      </c>
      <c r="O1258" s="35">
        <f t="shared" si="91"/>
        <v>1.182029177718833</v>
      </c>
      <c r="P1258" s="35">
        <f t="shared" si="94"/>
        <v>70.850828912466852</v>
      </c>
      <c r="Q1258" s="35">
        <f>('Batt Capacity and Sys Weight'!$I$2) + (B1258*$T$2)</f>
        <v>38.373000000000005</v>
      </c>
      <c r="R1258" s="35">
        <f>'Batt Capacity and Sys Weight'!$H$2</f>
        <v>99.9</v>
      </c>
    </row>
    <row r="1259" spans="1:18" x14ac:dyDescent="0.3">
      <c r="A1259" s="35" t="s">
        <v>207</v>
      </c>
      <c r="B1259" s="35">
        <v>3.77</v>
      </c>
      <c r="C1259" s="35">
        <v>850</v>
      </c>
      <c r="D1259" s="35" t="s">
        <v>132</v>
      </c>
      <c r="E1259" s="36" t="str" cm="1">
        <f t="array" ref="E1259">GetNumber(D1259,1)</f>
        <v>11</v>
      </c>
      <c r="F1259" s="36" t="str" cm="1">
        <f t="array" ref="F1259">GetNumber(D1259,2)</f>
        <v>8</v>
      </c>
      <c r="G1259" s="35">
        <v>11.1</v>
      </c>
      <c r="H1259" s="35">
        <v>8044</v>
      </c>
      <c r="I1259" s="35">
        <f>25.45*($T$2)</f>
        <v>50.9</v>
      </c>
      <c r="J1259" s="35">
        <f>282.5*($T$2)</f>
        <v>565</v>
      </c>
      <c r="K1259" s="35">
        <f t="shared" si="92"/>
        <v>10.608849557522126</v>
      </c>
      <c r="L1259" s="35">
        <f t="shared" si="93"/>
        <v>10.609037328094303</v>
      </c>
      <c r="M1259" s="35">
        <f>3.026875*($T$2)</f>
        <v>6.05375</v>
      </c>
      <c r="N1259" s="35">
        <f>60.9*(5280/3600)</f>
        <v>89.32</v>
      </c>
      <c r="O1259" s="35">
        <f t="shared" si="91"/>
        <v>1.0714601769911505</v>
      </c>
      <c r="P1259" s="35">
        <f t="shared" si="94"/>
        <v>64.223323008849562</v>
      </c>
      <c r="Q1259" s="35">
        <f>('Batt Capacity and Sys Weight'!$I$2) + (B1259*$T$2)</f>
        <v>38.373000000000005</v>
      </c>
      <c r="R1259" s="35">
        <f>'Batt Capacity and Sys Weight'!$H$2</f>
        <v>99.9</v>
      </c>
    </row>
    <row r="1260" spans="1:18" x14ac:dyDescent="0.3">
      <c r="A1260" s="35" t="s">
        <v>207</v>
      </c>
      <c r="B1260" s="35">
        <v>3.77</v>
      </c>
      <c r="C1260" s="35">
        <v>850</v>
      </c>
      <c r="D1260" s="35" t="s">
        <v>133</v>
      </c>
      <c r="E1260" s="36" t="str" cm="1">
        <f t="array" ref="E1260">GetNumber(D1260,1)</f>
        <v>10</v>
      </c>
      <c r="F1260" s="36" t="str" cm="1">
        <f t="array" ref="F1260">GetNumber(D1260,2)</f>
        <v>5</v>
      </c>
      <c r="G1260" s="35">
        <v>11.1</v>
      </c>
      <c r="H1260" s="35">
        <v>8955</v>
      </c>
      <c r="I1260" s="35">
        <f>16.06*($T$2)</f>
        <v>32.119999999999997</v>
      </c>
      <c r="J1260" s="35">
        <f>178.2*($T$2)</f>
        <v>356.4</v>
      </c>
      <c r="K1260" s="35">
        <f t="shared" si="92"/>
        <v>16.81818181818182</v>
      </c>
      <c r="L1260" s="35">
        <f t="shared" si="93"/>
        <v>16.811955168119553</v>
      </c>
      <c r="M1260" s="35">
        <f>2.123125*($T$2)</f>
        <v>4.2462499999999999</v>
      </c>
      <c r="N1260" s="35">
        <f>42.4*(5280/3600)</f>
        <v>62.18666666666666</v>
      </c>
      <c r="O1260" s="35">
        <f t="shared" si="91"/>
        <v>1.1914281705948373</v>
      </c>
      <c r="P1260" s="35">
        <f t="shared" si="94"/>
        <v>71.414204545454552</v>
      </c>
      <c r="Q1260" s="35">
        <f>('Batt Capacity and Sys Weight'!$I$2) + (B1260*$T$2)</f>
        <v>38.373000000000005</v>
      </c>
      <c r="R1260" s="35">
        <f>'Batt Capacity and Sys Weight'!$H$2</f>
        <v>99.9</v>
      </c>
    </row>
    <row r="1261" spans="1:18" x14ac:dyDescent="0.3">
      <c r="A1261" s="35" t="s">
        <v>207</v>
      </c>
      <c r="B1261" s="35">
        <v>3.77</v>
      </c>
      <c r="C1261" s="35">
        <v>850</v>
      </c>
      <c r="D1261" s="35" t="s">
        <v>134</v>
      </c>
      <c r="E1261" s="36" t="str" cm="1">
        <f t="array" ref="E1261">GetNumber(D1261,1)</f>
        <v>10</v>
      </c>
      <c r="F1261" s="36" t="str" cm="1">
        <f t="array" ref="F1261">GetNumber(D1261,2)</f>
        <v>6</v>
      </c>
      <c r="G1261" s="35">
        <v>11.1</v>
      </c>
      <c r="H1261" s="35">
        <v>8500</v>
      </c>
      <c r="I1261" s="35">
        <f>20.42*($T$2)</f>
        <v>40.840000000000003</v>
      </c>
      <c r="J1261" s="35">
        <f>226.7*($T$2)</f>
        <v>453.4</v>
      </c>
      <c r="K1261" s="35">
        <f t="shared" si="92"/>
        <v>13.220114689016322</v>
      </c>
      <c r="L1261" s="35">
        <f t="shared" si="93"/>
        <v>13.222331047992164</v>
      </c>
      <c r="M1261" s="35">
        <f>2.178125*($T$2)</f>
        <v>4.3562500000000002</v>
      </c>
      <c r="N1261" s="35">
        <f>48.3*(5280/3600)</f>
        <v>70.839999999999989</v>
      </c>
      <c r="O1261" s="35">
        <f t="shared" si="91"/>
        <v>0.96079620644022956</v>
      </c>
      <c r="P1261" s="35">
        <f t="shared" si="94"/>
        <v>57.590124614027353</v>
      </c>
      <c r="Q1261" s="35">
        <f>('Batt Capacity and Sys Weight'!$I$2) + (B1261*$T$2)</f>
        <v>38.373000000000005</v>
      </c>
      <c r="R1261" s="35">
        <f>'Batt Capacity and Sys Weight'!$H$2</f>
        <v>99.9</v>
      </c>
    </row>
    <row r="1262" spans="1:18" x14ac:dyDescent="0.3">
      <c r="A1262" s="35" t="s">
        <v>207</v>
      </c>
      <c r="B1262" s="35">
        <v>3.77</v>
      </c>
      <c r="C1262" s="35">
        <v>850</v>
      </c>
      <c r="D1262" s="35" t="s">
        <v>135</v>
      </c>
      <c r="E1262" s="36" t="str" cm="1">
        <f t="array" ref="E1262">GetNumber(D1262,1)</f>
        <v>10</v>
      </c>
      <c r="F1262" s="36" t="str" cm="1">
        <f t="array" ref="F1262">GetNumber(D1262,2)</f>
        <v>7</v>
      </c>
      <c r="G1262" s="35">
        <v>11.1</v>
      </c>
      <c r="H1262" s="35">
        <v>8311</v>
      </c>
      <c r="I1262" s="35">
        <f>22.3*($T$2)</f>
        <v>44.6</v>
      </c>
      <c r="J1262" s="35">
        <f>247.6*($T$2)</f>
        <v>495.2</v>
      </c>
      <c r="K1262" s="35">
        <f t="shared" si="92"/>
        <v>12.104200323101777</v>
      </c>
      <c r="L1262" s="35">
        <f t="shared" si="93"/>
        <v>12.107623318385651</v>
      </c>
      <c r="M1262" s="35">
        <f>1.96*($T$2)</f>
        <v>3.92</v>
      </c>
      <c r="N1262" s="35">
        <f>55.1*(5280/3600)</f>
        <v>80.813333333333333</v>
      </c>
      <c r="O1262" s="35">
        <f t="shared" si="91"/>
        <v>0.79159935379644586</v>
      </c>
      <c r="P1262" s="35">
        <f t="shared" si="94"/>
        <v>47.448465266558962</v>
      </c>
      <c r="Q1262" s="35">
        <f>('Batt Capacity and Sys Weight'!$I$2) + (B1262*$T$2)</f>
        <v>38.373000000000005</v>
      </c>
      <c r="R1262" s="35">
        <f>'Batt Capacity and Sys Weight'!$H$2</f>
        <v>99.9</v>
      </c>
    </row>
    <row r="1263" spans="1:18" x14ac:dyDescent="0.3">
      <c r="A1263" s="35" t="s">
        <v>207</v>
      </c>
      <c r="B1263" s="35">
        <v>3.77</v>
      </c>
      <c r="C1263" s="35">
        <v>850</v>
      </c>
      <c r="D1263" s="35" t="s">
        <v>136</v>
      </c>
      <c r="E1263" s="36" t="str" cm="1">
        <f t="array" ref="E1263">GetNumber(D1263,1)</f>
        <v>10</v>
      </c>
      <c r="F1263" s="36" t="str" cm="1">
        <f t="array" ref="F1263">GetNumber(D1263,2)</f>
        <v>8</v>
      </c>
      <c r="G1263" s="35">
        <v>11.1</v>
      </c>
      <c r="H1263" s="35">
        <v>8035</v>
      </c>
      <c r="I1263" s="35">
        <f>24.63*($T$2)</f>
        <v>49.26</v>
      </c>
      <c r="J1263" s="35">
        <f>273.4*($T$2)</f>
        <v>546.79999999999995</v>
      </c>
      <c r="K1263" s="35">
        <f t="shared" si="92"/>
        <v>10.96196049743965</v>
      </c>
      <c r="L1263" s="35">
        <f t="shared" si="93"/>
        <v>10.962241169305726</v>
      </c>
      <c r="M1263" s="35">
        <f>2.131875*($T$2)</f>
        <v>4.2637499999999999</v>
      </c>
      <c r="N1263" s="35">
        <f>60.9*(5280/3600)</f>
        <v>89.32</v>
      </c>
      <c r="O1263" s="35">
        <f t="shared" si="91"/>
        <v>0.77976408193123636</v>
      </c>
      <c r="P1263" s="35">
        <f t="shared" si="94"/>
        <v>46.739059070958305</v>
      </c>
      <c r="Q1263" s="35">
        <f>('Batt Capacity and Sys Weight'!$I$2) + (B1263*$T$2)</f>
        <v>38.373000000000005</v>
      </c>
      <c r="R1263" s="35">
        <f>'Batt Capacity and Sys Weight'!$H$2</f>
        <v>99.9</v>
      </c>
    </row>
    <row r="1264" spans="1:18" x14ac:dyDescent="0.3">
      <c r="A1264" s="35" t="s">
        <v>207</v>
      </c>
      <c r="B1264" s="35">
        <v>3.77</v>
      </c>
      <c r="C1264" s="35">
        <v>850</v>
      </c>
      <c r="D1264" s="35" t="s">
        <v>137</v>
      </c>
      <c r="E1264" s="36" t="str" cm="1">
        <f t="array" ref="E1264">GetNumber(D1264,1)</f>
        <v>11</v>
      </c>
      <c r="F1264" s="36" t="str" cm="1">
        <f t="array" ref="F1264">GetNumber(D1264,2)</f>
        <v>5</v>
      </c>
      <c r="G1264" s="35">
        <v>11.1</v>
      </c>
      <c r="H1264" s="35">
        <v>8580</v>
      </c>
      <c r="I1264" s="35">
        <f>20.62*($T$2)</f>
        <v>41.24</v>
      </c>
      <c r="J1264" s="35">
        <f>228.9*($T$2)</f>
        <v>457.8</v>
      </c>
      <c r="K1264" s="35">
        <f t="shared" si="92"/>
        <v>13.09305373525557</v>
      </c>
      <c r="L1264" s="35">
        <f t="shared" si="93"/>
        <v>13.094083414161009</v>
      </c>
      <c r="M1264" s="35">
        <f>2.65625*($T$2)</f>
        <v>5.3125</v>
      </c>
      <c r="N1264" s="35">
        <f>40.6*(5280/3600)</f>
        <v>59.546666666666667</v>
      </c>
      <c r="O1264" s="35">
        <f t="shared" si="91"/>
        <v>1.1604412407164701</v>
      </c>
      <c r="P1264" s="35">
        <f t="shared" si="94"/>
        <v>69.556847968545213</v>
      </c>
      <c r="Q1264" s="35">
        <f>('Batt Capacity and Sys Weight'!$I$2) + (B1264*$T$2)</f>
        <v>38.373000000000005</v>
      </c>
      <c r="R1264" s="35">
        <f>'Batt Capacity and Sys Weight'!$H$2</f>
        <v>99.9</v>
      </c>
    </row>
    <row r="1265" spans="1:18" x14ac:dyDescent="0.3">
      <c r="A1265" s="35" t="s">
        <v>207</v>
      </c>
      <c r="B1265" s="35">
        <v>3.77</v>
      </c>
      <c r="C1265" s="35">
        <v>850</v>
      </c>
      <c r="D1265" s="35" t="s">
        <v>138</v>
      </c>
      <c r="E1265" s="36" t="str" cm="1">
        <f t="array" ref="E1265">GetNumber(D1265,1)</f>
        <v>11</v>
      </c>
      <c r="F1265" s="36" t="str" cm="1">
        <f t="array" ref="F1265">GetNumber(D1265,2)</f>
        <v>6</v>
      </c>
      <c r="G1265" s="35">
        <v>11.1</v>
      </c>
      <c r="H1265" s="35">
        <v>8241</v>
      </c>
      <c r="I1265" s="35">
        <f>23.64*($T$2)</f>
        <v>47.28</v>
      </c>
      <c r="J1265" s="35">
        <f>262.4*($T$2)</f>
        <v>524.79999999999995</v>
      </c>
      <c r="K1265" s="35">
        <f t="shared" si="92"/>
        <v>11.421493902439027</v>
      </c>
      <c r="L1265" s="35">
        <f t="shared" si="93"/>
        <v>11.421319796954315</v>
      </c>
      <c r="M1265" s="35">
        <f>2.93625*($T$2)</f>
        <v>5.8724999999999996</v>
      </c>
      <c r="N1265" s="35">
        <f>46.8*(5280/3600)</f>
        <v>68.639999999999986</v>
      </c>
      <c r="O1265" s="35">
        <f t="shared" si="91"/>
        <v>1.1189977134146343</v>
      </c>
      <c r="P1265" s="35">
        <f t="shared" si="94"/>
        <v>67.072722942073185</v>
      </c>
      <c r="Q1265" s="35">
        <f>('Batt Capacity and Sys Weight'!$I$2) + (B1265*$T$2)</f>
        <v>38.373000000000005</v>
      </c>
      <c r="R1265" s="35">
        <f>'Batt Capacity and Sys Weight'!$H$2</f>
        <v>99.9</v>
      </c>
    </row>
    <row r="1266" spans="1:18" x14ac:dyDescent="0.3">
      <c r="A1266" s="35" t="s">
        <v>207</v>
      </c>
      <c r="B1266" s="35">
        <v>3.77</v>
      </c>
      <c r="C1266" s="35">
        <v>850</v>
      </c>
      <c r="D1266" s="35" t="s">
        <v>139</v>
      </c>
      <c r="E1266" s="36" t="str" cm="1">
        <f t="array" ref="E1266">GetNumber(D1266,1)</f>
        <v>11</v>
      </c>
      <c r="F1266" s="36" t="str" cm="1">
        <f t="array" ref="F1266">GetNumber(D1266,2)</f>
        <v>7</v>
      </c>
      <c r="G1266" s="35">
        <v>11.1</v>
      </c>
      <c r="H1266" s="35">
        <v>8205</v>
      </c>
      <c r="I1266" s="35">
        <f>23.93*($T$2)</f>
        <v>47.86</v>
      </c>
      <c r="J1266" s="35">
        <f>265.6*($T$2)</f>
        <v>531.20000000000005</v>
      </c>
      <c r="K1266" s="35">
        <f t="shared" si="92"/>
        <v>11.283885542168676</v>
      </c>
      <c r="L1266" s="35">
        <f t="shared" si="93"/>
        <v>11.282908483075637</v>
      </c>
      <c r="M1266" s="35">
        <f>2.91875*($T$2)</f>
        <v>5.8375000000000004</v>
      </c>
      <c r="N1266" s="35">
        <f>54.4*(5280/3600)</f>
        <v>79.786666666666662</v>
      </c>
      <c r="O1266" s="35">
        <f t="shared" si="91"/>
        <v>1.0989269578313252</v>
      </c>
      <c r="P1266" s="35">
        <f t="shared" si="94"/>
        <v>65.869681852409656</v>
      </c>
      <c r="Q1266" s="35">
        <f>('Batt Capacity and Sys Weight'!$I$2) + (B1266*$T$2)</f>
        <v>38.373000000000005</v>
      </c>
      <c r="R1266" s="35">
        <f>'Batt Capacity and Sys Weight'!$H$2</f>
        <v>99.9</v>
      </c>
    </row>
    <row r="1267" spans="1:18" x14ac:dyDescent="0.3">
      <c r="A1267" s="35" t="s">
        <v>207</v>
      </c>
      <c r="B1267" s="35">
        <v>3.77</v>
      </c>
      <c r="C1267" s="35">
        <v>850</v>
      </c>
      <c r="D1267" s="35" t="s">
        <v>131</v>
      </c>
      <c r="E1267" s="36" t="str" cm="1">
        <f t="array" ref="E1267">GetNumber(D1267,1)</f>
        <v>10</v>
      </c>
      <c r="F1267" s="36" t="str" cm="1">
        <f t="array" ref="F1267">GetNumber(D1267,2)</f>
        <v>6</v>
      </c>
      <c r="G1267" s="35">
        <v>11.1</v>
      </c>
      <c r="H1267" s="35">
        <v>8860</v>
      </c>
      <c r="I1267" s="35">
        <f>17.86*($T$2)</f>
        <v>35.72</v>
      </c>
      <c r="J1267" s="35">
        <f>198.2*($T$2)</f>
        <v>396.4</v>
      </c>
      <c r="K1267" s="35">
        <f t="shared" si="92"/>
        <v>15.121089808274471</v>
      </c>
      <c r="L1267" s="35">
        <f t="shared" si="93"/>
        <v>15.117581187010078</v>
      </c>
      <c r="M1267" s="35">
        <f>2.423125*($T$2)</f>
        <v>4.8462500000000004</v>
      </c>
      <c r="N1267" s="35">
        <f>50.3*(5280/3600)</f>
        <v>73.773333333333326</v>
      </c>
      <c r="O1267" s="35">
        <f t="shared" si="91"/>
        <v>1.2225655903128156</v>
      </c>
      <c r="P1267" s="35">
        <f t="shared" si="94"/>
        <v>73.280581483350161</v>
      </c>
      <c r="Q1267" s="35">
        <f>('Batt Capacity and Sys Weight'!$I$2) + (B1267*$T$2)</f>
        <v>38.373000000000005</v>
      </c>
      <c r="R1267" s="35">
        <f>'Batt Capacity and Sys Weight'!$H$2</f>
        <v>99.9</v>
      </c>
    </row>
    <row r="1268" spans="1:18" x14ac:dyDescent="0.3">
      <c r="A1268" s="35" t="s">
        <v>207</v>
      </c>
      <c r="B1268" s="35">
        <v>3.77</v>
      </c>
      <c r="C1268" s="35">
        <v>850</v>
      </c>
      <c r="D1268" s="35" t="s">
        <v>101</v>
      </c>
      <c r="E1268" s="36" t="str" cm="1">
        <f t="array" ref="E1268">GetNumber(D1268,1)</f>
        <v>9</v>
      </c>
      <c r="F1268" s="36" t="str" cm="1">
        <f t="array" ref="F1268">GetNumber(D1268,2)</f>
        <v>7</v>
      </c>
      <c r="G1268" s="35">
        <v>11.1</v>
      </c>
      <c r="H1268" s="35">
        <v>8631</v>
      </c>
      <c r="I1268" s="35">
        <f>20.11*($T$2)</f>
        <v>40.22</v>
      </c>
      <c r="J1268" s="35">
        <f>223.2*($T$2)</f>
        <v>446.4</v>
      </c>
      <c r="K1268" s="35">
        <f t="shared" si="92"/>
        <v>13.427419354838712</v>
      </c>
      <c r="L1268" s="35">
        <f t="shared" si="93"/>
        <v>13.426156141223272</v>
      </c>
      <c r="M1268" s="35">
        <f>2.41625*($T$2)</f>
        <v>4.8324999999999996</v>
      </c>
      <c r="N1268" s="35">
        <f>57.2*(5280/3600)</f>
        <v>83.893333333333331</v>
      </c>
      <c r="O1268" s="35">
        <f t="shared" si="91"/>
        <v>1.0825492831541219</v>
      </c>
      <c r="P1268" s="35">
        <f t="shared" si="94"/>
        <v>64.888004032258067</v>
      </c>
      <c r="Q1268" s="35">
        <f>('Batt Capacity and Sys Weight'!$I$2) + (B1268*$T$2)</f>
        <v>38.373000000000005</v>
      </c>
      <c r="R1268" s="35">
        <f>'Batt Capacity and Sys Weight'!$H$2</f>
        <v>99.9</v>
      </c>
    </row>
    <row r="1269" spans="1:18" x14ac:dyDescent="0.3">
      <c r="A1269" s="35" t="s">
        <v>207</v>
      </c>
      <c r="B1269" s="35">
        <v>3.77</v>
      </c>
      <c r="C1269" s="35">
        <v>850</v>
      </c>
      <c r="D1269" s="35" t="s">
        <v>79</v>
      </c>
      <c r="E1269" s="36" t="str" cm="1">
        <f t="array" ref="E1269">GetNumber(D1269,1)</f>
        <v>10</v>
      </c>
      <c r="F1269" s="36" t="str" cm="1">
        <f t="array" ref="F1269">GetNumber(D1269,2)</f>
        <v>5</v>
      </c>
      <c r="G1269" s="35">
        <v>11.1</v>
      </c>
      <c r="H1269" s="35">
        <v>8818</v>
      </c>
      <c r="I1269" s="35">
        <f>18.35*($T$2)</f>
        <v>36.700000000000003</v>
      </c>
      <c r="J1269" s="35">
        <f>203.7*($T$2)</f>
        <v>407.4</v>
      </c>
      <c r="K1269" s="35">
        <f t="shared" si="92"/>
        <v>14.712812960235642</v>
      </c>
      <c r="L1269" s="35">
        <f t="shared" si="93"/>
        <v>14.713896457765667</v>
      </c>
      <c r="M1269" s="35">
        <f>2.50875*($T$2)</f>
        <v>5.0175000000000001</v>
      </c>
      <c r="N1269" s="35">
        <f>41.8*(5280/3600)</f>
        <v>61.306666666666658</v>
      </c>
      <c r="O1269" s="35">
        <f t="shared" si="91"/>
        <v>1.2315905743740796</v>
      </c>
      <c r="P1269" s="35">
        <f t="shared" si="94"/>
        <v>73.82153902798234</v>
      </c>
      <c r="Q1269" s="35">
        <f>('Batt Capacity and Sys Weight'!$I$2) + (B1269*$T$2)</f>
        <v>38.373000000000005</v>
      </c>
      <c r="R1269" s="35">
        <f>'Batt Capacity and Sys Weight'!$H$2</f>
        <v>99.9</v>
      </c>
    </row>
    <row r="1270" spans="1:18" x14ac:dyDescent="0.3">
      <c r="A1270" s="35" t="s">
        <v>207</v>
      </c>
      <c r="B1270" s="35">
        <v>3.77</v>
      </c>
      <c r="C1270" s="35">
        <v>850</v>
      </c>
      <c r="D1270" s="35" t="s">
        <v>80</v>
      </c>
      <c r="E1270" s="36" t="str" cm="1">
        <f t="array" ref="E1270">GetNumber(D1270,1)</f>
        <v>10</v>
      </c>
      <c r="F1270" s="36" t="str" cm="1">
        <f t="array" ref="F1270">GetNumber(D1270,2)</f>
        <v>7</v>
      </c>
      <c r="G1270" s="35">
        <v>11.1</v>
      </c>
      <c r="H1270" s="35">
        <v>8082</v>
      </c>
      <c r="I1270" s="35">
        <f>25.16*($T$2)</f>
        <v>50.32</v>
      </c>
      <c r="J1270" s="35">
        <f>279.2*($T$2)</f>
        <v>558.4</v>
      </c>
      <c r="K1270" s="35">
        <f t="shared" si="92"/>
        <v>10.734240687679083</v>
      </c>
      <c r="L1270" s="35">
        <f t="shared" si="93"/>
        <v>10.731319554848966</v>
      </c>
      <c r="M1270" s="35">
        <f>2.97375*($T$2)</f>
        <v>5.9474999999999998</v>
      </c>
      <c r="N1270" s="35">
        <f>53.6*(5280/3600)</f>
        <v>78.61333333333333</v>
      </c>
      <c r="O1270" s="35">
        <f t="shared" si="91"/>
        <v>1.0650967048710602</v>
      </c>
      <c r="P1270" s="35">
        <f t="shared" si="94"/>
        <v>63.841896489971347</v>
      </c>
      <c r="Q1270" s="35">
        <f>('Batt Capacity and Sys Weight'!$I$2) + (B1270*$T$2)</f>
        <v>38.373000000000005</v>
      </c>
      <c r="R1270" s="35">
        <f>'Batt Capacity and Sys Weight'!$H$2</f>
        <v>99.9</v>
      </c>
    </row>
    <row r="1271" spans="1:18" x14ac:dyDescent="0.3">
      <c r="A1271" s="35" t="s">
        <v>207</v>
      </c>
      <c r="B1271" s="35">
        <v>3.77</v>
      </c>
      <c r="C1271" s="35">
        <v>850</v>
      </c>
      <c r="D1271" s="35" t="s">
        <v>127</v>
      </c>
      <c r="E1271" s="36" t="str" cm="1">
        <f t="array" ref="E1271">GetNumber(D1271,1)</f>
        <v>8</v>
      </c>
      <c r="F1271" s="36" t="str" cm="1">
        <f t="array" ref="F1271">GetNumber(D1271,2)</f>
        <v>6</v>
      </c>
      <c r="G1271" s="35">
        <v>14.8</v>
      </c>
      <c r="H1271" s="35">
        <v>11529</v>
      </c>
      <c r="I1271" s="35">
        <f>20.01*($T$2)</f>
        <v>40.020000000000003</v>
      </c>
      <c r="J1271" s="35">
        <f>296.1*($T$2)</f>
        <v>592.20000000000005</v>
      </c>
      <c r="K1271" s="35">
        <f t="shared" si="92"/>
        <v>9.896656534954408</v>
      </c>
      <c r="L1271" s="35">
        <f t="shared" si="93"/>
        <v>9.8950524737631191</v>
      </c>
      <c r="M1271" s="35">
        <f>2.550625*($T$2)</f>
        <v>5.1012500000000003</v>
      </c>
      <c r="N1271" s="35">
        <f>65.5*(5280/3600)</f>
        <v>96.066666666666663</v>
      </c>
      <c r="O1271" s="35">
        <f t="shared" si="91"/>
        <v>0.8614066193853428</v>
      </c>
      <c r="P1271" s="35">
        <f t="shared" si="94"/>
        <v>50.485319148936178</v>
      </c>
      <c r="Q1271" s="35">
        <f>('Batt Capacity and Sys Weight'!$I$3) + (B1271*$T$2)</f>
        <v>33.928474999999999</v>
      </c>
      <c r="R1271" s="35">
        <f>'Batt Capacity and Sys Weight'!$H$3</f>
        <v>97.68</v>
      </c>
    </row>
    <row r="1272" spans="1:18" x14ac:dyDescent="0.3">
      <c r="A1272" s="35" t="s">
        <v>207</v>
      </c>
      <c r="B1272" s="35">
        <v>3.77</v>
      </c>
      <c r="C1272" s="35">
        <v>850</v>
      </c>
      <c r="D1272" s="35" t="s">
        <v>128</v>
      </c>
      <c r="E1272" s="36" t="str" cm="1">
        <f t="array" ref="E1272">GetNumber(D1272,1)</f>
        <v>8</v>
      </c>
      <c r="F1272" s="36" t="str" cm="1">
        <f t="array" ref="F1272">GetNumber(D1272,2)</f>
        <v>8</v>
      </c>
      <c r="G1272" s="35">
        <v>14.8</v>
      </c>
      <c r="H1272" s="35">
        <v>11261</v>
      </c>
      <c r="I1272" s="35">
        <f>24.45*($T$2)</f>
        <v>48.9</v>
      </c>
      <c r="J1272" s="35">
        <f>361.8*($T$2)</f>
        <v>723.6</v>
      </c>
      <c r="K1272" s="35">
        <f t="shared" si="92"/>
        <v>8.0995024875621908</v>
      </c>
      <c r="L1272" s="35">
        <f t="shared" si="93"/>
        <v>8.0981595092024552</v>
      </c>
      <c r="M1272" s="35">
        <f>2.39*($T$2)</f>
        <v>4.78</v>
      </c>
      <c r="N1272" s="35">
        <f>85.3*(5280/3600)</f>
        <v>125.10666666666665</v>
      </c>
      <c r="O1272" s="35">
        <f t="shared" si="91"/>
        <v>0.66058595909342177</v>
      </c>
      <c r="P1272" s="35">
        <f t="shared" si="94"/>
        <v>38.715621890547276</v>
      </c>
      <c r="Q1272" s="35">
        <f>('Batt Capacity and Sys Weight'!$I$3) + (B1272*$T$2)</f>
        <v>33.928474999999999</v>
      </c>
      <c r="R1272" s="35">
        <f>'Batt Capacity and Sys Weight'!$H$3</f>
        <v>97.68</v>
      </c>
    </row>
    <row r="1273" spans="1:18" x14ac:dyDescent="0.3">
      <c r="A1273" s="35" t="s">
        <v>207</v>
      </c>
      <c r="B1273" s="35">
        <v>3.77</v>
      </c>
      <c r="C1273" s="35">
        <v>850</v>
      </c>
      <c r="D1273" s="35" t="s">
        <v>129</v>
      </c>
      <c r="E1273" s="36" t="str" cm="1">
        <f t="array" ref="E1273">GetNumber(D1273,1)</f>
        <v>9</v>
      </c>
      <c r="F1273" s="36" cm="1">
        <f t="array" ref="F1273">GetNumber(D1273,2)+(GetNumber(D1273,3)/10)</f>
        <v>4.5</v>
      </c>
      <c r="G1273" s="35">
        <v>14.8</v>
      </c>
      <c r="H1273" s="35">
        <v>11739</v>
      </c>
      <c r="I1273" s="35">
        <f>20.12*($T$2)</f>
        <v>40.24</v>
      </c>
      <c r="J1273" s="35">
        <f>297.8*($T$2)</f>
        <v>595.6</v>
      </c>
      <c r="K1273" s="35">
        <f t="shared" si="92"/>
        <v>9.8401611820013422</v>
      </c>
      <c r="L1273" s="35">
        <f t="shared" si="93"/>
        <v>9.8409542743538783</v>
      </c>
      <c r="M1273" s="35">
        <f>3.093125*($T$2)</f>
        <v>6.1862500000000002</v>
      </c>
      <c r="N1273" s="35">
        <f>50*(5280/3600)</f>
        <v>73.333333333333329</v>
      </c>
      <c r="O1273" s="35">
        <f t="shared" si="91"/>
        <v>1.0386584956346541</v>
      </c>
      <c r="P1273" s="35">
        <f t="shared" si="94"/>
        <v>60.873697112155803</v>
      </c>
      <c r="Q1273" s="35">
        <f>('Batt Capacity and Sys Weight'!$I$3) + (B1273*$T$2)</f>
        <v>33.928474999999999</v>
      </c>
      <c r="R1273" s="35">
        <f>'Batt Capacity and Sys Weight'!$H$3</f>
        <v>97.68</v>
      </c>
    </row>
    <row r="1274" spans="1:18" x14ac:dyDescent="0.3">
      <c r="A1274" s="35" t="s">
        <v>207</v>
      </c>
      <c r="B1274" s="35">
        <v>3.77</v>
      </c>
      <c r="C1274" s="35">
        <v>850</v>
      </c>
      <c r="D1274" s="35" t="s">
        <v>130</v>
      </c>
      <c r="E1274" s="36" t="str" cm="1">
        <f t="array" ref="E1274">GetNumber(D1274,1)</f>
        <v>9</v>
      </c>
      <c r="F1274" s="36" t="str" cm="1">
        <f t="array" ref="F1274">GetNumber(D1274,2)</f>
        <v>5</v>
      </c>
      <c r="G1274" s="35">
        <v>14.8</v>
      </c>
      <c r="H1274" s="35">
        <v>12130</v>
      </c>
      <c r="I1274" s="35">
        <f>17.23*($T$2)</f>
        <v>34.46</v>
      </c>
      <c r="J1274" s="35">
        <f>255*($T$2)</f>
        <v>510</v>
      </c>
      <c r="K1274" s="35">
        <f t="shared" si="92"/>
        <v>11.491764705882353</v>
      </c>
      <c r="L1274" s="35">
        <f t="shared" si="93"/>
        <v>11.491584445734185</v>
      </c>
      <c r="M1274" s="35">
        <f>2.581875*($T$2)</f>
        <v>5.1637500000000003</v>
      </c>
      <c r="N1274" s="35">
        <f>57.4*(5280/3600)</f>
        <v>84.186666666666653</v>
      </c>
      <c r="O1274" s="35">
        <f t="shared" si="91"/>
        <v>1.0125</v>
      </c>
      <c r="P1274" s="35">
        <f t="shared" si="94"/>
        <v>59.340600000000002</v>
      </c>
      <c r="Q1274" s="35">
        <f>('Batt Capacity and Sys Weight'!$I$3) + (B1274*$T$2)</f>
        <v>33.928474999999999</v>
      </c>
      <c r="R1274" s="35">
        <f>'Batt Capacity and Sys Weight'!$H$3</f>
        <v>97.68</v>
      </c>
    </row>
    <row r="1275" spans="1:18" x14ac:dyDescent="0.3">
      <c r="A1275" s="35" t="s">
        <v>207</v>
      </c>
      <c r="B1275" s="35">
        <v>3.77</v>
      </c>
      <c r="C1275" s="35">
        <v>850</v>
      </c>
      <c r="D1275" s="35" t="s">
        <v>107</v>
      </c>
      <c r="E1275" s="36" t="str" cm="1">
        <f t="array" ref="E1275">GetNumber(D1275,1)</f>
        <v>9</v>
      </c>
      <c r="F1275" s="36" t="str" cm="1">
        <f t="array" ref="F1275">GetNumber(D1275,2)</f>
        <v>6</v>
      </c>
      <c r="G1275" s="35">
        <v>14.8</v>
      </c>
      <c r="H1275" s="35">
        <v>11434</v>
      </c>
      <c r="I1275" s="35">
        <f>23.53*($T$2)</f>
        <v>47.06</v>
      </c>
      <c r="J1275" s="35">
        <f>348.2*($T$2)</f>
        <v>696.4</v>
      </c>
      <c r="K1275" s="35">
        <f t="shared" si="92"/>
        <v>8.4158529580700758</v>
      </c>
      <c r="L1275" s="35">
        <f t="shared" si="93"/>
        <v>8.4147896302592429</v>
      </c>
      <c r="M1275" s="35">
        <f>3.075625*($T$2)</f>
        <v>6.1512500000000001</v>
      </c>
      <c r="N1275" s="35">
        <f>65*(5280/3600)</f>
        <v>95.333333333333329</v>
      </c>
      <c r="O1275" s="35">
        <f t="shared" si="91"/>
        <v>0.8832926479035037</v>
      </c>
      <c r="P1275" s="35">
        <f t="shared" si="94"/>
        <v>51.768015508328553</v>
      </c>
      <c r="Q1275" s="35">
        <f>('Batt Capacity and Sys Weight'!$I$3) + (B1275*$T$2)</f>
        <v>33.928474999999999</v>
      </c>
      <c r="R1275" s="35">
        <f>'Batt Capacity and Sys Weight'!$H$3</f>
        <v>97.68</v>
      </c>
    </row>
    <row r="1276" spans="1:18" x14ac:dyDescent="0.3">
      <c r="A1276" s="35" t="s">
        <v>207</v>
      </c>
      <c r="B1276" s="35">
        <v>3.77</v>
      </c>
      <c r="C1276" s="35">
        <v>850</v>
      </c>
      <c r="D1276" s="35" t="s">
        <v>131</v>
      </c>
      <c r="E1276" s="36" t="str" cm="1">
        <f t="array" ref="E1276">GetNumber(D1276,1)</f>
        <v>10</v>
      </c>
      <c r="F1276" s="36" t="str" cm="1">
        <f t="array" ref="F1276">GetNumber(D1276,2)</f>
        <v>6</v>
      </c>
      <c r="G1276" s="35">
        <v>14.8</v>
      </c>
      <c r="H1276" s="35">
        <v>11295</v>
      </c>
      <c r="I1276" s="35">
        <f>24.71*($T$2)</f>
        <v>49.42</v>
      </c>
      <c r="J1276" s="35">
        <f>365.6*($T$2)</f>
        <v>731.2</v>
      </c>
      <c r="K1276" s="35">
        <f t="shared" si="92"/>
        <v>8.0153172866520777</v>
      </c>
      <c r="L1276" s="35">
        <f t="shared" si="93"/>
        <v>8.0129502225819511</v>
      </c>
      <c r="M1276" s="35">
        <f>3.49*($T$2)</f>
        <v>6.98</v>
      </c>
      <c r="N1276" s="35">
        <f>64.2*(5280/3600)</f>
        <v>94.16</v>
      </c>
      <c r="O1276" s="35">
        <f t="shared" si="91"/>
        <v>0.95459518599562365</v>
      </c>
      <c r="P1276" s="35">
        <f t="shared" si="94"/>
        <v>55.946914660831503</v>
      </c>
      <c r="Q1276" s="35">
        <f>('Batt Capacity and Sys Weight'!$I$3) + (B1276*$T$2)</f>
        <v>33.928474999999999</v>
      </c>
      <c r="R1276" s="35">
        <f>'Batt Capacity and Sys Weight'!$H$3</f>
        <v>97.68</v>
      </c>
    </row>
    <row r="1277" spans="1:18" x14ac:dyDescent="0.3">
      <c r="A1277" s="35" t="s">
        <v>207</v>
      </c>
      <c r="B1277" s="35">
        <v>3.77</v>
      </c>
      <c r="C1277" s="35">
        <v>850</v>
      </c>
      <c r="D1277" s="35" t="s">
        <v>142</v>
      </c>
      <c r="E1277" s="36">
        <v>7.5</v>
      </c>
      <c r="F1277" s="36" t="str" cm="1">
        <f t="array" ref="F1277">GetNumber(D1277,3)</f>
        <v>4</v>
      </c>
      <c r="G1277" s="35">
        <v>14.8</v>
      </c>
      <c r="H1277" s="35">
        <v>11672</v>
      </c>
      <c r="I1277" s="35">
        <f>21.43*($T$2)</f>
        <v>42.86</v>
      </c>
      <c r="J1277" s="35">
        <f>317.1*($T$2)</f>
        <v>634.20000000000005</v>
      </c>
      <c r="K1277" s="35">
        <f t="shared" si="92"/>
        <v>9.2412488174077581</v>
      </c>
      <c r="L1277" s="35">
        <f t="shared" si="93"/>
        <v>9.2393840410639303</v>
      </c>
      <c r="M1277" s="35">
        <f>2.00625*($T$2)</f>
        <v>4.0125000000000002</v>
      </c>
      <c r="N1277" s="35">
        <f>44.2*(5280/3600)</f>
        <v>64.826666666666668</v>
      </c>
      <c r="O1277" s="35">
        <f t="shared" si="91"/>
        <v>0.6326868495742668</v>
      </c>
      <c r="P1277" s="35">
        <f t="shared" si="94"/>
        <v>37.080510879848632</v>
      </c>
      <c r="Q1277" s="35">
        <f>('Batt Capacity and Sys Weight'!$I$3) + (B1277*$T$2)</f>
        <v>33.928474999999999</v>
      </c>
      <c r="R1277" s="35">
        <f>'Batt Capacity and Sys Weight'!$H$3</f>
        <v>97.68</v>
      </c>
    </row>
    <row r="1278" spans="1:18" x14ac:dyDescent="0.3">
      <c r="A1278" s="35" t="s">
        <v>207</v>
      </c>
      <c r="B1278" s="35">
        <v>3.77</v>
      </c>
      <c r="C1278" s="35">
        <v>850</v>
      </c>
      <c r="D1278" s="35" t="s">
        <v>130</v>
      </c>
      <c r="E1278" s="36" t="str" cm="1">
        <f t="array" ref="E1278">GetNumber(D1278,1)</f>
        <v>9</v>
      </c>
      <c r="F1278" s="36" t="str" cm="1">
        <f t="array" ref="F1278">GetNumber(D1278,2)</f>
        <v>5</v>
      </c>
      <c r="G1278" s="35">
        <v>14.8</v>
      </c>
      <c r="H1278" s="35">
        <v>11899</v>
      </c>
      <c r="I1278" s="35">
        <f>19.37*($T$2)</f>
        <v>38.74</v>
      </c>
      <c r="J1278" s="35">
        <f>286.6*($T$2)</f>
        <v>573.20000000000005</v>
      </c>
      <c r="K1278" s="35">
        <f t="shared" si="92"/>
        <v>10.22470341939986</v>
      </c>
      <c r="L1278" s="35">
        <f t="shared" si="93"/>
        <v>10.221992772328344</v>
      </c>
      <c r="M1278" s="35">
        <f>2.925625*($T$2)</f>
        <v>5.8512500000000003</v>
      </c>
      <c r="N1278" s="35">
        <f>56.3*(5280/3600)</f>
        <v>82.573333333333323</v>
      </c>
      <c r="O1278" s="35">
        <f t="shared" si="91"/>
        <v>1.0208042568039077</v>
      </c>
      <c r="P1278" s="35">
        <f t="shared" si="94"/>
        <v>59.827295882763437</v>
      </c>
      <c r="Q1278" s="35">
        <f>('Batt Capacity and Sys Weight'!$I$3) + (B1278*$T$2)</f>
        <v>33.928474999999999</v>
      </c>
      <c r="R1278" s="35">
        <f>'Batt Capacity and Sys Weight'!$H$3</f>
        <v>97.68</v>
      </c>
    </row>
    <row r="1279" spans="1:18" x14ac:dyDescent="0.3">
      <c r="A1279" s="35" t="s">
        <v>207</v>
      </c>
      <c r="B1279" s="35">
        <v>3.77</v>
      </c>
      <c r="C1279" s="35">
        <v>850</v>
      </c>
      <c r="D1279" s="35" t="s">
        <v>145</v>
      </c>
      <c r="E1279" s="36" t="str" cm="1">
        <f t="array" ref="E1279">GetNumber(D1279,1)</f>
        <v>8</v>
      </c>
      <c r="F1279" s="36" t="str" cm="1">
        <f t="array" ref="F1279">GetNumber(D1279,2)</f>
        <v>6</v>
      </c>
      <c r="G1279" s="35">
        <v>14.8</v>
      </c>
      <c r="H1279" s="35">
        <v>11804</v>
      </c>
      <c r="I1279" s="35">
        <f>20.31*($T$2)</f>
        <v>40.619999999999997</v>
      </c>
      <c r="J1279" s="35">
        <f>300.6*($T$2)</f>
        <v>601.20000000000005</v>
      </c>
      <c r="K1279" s="35">
        <f t="shared" si="92"/>
        <v>9.7485029940119752</v>
      </c>
      <c r="L1279" s="35">
        <f t="shared" si="93"/>
        <v>9.748892171344167</v>
      </c>
      <c r="M1279" s="35">
        <f>2.781875*($T$2)</f>
        <v>5.5637499999999998</v>
      </c>
      <c r="N1279" s="35">
        <f>67.1*(5280/3600)</f>
        <v>98.413333333333313</v>
      </c>
      <c r="O1279" s="35">
        <f t="shared" si="91"/>
        <v>0.92544078509647354</v>
      </c>
      <c r="P1279" s="35">
        <f t="shared" si="94"/>
        <v>54.238233532934125</v>
      </c>
      <c r="Q1279" s="35">
        <f>('Batt Capacity and Sys Weight'!$I$3) + (B1279*$T$2)</f>
        <v>33.928474999999999</v>
      </c>
      <c r="R1279" s="35">
        <f>'Batt Capacity and Sys Weight'!$H$3</f>
        <v>97.68</v>
      </c>
    </row>
    <row r="1280" spans="1:18" x14ac:dyDescent="0.3">
      <c r="A1280" s="35" t="s">
        <v>207</v>
      </c>
      <c r="B1280" s="35">
        <v>3.77</v>
      </c>
      <c r="C1280" s="35">
        <v>850</v>
      </c>
      <c r="D1280" s="35" t="s">
        <v>148</v>
      </c>
      <c r="E1280" s="36" t="str" cm="1">
        <f t="array" ref="E1280">GetNumber(D1280,1)</f>
        <v>7</v>
      </c>
      <c r="F1280" s="36" t="str" cm="1">
        <f t="array" ref="F1280">GetNumber(D1280,2)</f>
        <v>5</v>
      </c>
      <c r="G1280" s="35">
        <v>18.5</v>
      </c>
      <c r="H1280" s="35">
        <v>15195</v>
      </c>
      <c r="I1280" s="35">
        <f>17.65*($T$2)</f>
        <v>35.299999999999997</v>
      </c>
      <c r="J1280" s="35">
        <f>326.6*($T$2)</f>
        <v>653.20000000000005</v>
      </c>
      <c r="K1280" s="35">
        <f t="shared" si="92"/>
        <v>8.4966319657072873</v>
      </c>
      <c r="L1280" s="35">
        <f t="shared" si="93"/>
        <v>8.4985835694050991</v>
      </c>
      <c r="M1280" s="35">
        <f>2.316875*($T$2)</f>
        <v>4.63375</v>
      </c>
      <c r="N1280" s="35">
        <f>71.9*(5280/3600)</f>
        <v>105.45333333333333</v>
      </c>
      <c r="O1280" s="35">
        <f t="shared" si="91"/>
        <v>0.70939222290263315</v>
      </c>
      <c r="P1280" s="35">
        <f t="shared" si="94"/>
        <v>39.371268371096143</v>
      </c>
      <c r="Q1280" s="35">
        <f>('Batt Capacity and Sys Weight'!$I$4) + (B1280*$T$2)</f>
        <v>34.704503000000003</v>
      </c>
      <c r="R1280" s="35">
        <f>'Batt Capacity and Sys Weight'!$H$4</f>
        <v>92.5</v>
      </c>
    </row>
    <row r="1281" spans="1:18" x14ac:dyDescent="0.3">
      <c r="A1281" s="35" t="s">
        <v>207</v>
      </c>
      <c r="B1281" s="35">
        <v>3.77</v>
      </c>
      <c r="C1281" s="35">
        <v>850</v>
      </c>
      <c r="D1281" s="35" t="s">
        <v>149</v>
      </c>
      <c r="E1281" s="36" t="str" cm="1">
        <f t="array" ref="E1281">GetNumber(D1281,1)</f>
        <v>7</v>
      </c>
      <c r="F1281" s="36" t="str" cm="1">
        <f t="array" ref="F1281">GetNumber(D1281,2)</f>
        <v>6</v>
      </c>
      <c r="G1281" s="35">
        <v>18.5</v>
      </c>
      <c r="H1281" s="35">
        <v>15110</v>
      </c>
      <c r="I1281" s="35">
        <f>18.39*($T$2)</f>
        <v>36.78</v>
      </c>
      <c r="J1281" s="35">
        <f>340.3*($T$2)</f>
        <v>680.6</v>
      </c>
      <c r="K1281" s="35">
        <f t="shared" si="92"/>
        <v>8.1545694975022052</v>
      </c>
      <c r="L1281" s="35">
        <f t="shared" si="93"/>
        <v>8.1566068515497552</v>
      </c>
      <c r="M1281" s="35">
        <f>2.54875*($T$2)</f>
        <v>5.0975000000000001</v>
      </c>
      <c r="N1281" s="35">
        <f>85.9*(5280/3600)</f>
        <v>125.98666666666666</v>
      </c>
      <c r="O1281" s="35">
        <f t="shared" si="91"/>
        <v>0.74897149573905386</v>
      </c>
      <c r="P1281" s="35">
        <f t="shared" si="94"/>
        <v>41.567918013517492</v>
      </c>
      <c r="Q1281" s="35">
        <f>('Batt Capacity and Sys Weight'!$I$4) + (B1281*$T$2)</f>
        <v>34.704503000000003</v>
      </c>
      <c r="R1281" s="35">
        <f>'Batt Capacity and Sys Weight'!$H$4</f>
        <v>92.5</v>
      </c>
    </row>
    <row r="1282" spans="1:18" x14ac:dyDescent="0.3">
      <c r="A1282" s="35" t="s">
        <v>207</v>
      </c>
      <c r="B1282" s="35">
        <v>3.77</v>
      </c>
      <c r="C1282" s="35">
        <v>850</v>
      </c>
      <c r="D1282" s="35" t="s">
        <v>125</v>
      </c>
      <c r="E1282" s="36" t="str" cm="1">
        <f t="array" ref="E1282">GetNumber(D1282,1)</f>
        <v>7</v>
      </c>
      <c r="F1282" s="36" t="str" cm="1">
        <f t="array" ref="F1282">GetNumber(D1282,2)</f>
        <v>7</v>
      </c>
      <c r="G1282" s="35">
        <v>18.5</v>
      </c>
      <c r="H1282" s="35">
        <v>14652</v>
      </c>
      <c r="I1282" s="35">
        <f>22.41*($T$2)</f>
        <v>44.82</v>
      </c>
      <c r="J1282" s="35">
        <f>414.5*($T$2)</f>
        <v>829</v>
      </c>
      <c r="K1282" s="35">
        <f t="shared" si="92"/>
        <v>6.6948130277442699</v>
      </c>
      <c r="L1282" s="35">
        <f t="shared" si="93"/>
        <v>6.693440428380188</v>
      </c>
      <c r="M1282" s="35">
        <f>2.4425*($T$2)</f>
        <v>4.8849999999999998</v>
      </c>
      <c r="N1282" s="35">
        <f>97.1*(5280/3600)</f>
        <v>142.41333333333333</v>
      </c>
      <c r="O1282" s="35">
        <f t="shared" ref="O1282:O1345" si="95" xml:space="preserve"> (M1282/J1282)*100</f>
        <v>0.5892641737032569</v>
      </c>
      <c r="P1282" s="35">
        <f t="shared" si="94"/>
        <v>32.704161640530756</v>
      </c>
      <c r="Q1282" s="35">
        <f>('Batt Capacity and Sys Weight'!$I$4) + (B1282*$T$2)</f>
        <v>34.704503000000003</v>
      </c>
      <c r="R1282" s="35">
        <f>'Batt Capacity and Sys Weight'!$H$4</f>
        <v>92.5</v>
      </c>
    </row>
    <row r="1283" spans="1:18" x14ac:dyDescent="0.3">
      <c r="A1283" s="35" t="s">
        <v>207</v>
      </c>
      <c r="B1283" s="35">
        <v>3.77</v>
      </c>
      <c r="C1283" s="35">
        <v>850</v>
      </c>
      <c r="D1283" s="35" t="s">
        <v>126</v>
      </c>
      <c r="E1283" s="36" t="str" cm="1">
        <f t="array" ref="E1283">GetNumber(D1283,1)</f>
        <v>8</v>
      </c>
      <c r="F1283" s="36" t="str" cm="1">
        <f t="array" ref="F1283">GetNumber(D1283,2)</f>
        <v>4</v>
      </c>
      <c r="G1283" s="35">
        <v>18.5</v>
      </c>
      <c r="H1283" s="35">
        <v>14832</v>
      </c>
      <c r="I1283" s="35">
        <f>20.84*($T$2)</f>
        <v>41.68</v>
      </c>
      <c r="J1283" s="35">
        <f>385.5*($T$2)</f>
        <v>771</v>
      </c>
      <c r="K1283" s="35">
        <f t="shared" ref="K1283:K1346" si="96" xml:space="preserve"> (R1283/J1283)*60</f>
        <v>7.1984435797665371</v>
      </c>
      <c r="L1283" s="35">
        <f t="shared" ref="L1283:L1346" si="97">( (R1283/G1283)/I1283)*60</f>
        <v>7.1976967370441454</v>
      </c>
      <c r="M1283" s="35">
        <f>3.19*($T$2)</f>
        <v>6.38</v>
      </c>
      <c r="N1283" s="35">
        <f>56.2*(5280/3600)</f>
        <v>82.426666666666662</v>
      </c>
      <c r="O1283" s="35">
        <f t="shared" si="95"/>
        <v>0.8274967574578469</v>
      </c>
      <c r="P1283" s="35">
        <f t="shared" si="94"/>
        <v>45.92607003891051</v>
      </c>
      <c r="Q1283" s="35">
        <f>('Batt Capacity and Sys Weight'!$I$4) + (B1283*$T$2)</f>
        <v>34.704503000000003</v>
      </c>
      <c r="R1283" s="35">
        <f>'Batt Capacity and Sys Weight'!$H$4</f>
        <v>92.5</v>
      </c>
    </row>
    <row r="1284" spans="1:18" x14ac:dyDescent="0.3">
      <c r="A1284" s="35" t="s">
        <v>207</v>
      </c>
      <c r="B1284" s="35">
        <v>3.77</v>
      </c>
      <c r="C1284" s="35">
        <v>850</v>
      </c>
      <c r="D1284" s="35" t="s">
        <v>141</v>
      </c>
      <c r="E1284" s="36" t="str" cm="1">
        <f t="array" ref="E1284">GetNumber(D1284,1)</f>
        <v>7</v>
      </c>
      <c r="F1284" s="36" t="str" cm="1">
        <f t="array" ref="F1284">GetNumber(D1284,2)</f>
        <v>6</v>
      </c>
      <c r="G1284" s="35">
        <v>18.5</v>
      </c>
      <c r="H1284" s="35">
        <v>14859</v>
      </c>
      <c r="I1284" s="35">
        <f>20.54*($T$2)</f>
        <v>41.08</v>
      </c>
      <c r="J1284" s="35">
        <f>380*($T$2)</f>
        <v>760</v>
      </c>
      <c r="K1284" s="35">
        <f t="shared" si="96"/>
        <v>7.302631578947369</v>
      </c>
      <c r="L1284" s="35">
        <f t="shared" si="97"/>
        <v>7.3028237585199607</v>
      </c>
      <c r="M1284" s="35">
        <f>1.96*($T$2)</f>
        <v>3.92</v>
      </c>
      <c r="N1284" s="35">
        <f>84.4*(5280/3600)</f>
        <v>123.78666666666666</v>
      </c>
      <c r="O1284" s="35">
        <f t="shared" si="95"/>
        <v>0.51578947368421058</v>
      </c>
      <c r="P1284" s="35">
        <f t="shared" si="94"/>
        <v>28.626315789473686</v>
      </c>
      <c r="Q1284" s="35">
        <f>('Batt Capacity and Sys Weight'!$I$4) + (B1284*$T$2)</f>
        <v>34.704503000000003</v>
      </c>
      <c r="R1284" s="35">
        <f>'Batt Capacity and Sys Weight'!$H$4</f>
        <v>92.5</v>
      </c>
    </row>
    <row r="1285" spans="1:18" x14ac:dyDescent="0.3">
      <c r="A1285" s="35" t="s">
        <v>207</v>
      </c>
      <c r="B1285" s="35">
        <v>3.77</v>
      </c>
      <c r="C1285" s="35">
        <v>850</v>
      </c>
      <c r="D1285" s="35" t="s">
        <v>143</v>
      </c>
      <c r="E1285" s="36" t="str" cm="1">
        <f t="array" ref="E1285">GetNumber(D1285,1)</f>
        <v>8</v>
      </c>
      <c r="F1285" s="36" t="str" cm="1">
        <f t="array" ref="F1285">GetNumber(D1285,2)</f>
        <v>5</v>
      </c>
      <c r="G1285" s="35">
        <v>18.5</v>
      </c>
      <c r="H1285" s="35">
        <v>14980</v>
      </c>
      <c r="I1285" s="35">
        <f>19.53*($T$2)</f>
        <v>39.06</v>
      </c>
      <c r="J1285" s="35">
        <f>361.4*($T$2)</f>
        <v>722.8</v>
      </c>
      <c r="K1285" s="35">
        <f t="shared" si="96"/>
        <v>7.6784726065301614</v>
      </c>
      <c r="L1285" s="35">
        <f t="shared" si="97"/>
        <v>7.6804915514592933</v>
      </c>
      <c r="M1285" s="35">
        <f>3.03375*($T$2)</f>
        <v>6.0674999999999999</v>
      </c>
      <c r="N1285" s="35">
        <f>70.9*(5280/3600)</f>
        <v>103.98666666666666</v>
      </c>
      <c r="O1285" s="35">
        <f t="shared" si="95"/>
        <v>0.83944382955174324</v>
      </c>
      <c r="P1285" s="35">
        <f t="shared" si="94"/>
        <v>46.589132540121753</v>
      </c>
      <c r="Q1285" s="35">
        <f>('Batt Capacity and Sys Weight'!$I$4) + (B1285*$T$2)</f>
        <v>34.704503000000003</v>
      </c>
      <c r="R1285" s="35">
        <f>'Batt Capacity and Sys Weight'!$H$4</f>
        <v>92.5</v>
      </c>
    </row>
    <row r="1286" spans="1:18" x14ac:dyDescent="0.3">
      <c r="A1286" s="35" t="s">
        <v>209</v>
      </c>
      <c r="B1286" s="35">
        <v>4.76</v>
      </c>
      <c r="C1286" s="35">
        <v>1170</v>
      </c>
      <c r="D1286" s="35" t="s">
        <v>128</v>
      </c>
      <c r="E1286" s="36" t="str" cm="1">
        <f t="array" ref="E1286">GetNumber(D1286,1)</f>
        <v>8</v>
      </c>
      <c r="F1286" s="36" t="str" cm="1">
        <f t="array" ref="F1286">GetNumber(D1286,2)</f>
        <v>8</v>
      </c>
      <c r="G1286" s="35">
        <v>11.1</v>
      </c>
      <c r="H1286" s="35">
        <v>11191</v>
      </c>
      <c r="I1286" s="35">
        <f>31.27*($T$2)</f>
        <v>62.54</v>
      </c>
      <c r="J1286" s="35">
        <f>347.1*($T$2)</f>
        <v>694.2</v>
      </c>
      <c r="K1286" s="35">
        <f t="shared" si="96"/>
        <v>8.6343993085566115</v>
      </c>
      <c r="L1286" s="35">
        <f t="shared" si="97"/>
        <v>8.6344739366805232</v>
      </c>
      <c r="M1286" s="35">
        <f>2.391875*($T$2)</f>
        <v>4.7837500000000004</v>
      </c>
      <c r="N1286" s="35">
        <f>84.8*(5280/3600)</f>
        <v>124.37333333333332</v>
      </c>
      <c r="O1286" s="35">
        <f t="shared" si="95"/>
        <v>0.6891025641025641</v>
      </c>
      <c r="P1286" s="35">
        <f t="shared" si="94"/>
        <v>41.304807692307691</v>
      </c>
      <c r="Q1286" s="35">
        <f>('Batt Capacity and Sys Weight'!$I$2) + (B1286*$T$2)</f>
        <v>40.353000000000002</v>
      </c>
      <c r="R1286" s="35">
        <f>'Batt Capacity and Sys Weight'!$H$2</f>
        <v>99.9</v>
      </c>
    </row>
    <row r="1287" spans="1:18" x14ac:dyDescent="0.3">
      <c r="A1287" s="35" t="s">
        <v>209</v>
      </c>
      <c r="B1287" s="35">
        <v>4.76</v>
      </c>
      <c r="C1287" s="35">
        <v>1170</v>
      </c>
      <c r="D1287" s="35" t="s">
        <v>104</v>
      </c>
      <c r="E1287" s="36" t="str" cm="1">
        <f t="array" ref="E1287">GetNumber(D1287,1)</f>
        <v>9</v>
      </c>
      <c r="F1287" s="36" cm="1">
        <f t="array" ref="F1287">GetNumber(D1287,2)+(GetNumber(D1287,3)/10)</f>
        <v>7.5</v>
      </c>
      <c r="G1287" s="35">
        <v>11.1</v>
      </c>
      <c r="H1287" s="35">
        <v>10188</v>
      </c>
      <c r="I1287" s="35">
        <f>43.43*($T$2)</f>
        <v>86.86</v>
      </c>
      <c r="J1287" s="35">
        <f>482.1*($T$2)</f>
        <v>964.2</v>
      </c>
      <c r="K1287" s="35">
        <f t="shared" si="96"/>
        <v>6.2165525824517731</v>
      </c>
      <c r="L1287" s="35">
        <f t="shared" si="97"/>
        <v>6.2169007598434263</v>
      </c>
      <c r="M1287" s="35">
        <f>3.025*($T$2)</f>
        <v>6.05</v>
      </c>
      <c r="N1287" s="35">
        <f>72.4*(5280/3600)</f>
        <v>106.18666666666667</v>
      </c>
      <c r="O1287" s="35">
        <f t="shared" si="95"/>
        <v>0.62746318191246619</v>
      </c>
      <c r="P1287" s="35">
        <f t="shared" si="94"/>
        <v>37.610143123833225</v>
      </c>
      <c r="Q1287" s="35">
        <f>('Batt Capacity and Sys Weight'!$I$2) + (B1287*$T$2)</f>
        <v>40.353000000000002</v>
      </c>
      <c r="R1287" s="35">
        <f>'Batt Capacity and Sys Weight'!$H$2</f>
        <v>99.9</v>
      </c>
    </row>
    <row r="1288" spans="1:18" x14ac:dyDescent="0.3">
      <c r="A1288" s="35" t="s">
        <v>209</v>
      </c>
      <c r="B1288" s="35">
        <v>4.76</v>
      </c>
      <c r="C1288" s="35">
        <v>1170</v>
      </c>
      <c r="D1288" s="35" t="s">
        <v>210</v>
      </c>
      <c r="E1288" s="36" t="str" cm="1">
        <f t="array" ref="E1288">GetNumber(D1288,1)</f>
        <v>9</v>
      </c>
      <c r="F1288" s="36" t="str" cm="1">
        <f t="array" ref="F1288">GetNumber(D1288,2)</f>
        <v>8</v>
      </c>
      <c r="G1288" s="35">
        <v>11.1</v>
      </c>
      <c r="H1288" s="35">
        <v>10198</v>
      </c>
      <c r="I1288" s="35">
        <f>43.12*($T$2)</f>
        <v>86.24</v>
      </c>
      <c r="J1288" s="35">
        <f>478.6*($T$2)</f>
        <v>957.2</v>
      </c>
      <c r="K1288" s="35">
        <f t="shared" si="96"/>
        <v>6.2620142081069794</v>
      </c>
      <c r="L1288" s="35">
        <f t="shared" si="97"/>
        <v>6.2615955473098328</v>
      </c>
      <c r="M1288" s="35">
        <f>3.968125*($T$2)</f>
        <v>7.9362500000000002</v>
      </c>
      <c r="N1288" s="35">
        <f>77.3*(5280/3600)</f>
        <v>113.37333333333332</v>
      </c>
      <c r="O1288" s="35">
        <f t="shared" si="95"/>
        <v>0.82911094860008361</v>
      </c>
      <c r="P1288" s="35">
        <f t="shared" si="94"/>
        <v>49.696910259089016</v>
      </c>
      <c r="Q1288" s="35">
        <f>('Batt Capacity and Sys Weight'!$I$2) + (B1288*$T$2)</f>
        <v>40.353000000000002</v>
      </c>
      <c r="R1288" s="35">
        <f>'Batt Capacity and Sys Weight'!$H$2</f>
        <v>99.9</v>
      </c>
    </row>
    <row r="1289" spans="1:18" x14ac:dyDescent="0.3">
      <c r="A1289" s="35" t="s">
        <v>209</v>
      </c>
      <c r="B1289" s="35">
        <v>4.76</v>
      </c>
      <c r="C1289" s="35">
        <v>1170</v>
      </c>
      <c r="D1289" s="35" t="s">
        <v>103</v>
      </c>
      <c r="E1289" s="36" t="str" cm="1">
        <f t="array" ref="E1289">GetNumber(D1289,1)</f>
        <v>9</v>
      </c>
      <c r="F1289" s="36" t="str" cm="1">
        <f t="array" ref="F1289">GetNumber(D1289,2)</f>
        <v>9</v>
      </c>
      <c r="G1289" s="35">
        <v>11.1</v>
      </c>
      <c r="H1289" s="35">
        <v>9883</v>
      </c>
      <c r="I1289" s="35">
        <f>46.97*($T$2)</f>
        <v>93.94</v>
      </c>
      <c r="J1289" s="35">
        <f>521.4*($T$2)</f>
        <v>1042.8</v>
      </c>
      <c r="K1289" s="35">
        <f t="shared" si="96"/>
        <v>5.7479861910241663</v>
      </c>
      <c r="L1289" s="35">
        <f t="shared" si="97"/>
        <v>5.7483500106450931</v>
      </c>
      <c r="M1289" s="35">
        <f>2.9125*($T$2)</f>
        <v>5.8250000000000002</v>
      </c>
      <c r="N1289" s="35">
        <f>84.2*(5280/3600)</f>
        <v>123.49333333333333</v>
      </c>
      <c r="O1289" s="35">
        <f t="shared" si="95"/>
        <v>0.5585922516302263</v>
      </c>
      <c r="P1289" s="35">
        <f t="shared" si="94"/>
        <v>33.48201956271577</v>
      </c>
      <c r="Q1289" s="35">
        <f>('Batt Capacity and Sys Weight'!$I$2) + (B1289*$T$2)</f>
        <v>40.353000000000002</v>
      </c>
      <c r="R1289" s="35">
        <f>'Batt Capacity and Sys Weight'!$H$2</f>
        <v>99.9</v>
      </c>
    </row>
    <row r="1290" spans="1:18" x14ac:dyDescent="0.3">
      <c r="A1290" s="35" t="s">
        <v>209</v>
      </c>
      <c r="B1290" s="35">
        <v>4.76</v>
      </c>
      <c r="C1290" s="35">
        <v>1170</v>
      </c>
      <c r="D1290" s="35" t="s">
        <v>99</v>
      </c>
      <c r="E1290" s="36" t="str" cm="1">
        <f t="array" ref="E1290">GetNumber(D1290,1)</f>
        <v>10</v>
      </c>
      <c r="F1290" s="36" t="str" cm="1">
        <f t="array" ref="F1290">GetNumber(D1290,2)</f>
        <v>5</v>
      </c>
      <c r="G1290" s="35">
        <v>11.1</v>
      </c>
      <c r="H1290" s="35">
        <v>10697</v>
      </c>
      <c r="I1290" s="35">
        <f>33.24*($T$2)</f>
        <v>66.48</v>
      </c>
      <c r="J1290" s="35">
        <f>368.9*($T$2)</f>
        <v>737.8</v>
      </c>
      <c r="K1290" s="35">
        <f t="shared" si="96"/>
        <v>8.1241528869612374</v>
      </c>
      <c r="L1290" s="35">
        <f t="shared" si="97"/>
        <v>8.1227436823104675</v>
      </c>
      <c r="M1290" s="35">
        <f>3.626875*($T$2)</f>
        <v>7.2537500000000001</v>
      </c>
      <c r="N1290" s="35">
        <f>50.6*(5280/3600)</f>
        <v>74.213333333333324</v>
      </c>
      <c r="O1290" s="35">
        <f t="shared" si="95"/>
        <v>0.98315939278937392</v>
      </c>
      <c r="P1290" s="35">
        <f t="shared" si="94"/>
        <v>58.93057400379508</v>
      </c>
      <c r="Q1290" s="35">
        <f>('Batt Capacity and Sys Weight'!$I$2) + (B1290*$T$2)</f>
        <v>40.353000000000002</v>
      </c>
      <c r="R1290" s="35">
        <f>'Batt Capacity and Sys Weight'!$H$2</f>
        <v>99.9</v>
      </c>
    </row>
    <row r="1291" spans="1:18" x14ac:dyDescent="0.3">
      <c r="A1291" s="35" t="s">
        <v>209</v>
      </c>
      <c r="B1291" s="35">
        <v>4.76</v>
      </c>
      <c r="C1291" s="35">
        <v>1170</v>
      </c>
      <c r="D1291" s="35" t="s">
        <v>67</v>
      </c>
      <c r="E1291" s="36" t="str" cm="1">
        <f t="array" ref="E1291">GetNumber(D1291,1)</f>
        <v>10</v>
      </c>
      <c r="F1291" s="36" t="str" cm="1">
        <f t="array" ref="F1291">GetNumber(D1291,2)</f>
        <v>6</v>
      </c>
      <c r="G1291" s="35">
        <v>11.1</v>
      </c>
      <c r="H1291" s="35">
        <v>10550</v>
      </c>
      <c r="I1291" s="35">
        <f>38.04*($T$2)</f>
        <v>76.08</v>
      </c>
      <c r="J1291" s="35">
        <f>422.3*($T$2)</f>
        <v>844.6</v>
      </c>
      <c r="K1291" s="35">
        <f t="shared" si="96"/>
        <v>7.0968505801562873</v>
      </c>
      <c r="L1291" s="35">
        <f t="shared" si="97"/>
        <v>7.0977917981072558</v>
      </c>
      <c r="M1291" s="35">
        <f>3.800625*($T$2)</f>
        <v>7.6012500000000003</v>
      </c>
      <c r="N1291" s="35">
        <f>59.9*(5280/3600)</f>
        <v>87.853333333333325</v>
      </c>
      <c r="O1291" s="35">
        <f t="shared" si="95"/>
        <v>0.89998224011366335</v>
      </c>
      <c r="P1291" s="35">
        <f t="shared" si="94"/>
        <v>53.944935472412979</v>
      </c>
      <c r="Q1291" s="35">
        <f>('Batt Capacity and Sys Weight'!$I$2) + (B1291*$T$2)</f>
        <v>40.353000000000002</v>
      </c>
      <c r="R1291" s="35">
        <f>'Batt Capacity and Sys Weight'!$H$2</f>
        <v>99.9</v>
      </c>
    </row>
    <row r="1292" spans="1:18" x14ac:dyDescent="0.3">
      <c r="A1292" s="35" t="s">
        <v>209</v>
      </c>
      <c r="B1292" s="35">
        <v>4.76</v>
      </c>
      <c r="C1292" s="35">
        <v>1170</v>
      </c>
      <c r="D1292" s="35" t="s">
        <v>131</v>
      </c>
      <c r="E1292" s="36" t="str" cm="1">
        <f t="array" ref="E1292">GetNumber(D1292,1)</f>
        <v>10</v>
      </c>
      <c r="F1292" s="36" t="str" cm="1">
        <f t="array" ref="F1292">GetNumber(D1292,2)</f>
        <v>6</v>
      </c>
      <c r="G1292" s="35">
        <v>11.1</v>
      </c>
      <c r="H1292" s="35">
        <v>11195</v>
      </c>
      <c r="I1292" s="35">
        <f>31.22*($T$2)</f>
        <v>62.44</v>
      </c>
      <c r="J1292" s="35">
        <f>346.5*($T$2)</f>
        <v>693</v>
      </c>
      <c r="K1292" s="35">
        <f t="shared" si="96"/>
        <v>8.6493506493506498</v>
      </c>
      <c r="L1292" s="35">
        <f t="shared" si="97"/>
        <v>8.6483023702754647</v>
      </c>
      <c r="M1292" s="35">
        <f>3.430625*($T$2)</f>
        <v>6.8612500000000001</v>
      </c>
      <c r="N1292" s="35">
        <f>63.6*(5280/3600)</f>
        <v>93.28</v>
      </c>
      <c r="O1292" s="35">
        <f t="shared" si="95"/>
        <v>0.99007936507936511</v>
      </c>
      <c r="P1292" s="35">
        <f t="shared" si="94"/>
        <v>59.345357142857146</v>
      </c>
      <c r="Q1292" s="35">
        <f>('Batt Capacity and Sys Weight'!$I$2) + (B1292*$T$2)</f>
        <v>40.353000000000002</v>
      </c>
      <c r="R1292" s="35">
        <f>'Batt Capacity and Sys Weight'!$H$2</f>
        <v>99.9</v>
      </c>
    </row>
    <row r="1293" spans="1:18" x14ac:dyDescent="0.3">
      <c r="A1293" s="35" t="s">
        <v>209</v>
      </c>
      <c r="B1293" s="35">
        <v>4.76</v>
      </c>
      <c r="C1293" s="35">
        <v>1170</v>
      </c>
      <c r="D1293" s="35" t="s">
        <v>68</v>
      </c>
      <c r="E1293" s="36" t="str" cm="1">
        <f t="array" ref="E1293">GetNumber(D1293,1)</f>
        <v>10</v>
      </c>
      <c r="F1293" s="36" t="str" cm="1">
        <f t="array" ref="F1293">GetNumber(D1293,2)</f>
        <v>7</v>
      </c>
      <c r="G1293" s="35">
        <v>11.1</v>
      </c>
      <c r="H1293" s="35">
        <v>10125</v>
      </c>
      <c r="I1293" s="35">
        <f>43.45*($T$2)</f>
        <v>86.9</v>
      </c>
      <c r="J1293" s="35">
        <f>482.3*($T$2)</f>
        <v>964.6</v>
      </c>
      <c r="K1293" s="35">
        <f t="shared" si="96"/>
        <v>6.2139747045407425</v>
      </c>
      <c r="L1293" s="35">
        <f t="shared" si="97"/>
        <v>6.2140391254315297</v>
      </c>
      <c r="M1293" s="35">
        <f>3.825*($T$2)</f>
        <v>7.65</v>
      </c>
      <c r="N1293" s="35">
        <f>67.1*(5280/3600)</f>
        <v>98.413333333333313</v>
      </c>
      <c r="O1293" s="35">
        <f t="shared" si="95"/>
        <v>0.79307484967862329</v>
      </c>
      <c r="P1293" s="35">
        <f t="shared" si="94"/>
        <v>47.53690648973668</v>
      </c>
      <c r="Q1293" s="35">
        <f>('Batt Capacity and Sys Weight'!$I$2) + (B1293*$T$2)</f>
        <v>40.353000000000002</v>
      </c>
      <c r="R1293" s="35">
        <f>'Batt Capacity and Sys Weight'!$H$2</f>
        <v>99.9</v>
      </c>
    </row>
    <row r="1294" spans="1:18" x14ac:dyDescent="0.3">
      <c r="A1294" s="35" t="s">
        <v>209</v>
      </c>
      <c r="B1294" s="35">
        <v>4.76</v>
      </c>
      <c r="C1294" s="35">
        <v>1170</v>
      </c>
      <c r="D1294" s="35" t="s">
        <v>69</v>
      </c>
      <c r="E1294" s="36" t="str" cm="1">
        <f t="array" ref="E1294">GetNumber(D1294,1)</f>
        <v>10</v>
      </c>
      <c r="F1294" s="36" t="str" cm="1">
        <f t="array" ref="F1294">GetNumber(D1294,2)</f>
        <v>8</v>
      </c>
      <c r="G1294" s="35">
        <v>11.1</v>
      </c>
      <c r="H1294" s="35">
        <v>9794</v>
      </c>
      <c r="I1294" s="35">
        <f>47.43*($T$2)</f>
        <v>94.86</v>
      </c>
      <c r="J1294" s="35">
        <f>526.5*($T$2)</f>
        <v>1053</v>
      </c>
      <c r="K1294" s="35">
        <f t="shared" si="96"/>
        <v>5.6923076923076925</v>
      </c>
      <c r="L1294" s="35">
        <f t="shared" si="97"/>
        <v>5.6925996204933584</v>
      </c>
      <c r="M1294" s="35">
        <f>3.7325*($T$2)</f>
        <v>7.4649999999999999</v>
      </c>
      <c r="N1294" s="35">
        <f>74.2*(5280/3600)</f>
        <v>108.82666666666667</v>
      </c>
      <c r="O1294" s="35">
        <f t="shared" si="95"/>
        <v>0.70892687559354228</v>
      </c>
      <c r="P1294" s="35">
        <f t="shared" si="94"/>
        <v>42.493076923076927</v>
      </c>
      <c r="Q1294" s="35">
        <f>('Batt Capacity and Sys Weight'!$I$2) + (B1294*$T$2)</f>
        <v>40.353000000000002</v>
      </c>
      <c r="R1294" s="35">
        <f>'Batt Capacity and Sys Weight'!$H$2</f>
        <v>99.9</v>
      </c>
    </row>
    <row r="1295" spans="1:18" x14ac:dyDescent="0.3">
      <c r="A1295" s="35" t="s">
        <v>209</v>
      </c>
      <c r="B1295" s="35">
        <v>4.76</v>
      </c>
      <c r="C1295" s="35">
        <v>1170</v>
      </c>
      <c r="D1295" s="35" t="s">
        <v>70</v>
      </c>
      <c r="E1295" s="36" t="str" cm="1">
        <f t="array" ref="E1295">GetNumber(D1295,1)</f>
        <v>11</v>
      </c>
      <c r="F1295" s="36" cm="1">
        <f t="array" ref="F1295">GetNumber(D1295,2)+(GetNumber(D1295,3)/10)</f>
        <v>5.5</v>
      </c>
      <c r="G1295" s="35">
        <v>11.1</v>
      </c>
      <c r="H1295" s="35">
        <v>9886</v>
      </c>
      <c r="I1295" s="35">
        <f>46.47*($T$2)</f>
        <v>92.94</v>
      </c>
      <c r="J1295" s="35">
        <f>515.9*($T$2)</f>
        <v>1031.8</v>
      </c>
      <c r="K1295" s="35">
        <f t="shared" si="96"/>
        <v>5.8092653615041687</v>
      </c>
      <c r="L1295" s="35">
        <f t="shared" si="97"/>
        <v>5.8102001291155583</v>
      </c>
      <c r="M1295" s="35">
        <f>4.770625*($T$2)</f>
        <v>9.5412499999999998</v>
      </c>
      <c r="N1295" s="35">
        <f>51.5*(5280/3600)</f>
        <v>75.533333333333331</v>
      </c>
      <c r="O1295" s="35">
        <f t="shared" si="95"/>
        <v>0.92471893777863934</v>
      </c>
      <c r="P1295" s="35">
        <f t="shared" si="94"/>
        <v>55.427653130451645</v>
      </c>
      <c r="Q1295" s="35">
        <f>('Batt Capacity and Sys Weight'!$I$2) + (B1295*$T$2)</f>
        <v>40.353000000000002</v>
      </c>
      <c r="R1295" s="35">
        <f>'Batt Capacity and Sys Weight'!$H$2</f>
        <v>99.9</v>
      </c>
    </row>
    <row r="1296" spans="1:18" x14ac:dyDescent="0.3">
      <c r="A1296" s="35" t="s">
        <v>209</v>
      </c>
      <c r="B1296" s="35">
        <v>4.76</v>
      </c>
      <c r="C1296" s="35">
        <v>1170</v>
      </c>
      <c r="D1296" s="35" t="s">
        <v>133</v>
      </c>
      <c r="E1296" s="36" t="str" cm="1">
        <f t="array" ref="E1296">GetNumber(D1296,1)</f>
        <v>10</v>
      </c>
      <c r="F1296" s="36" t="str" cm="1">
        <f t="array" ref="F1296">GetNumber(D1296,2)</f>
        <v>5</v>
      </c>
      <c r="G1296" s="35">
        <v>11.1</v>
      </c>
      <c r="H1296" s="35">
        <v>11194</v>
      </c>
      <c r="I1296" s="35">
        <f>31.33*($T$2)</f>
        <v>62.66</v>
      </c>
      <c r="J1296" s="35">
        <f>347.8*($T$2)</f>
        <v>695.6</v>
      </c>
      <c r="K1296" s="35">
        <f t="shared" si="96"/>
        <v>8.6170212765957448</v>
      </c>
      <c r="L1296" s="35">
        <f t="shared" si="97"/>
        <v>8.6179380785189927</v>
      </c>
      <c r="M1296" s="35">
        <f>3.3575*($T$2)</f>
        <v>6.7149999999999999</v>
      </c>
      <c r="N1296" s="35">
        <f>53*(5280/3600)</f>
        <v>77.733333333333334</v>
      </c>
      <c r="O1296" s="35">
        <f t="shared" si="95"/>
        <v>0.96535365152386421</v>
      </c>
      <c r="P1296" s="35">
        <f t="shared" si="94"/>
        <v>57.863297872340425</v>
      </c>
      <c r="Q1296" s="35">
        <f>('Batt Capacity and Sys Weight'!$I$2) + (B1296*$T$2)</f>
        <v>40.353000000000002</v>
      </c>
      <c r="R1296" s="35">
        <f>'Batt Capacity and Sys Weight'!$H$2</f>
        <v>99.9</v>
      </c>
    </row>
    <row r="1297" spans="1:18" x14ac:dyDescent="0.3">
      <c r="A1297" s="35" t="s">
        <v>209</v>
      </c>
      <c r="B1297" s="35">
        <v>4.76</v>
      </c>
      <c r="C1297" s="35">
        <v>1170</v>
      </c>
      <c r="D1297" s="35" t="s">
        <v>134</v>
      </c>
      <c r="E1297" s="36" t="str" cm="1">
        <f t="array" ref="E1297">GetNumber(D1297,1)</f>
        <v>10</v>
      </c>
      <c r="F1297" s="36" t="str" cm="1">
        <f t="array" ref="F1297">GetNumber(D1297,2)</f>
        <v>6</v>
      </c>
      <c r="G1297" s="35">
        <v>11.1</v>
      </c>
      <c r="H1297" s="35">
        <v>10447</v>
      </c>
      <c r="I1297" s="35">
        <f>40.49*($T$2)</f>
        <v>80.98</v>
      </c>
      <c r="J1297" s="35">
        <f>449.4*($T$2)</f>
        <v>898.8</v>
      </c>
      <c r="K1297" s="35">
        <f t="shared" si="96"/>
        <v>6.6688918558077441</v>
      </c>
      <c r="L1297" s="35">
        <f t="shared" si="97"/>
        <v>6.6683131637441342</v>
      </c>
      <c r="M1297" s="35">
        <f>3.21*($T$2)</f>
        <v>6.42</v>
      </c>
      <c r="N1297" s="35">
        <f>59.4*(5280/3600)</f>
        <v>87.11999999999999</v>
      </c>
      <c r="O1297" s="35">
        <f t="shared" si="95"/>
        <v>0.7142857142857143</v>
      </c>
      <c r="P1297" s="35">
        <f t="shared" ref="P1297:P1360" si="98">M1297*K1297</f>
        <v>42.814285714285717</v>
      </c>
      <c r="Q1297" s="35">
        <f>('Batt Capacity and Sys Weight'!$I$2) + (B1297*$T$2)</f>
        <v>40.353000000000002</v>
      </c>
      <c r="R1297" s="35">
        <f>'Batt Capacity and Sys Weight'!$H$2</f>
        <v>99.9</v>
      </c>
    </row>
    <row r="1298" spans="1:18" x14ac:dyDescent="0.3">
      <c r="A1298" s="35" t="s">
        <v>209</v>
      </c>
      <c r="B1298" s="35">
        <v>4.76</v>
      </c>
      <c r="C1298" s="35">
        <v>1170</v>
      </c>
      <c r="D1298" s="35" t="s">
        <v>135</v>
      </c>
      <c r="E1298" s="36" t="str" cm="1">
        <f t="array" ref="E1298">GetNumber(D1298,1)</f>
        <v>10</v>
      </c>
      <c r="F1298" s="36" t="str" cm="1">
        <f t="array" ref="F1298">GetNumber(D1298,2)</f>
        <v>7</v>
      </c>
      <c r="G1298" s="35">
        <v>11.1</v>
      </c>
      <c r="H1298" s="35">
        <v>10267</v>
      </c>
      <c r="I1298" s="35">
        <f>43.09*($T$2)</f>
        <v>86.18</v>
      </c>
      <c r="J1298" s="35">
        <f>478.3*($T$2)</f>
        <v>956.6</v>
      </c>
      <c r="K1298" s="35">
        <f t="shared" si="96"/>
        <v>6.265941877482752</v>
      </c>
      <c r="L1298" s="35">
        <f t="shared" si="97"/>
        <v>6.265954977953121</v>
      </c>
      <c r="M1298" s="35">
        <f>3.038125*($T$2)</f>
        <v>6.0762499999999999</v>
      </c>
      <c r="N1298" s="35">
        <f>68.1*(5280/3600)</f>
        <v>99.879999999999981</v>
      </c>
      <c r="O1298" s="35">
        <f t="shared" si="95"/>
        <v>0.6351923478988083</v>
      </c>
      <c r="P1298" s="35">
        <f t="shared" si="98"/>
        <v>38.07342933305457</v>
      </c>
      <c r="Q1298" s="35">
        <f>('Batt Capacity and Sys Weight'!$I$2) + (B1298*$T$2)</f>
        <v>40.353000000000002</v>
      </c>
      <c r="R1298" s="35">
        <f>'Batt Capacity and Sys Weight'!$H$2</f>
        <v>99.9</v>
      </c>
    </row>
    <row r="1299" spans="1:18" x14ac:dyDescent="0.3">
      <c r="A1299" s="35" t="s">
        <v>209</v>
      </c>
      <c r="B1299" s="35">
        <v>4.76</v>
      </c>
      <c r="C1299" s="35">
        <v>1170</v>
      </c>
      <c r="D1299" s="35" t="s">
        <v>136</v>
      </c>
      <c r="E1299" s="36" t="str" cm="1">
        <f t="array" ref="E1299">GetNumber(D1299,1)</f>
        <v>10</v>
      </c>
      <c r="F1299" s="36" t="str" cm="1">
        <f t="array" ref="F1299">GetNumber(D1299,2)</f>
        <v>8</v>
      </c>
      <c r="G1299" s="35">
        <v>11.1</v>
      </c>
      <c r="H1299" s="35">
        <v>9969</v>
      </c>
      <c r="I1299" s="35">
        <f>47.14*($T$2)</f>
        <v>94.28</v>
      </c>
      <c r="J1299" s="35">
        <f>523.3*($T$2)</f>
        <v>1046.5999999999999</v>
      </c>
      <c r="K1299" s="35">
        <f t="shared" si="96"/>
        <v>5.7271163768392901</v>
      </c>
      <c r="L1299" s="35">
        <f t="shared" si="97"/>
        <v>5.7276198557488325</v>
      </c>
      <c r="M1299" s="35">
        <f>3.278125*($T$2)</f>
        <v>6.5562500000000004</v>
      </c>
      <c r="N1299" s="35">
        <f>75.5*(5280/3600)</f>
        <v>110.73333333333332</v>
      </c>
      <c r="O1299" s="35">
        <f t="shared" si="95"/>
        <v>0.62643321230651638</v>
      </c>
      <c r="P1299" s="35">
        <f t="shared" si="98"/>
        <v>37.548406745652599</v>
      </c>
      <c r="Q1299" s="35">
        <f>('Batt Capacity and Sys Weight'!$I$2) + (B1299*$T$2)</f>
        <v>40.353000000000002</v>
      </c>
      <c r="R1299" s="35">
        <f>'Batt Capacity and Sys Weight'!$H$2</f>
        <v>99.9</v>
      </c>
    </row>
    <row r="1300" spans="1:18" x14ac:dyDescent="0.3">
      <c r="A1300" s="35" t="s">
        <v>209</v>
      </c>
      <c r="B1300" s="35">
        <v>4.76</v>
      </c>
      <c r="C1300" s="35">
        <v>1170</v>
      </c>
      <c r="D1300" s="35" t="s">
        <v>137</v>
      </c>
      <c r="E1300" s="36" t="str" cm="1">
        <f t="array" ref="E1300">GetNumber(D1300,1)</f>
        <v>11</v>
      </c>
      <c r="F1300" s="36" t="str" cm="1">
        <f t="array" ref="F1300">GetNumber(D1300,2)</f>
        <v>5</v>
      </c>
      <c r="G1300" s="35">
        <v>11.1</v>
      </c>
      <c r="H1300" s="35">
        <v>10555</v>
      </c>
      <c r="I1300" s="35">
        <f>39.71*($T$2)</f>
        <v>79.42</v>
      </c>
      <c r="J1300" s="35">
        <f>440.8*($T$2)</f>
        <v>881.6</v>
      </c>
      <c r="K1300" s="35">
        <f t="shared" si="96"/>
        <v>6.7990018148820326</v>
      </c>
      <c r="L1300" s="35">
        <f t="shared" si="97"/>
        <v>6.7992948879375463</v>
      </c>
      <c r="M1300" s="35">
        <f>4.120625*($T$2)</f>
        <v>8.2412500000000009</v>
      </c>
      <c r="N1300" s="35">
        <f>50*(5280/3600)</f>
        <v>73.333333333333329</v>
      </c>
      <c r="O1300" s="35">
        <f t="shared" si="95"/>
        <v>0.93480603448275867</v>
      </c>
      <c r="P1300" s="35">
        <f t="shared" si="98"/>
        <v>56.032273706896554</v>
      </c>
      <c r="Q1300" s="35">
        <f>('Batt Capacity and Sys Weight'!$I$2) + (B1300*$T$2)</f>
        <v>40.353000000000002</v>
      </c>
      <c r="R1300" s="35">
        <f>'Batt Capacity and Sys Weight'!$H$2</f>
        <v>99.9</v>
      </c>
    </row>
    <row r="1301" spans="1:18" x14ac:dyDescent="0.3">
      <c r="A1301" s="35" t="s">
        <v>209</v>
      </c>
      <c r="B1301" s="35">
        <v>4.76</v>
      </c>
      <c r="C1301" s="35">
        <v>1170</v>
      </c>
      <c r="D1301" s="35" t="s">
        <v>138</v>
      </c>
      <c r="E1301" s="36" t="str" cm="1">
        <f t="array" ref="E1301">GetNumber(D1301,1)</f>
        <v>11</v>
      </c>
      <c r="F1301" s="36" t="str" cm="1">
        <f t="array" ref="F1301">GetNumber(D1301,2)</f>
        <v>6</v>
      </c>
      <c r="G1301" s="35">
        <v>11.1</v>
      </c>
      <c r="H1301" s="35">
        <v>10154</v>
      </c>
      <c r="I1301" s="35">
        <f>44.99*($T$2)</f>
        <v>89.98</v>
      </c>
      <c r="J1301" s="35">
        <f>499.3*($T$2)</f>
        <v>998.6</v>
      </c>
      <c r="K1301" s="35">
        <f t="shared" si="96"/>
        <v>6.0024033647105952</v>
      </c>
      <c r="L1301" s="35">
        <f t="shared" si="97"/>
        <v>6.0013336296954876</v>
      </c>
      <c r="M1301" s="35">
        <f>4.521875*($T$2)</f>
        <v>9.0437499999999993</v>
      </c>
      <c r="N1301" s="35">
        <f>57.7*(5280/3600)</f>
        <v>84.626666666666665</v>
      </c>
      <c r="O1301" s="35">
        <f t="shared" si="95"/>
        <v>0.90564290006008397</v>
      </c>
      <c r="P1301" s="35">
        <f t="shared" si="98"/>
        <v>54.284235429601438</v>
      </c>
      <c r="Q1301" s="35">
        <f>('Batt Capacity and Sys Weight'!$I$2) + (B1301*$T$2)</f>
        <v>40.353000000000002</v>
      </c>
      <c r="R1301" s="35">
        <f>'Batt Capacity and Sys Weight'!$H$2</f>
        <v>99.9</v>
      </c>
    </row>
    <row r="1302" spans="1:18" x14ac:dyDescent="0.3">
      <c r="A1302" s="35" t="s">
        <v>209</v>
      </c>
      <c r="B1302" s="35">
        <v>4.76</v>
      </c>
      <c r="C1302" s="35">
        <v>1170</v>
      </c>
      <c r="D1302" s="35" t="s">
        <v>139</v>
      </c>
      <c r="E1302" s="36" t="str" cm="1">
        <f t="array" ref="E1302">GetNumber(D1302,1)</f>
        <v>11</v>
      </c>
      <c r="F1302" s="36" t="str" cm="1">
        <f t="array" ref="F1302">GetNumber(D1302,2)</f>
        <v>7</v>
      </c>
      <c r="G1302" s="35">
        <v>11.1</v>
      </c>
      <c r="H1302" s="35">
        <v>10095</v>
      </c>
      <c r="I1302" s="35">
        <f>45.59*($T$2)</f>
        <v>91.18</v>
      </c>
      <c r="J1302" s="35">
        <f>506*($T$2)</f>
        <v>1012</v>
      </c>
      <c r="K1302" s="35">
        <f t="shared" si="96"/>
        <v>5.9229249011857705</v>
      </c>
      <c r="L1302" s="35">
        <f t="shared" si="97"/>
        <v>5.9223513928493086</v>
      </c>
      <c r="M1302" s="35">
        <f>4.473125*($T$2)</f>
        <v>8.9462499999999991</v>
      </c>
      <c r="N1302" s="35">
        <f>66.9*(5280/3600)</f>
        <v>98.12</v>
      </c>
      <c r="O1302" s="35">
        <f t="shared" si="95"/>
        <v>0.88401679841897218</v>
      </c>
      <c r="P1302" s="35">
        <f t="shared" si="98"/>
        <v>52.987966897233193</v>
      </c>
      <c r="Q1302" s="35">
        <f>('Batt Capacity and Sys Weight'!$I$2) + (B1302*$T$2)</f>
        <v>40.353000000000002</v>
      </c>
      <c r="R1302" s="35">
        <f>'Batt Capacity and Sys Weight'!$H$2</f>
        <v>99.9</v>
      </c>
    </row>
    <row r="1303" spans="1:18" x14ac:dyDescent="0.3">
      <c r="A1303" s="35" t="s">
        <v>209</v>
      </c>
      <c r="B1303" s="35">
        <v>4.76</v>
      </c>
      <c r="C1303" s="35">
        <v>1170</v>
      </c>
      <c r="D1303" s="35" t="s">
        <v>131</v>
      </c>
      <c r="E1303" s="36" t="str" cm="1">
        <f t="array" ref="E1303">GetNumber(D1303,1)</f>
        <v>10</v>
      </c>
      <c r="F1303" s="36" t="str" cm="1">
        <f t="array" ref="F1303">GetNumber(D1303,2)</f>
        <v>6</v>
      </c>
      <c r="G1303" s="35">
        <v>11.1</v>
      </c>
      <c r="H1303" s="35">
        <v>10992</v>
      </c>
      <c r="I1303" s="35">
        <f>33.88*($T$2)</f>
        <v>67.760000000000005</v>
      </c>
      <c r="J1303" s="35">
        <f>376.1*($T$2)</f>
        <v>752.2</v>
      </c>
      <c r="K1303" s="35">
        <f t="shared" si="96"/>
        <v>7.9686253655942574</v>
      </c>
      <c r="L1303" s="35">
        <f t="shared" si="97"/>
        <v>7.9693034238488778</v>
      </c>
      <c r="M1303" s="35">
        <f>3.734375*($T$2)</f>
        <v>7.46875</v>
      </c>
      <c r="N1303" s="35">
        <f>62.5*(5280/3600)</f>
        <v>91.666666666666657</v>
      </c>
      <c r="O1303" s="35">
        <f t="shared" si="95"/>
        <v>0.99292076575378874</v>
      </c>
      <c r="P1303" s="35">
        <f t="shared" si="98"/>
        <v>59.515670699282111</v>
      </c>
      <c r="Q1303" s="35">
        <f>('Batt Capacity and Sys Weight'!$I$2) + (B1303*$T$2)</f>
        <v>40.353000000000002</v>
      </c>
      <c r="R1303" s="35">
        <f>'Batt Capacity and Sys Weight'!$H$2</f>
        <v>99.9</v>
      </c>
    </row>
    <row r="1304" spans="1:18" x14ac:dyDescent="0.3">
      <c r="A1304" s="35" t="s">
        <v>209</v>
      </c>
      <c r="B1304" s="35">
        <v>4.76</v>
      </c>
      <c r="C1304" s="35">
        <v>1170</v>
      </c>
      <c r="D1304" s="35" t="s">
        <v>101</v>
      </c>
      <c r="E1304" s="36" t="str" cm="1">
        <f t="array" ref="E1304">GetNumber(D1304,1)</f>
        <v>9</v>
      </c>
      <c r="F1304" s="36" t="str" cm="1">
        <f t="array" ref="F1304">GetNumber(D1304,2)</f>
        <v>7</v>
      </c>
      <c r="G1304" s="35">
        <v>11.1</v>
      </c>
      <c r="H1304" s="35">
        <v>10654</v>
      </c>
      <c r="I1304" s="35">
        <f>38.28*($T$2)</f>
        <v>76.56</v>
      </c>
      <c r="J1304" s="35">
        <f>425*($T$2)</f>
        <v>850</v>
      </c>
      <c r="K1304" s="35">
        <f t="shared" si="96"/>
        <v>7.0517647058823529</v>
      </c>
      <c r="L1304" s="35">
        <f t="shared" si="97"/>
        <v>7.0532915360501569</v>
      </c>
      <c r="M1304" s="35">
        <f>3.756875*($T$2)</f>
        <v>7.5137499999999999</v>
      </c>
      <c r="N1304" s="35">
        <f>70.6*(5280/3600)</f>
        <v>103.54666666666665</v>
      </c>
      <c r="O1304" s="35">
        <f t="shared" si="95"/>
        <v>0.88397058823529406</v>
      </c>
      <c r="P1304" s="35">
        <f t="shared" si="98"/>
        <v>52.98519705882353</v>
      </c>
      <c r="Q1304" s="35">
        <f>('Batt Capacity and Sys Weight'!$I$2) + (B1304*$T$2)</f>
        <v>40.353000000000002</v>
      </c>
      <c r="R1304" s="35">
        <f>'Batt Capacity and Sys Weight'!$H$2</f>
        <v>99.9</v>
      </c>
    </row>
    <row r="1305" spans="1:18" x14ac:dyDescent="0.3">
      <c r="A1305" s="35" t="s">
        <v>209</v>
      </c>
      <c r="B1305" s="35">
        <v>4.76</v>
      </c>
      <c r="C1305" s="35">
        <v>1170</v>
      </c>
      <c r="D1305" s="35" t="s">
        <v>79</v>
      </c>
      <c r="E1305" s="36" t="str" cm="1">
        <f t="array" ref="E1305">GetNumber(D1305,1)</f>
        <v>10</v>
      </c>
      <c r="F1305" s="36" t="str" cm="1">
        <f t="array" ref="F1305">GetNumber(D1305,2)</f>
        <v>5</v>
      </c>
      <c r="G1305" s="35">
        <v>11.1</v>
      </c>
      <c r="H1305" s="35">
        <v>10881</v>
      </c>
      <c r="I1305" s="35">
        <f>35.34*($T$2)</f>
        <v>70.680000000000007</v>
      </c>
      <c r="J1305" s="35">
        <f>392.3*($T$2)</f>
        <v>784.6</v>
      </c>
      <c r="K1305" s="35">
        <f t="shared" si="96"/>
        <v>7.6395615600305895</v>
      </c>
      <c r="L1305" s="35">
        <f t="shared" si="97"/>
        <v>7.6400679117147696</v>
      </c>
      <c r="M1305" s="35">
        <f>3.94625*($T$2)</f>
        <v>7.8925000000000001</v>
      </c>
      <c r="N1305" s="35">
        <f>51.5*(5280/3600)</f>
        <v>75.533333333333331</v>
      </c>
      <c r="O1305" s="35">
        <f t="shared" si="95"/>
        <v>1.0059265867958194</v>
      </c>
      <c r="P1305" s="35">
        <f t="shared" si="98"/>
        <v>60.29523961254143</v>
      </c>
      <c r="Q1305" s="35">
        <f>('Batt Capacity and Sys Weight'!$I$2) + (B1305*$T$2)</f>
        <v>40.353000000000002</v>
      </c>
      <c r="R1305" s="35">
        <f>'Batt Capacity and Sys Weight'!$H$2</f>
        <v>99.9</v>
      </c>
    </row>
    <row r="1306" spans="1:18" x14ac:dyDescent="0.3">
      <c r="A1306" s="35" t="s">
        <v>209</v>
      </c>
      <c r="B1306" s="35">
        <v>4.76</v>
      </c>
      <c r="C1306" s="35">
        <v>1170</v>
      </c>
      <c r="D1306" s="35" t="s">
        <v>80</v>
      </c>
      <c r="E1306" s="36" t="str" cm="1">
        <f t="array" ref="E1306">GetNumber(D1306,1)</f>
        <v>10</v>
      </c>
      <c r="F1306" s="36" t="str" cm="1">
        <f t="array" ref="F1306">GetNumber(D1306,2)</f>
        <v>7</v>
      </c>
      <c r="G1306" s="35">
        <v>11.1</v>
      </c>
      <c r="H1306" s="35">
        <v>9892</v>
      </c>
      <c r="I1306" s="35">
        <f>47.64*($T$2)</f>
        <v>95.28</v>
      </c>
      <c r="J1306" s="35">
        <f>528.8*($T$2)</f>
        <v>1057.5999999999999</v>
      </c>
      <c r="K1306" s="35">
        <f t="shared" si="96"/>
        <v>5.6675491679273833</v>
      </c>
      <c r="L1306" s="35">
        <f t="shared" si="97"/>
        <v>5.6675062972292194</v>
      </c>
      <c r="M1306" s="35">
        <f>4.5725*($T$2)</f>
        <v>9.1449999999999996</v>
      </c>
      <c r="N1306" s="35">
        <f>65.6*(5280/3600)</f>
        <v>96.213333333333324</v>
      </c>
      <c r="O1306" s="35">
        <f t="shared" si="95"/>
        <v>0.8646936459909228</v>
      </c>
      <c r="P1306" s="35">
        <f t="shared" si="98"/>
        <v>51.829737140695919</v>
      </c>
      <c r="Q1306" s="35">
        <f>('Batt Capacity and Sys Weight'!$I$2) + (B1306*$T$2)</f>
        <v>40.353000000000002</v>
      </c>
      <c r="R1306" s="35">
        <f>'Batt Capacity and Sys Weight'!$H$2</f>
        <v>99.9</v>
      </c>
    </row>
    <row r="1307" spans="1:18" x14ac:dyDescent="0.3">
      <c r="A1307" s="35" t="s">
        <v>209</v>
      </c>
      <c r="B1307" s="35">
        <v>4.76</v>
      </c>
      <c r="C1307" s="35">
        <v>1170</v>
      </c>
      <c r="D1307" s="35" t="s">
        <v>125</v>
      </c>
      <c r="E1307" s="36" t="str" cm="1">
        <f t="array" ref="E1307">GetNumber(D1307,1)</f>
        <v>7</v>
      </c>
      <c r="F1307" s="36" t="str" cm="1">
        <f t="array" ref="F1307">GetNumber(D1307,2)</f>
        <v>7</v>
      </c>
      <c r="G1307" s="35">
        <v>14.8</v>
      </c>
      <c r="H1307" s="35">
        <v>15219</v>
      </c>
      <c r="I1307" s="35">
        <f>32.55*($T$2)</f>
        <v>65.099999999999994</v>
      </c>
      <c r="J1307" s="35">
        <f>481.7*($T$2)</f>
        <v>963.4</v>
      </c>
      <c r="K1307" s="35">
        <f t="shared" si="96"/>
        <v>6.0834544322192237</v>
      </c>
      <c r="L1307" s="35">
        <f t="shared" si="97"/>
        <v>6.0829493087557616</v>
      </c>
      <c r="M1307" s="35">
        <f>2.685*($T$2)</f>
        <v>5.37</v>
      </c>
      <c r="N1307" s="35">
        <f>100.9*(5280/3600)</f>
        <v>147.98666666666665</v>
      </c>
      <c r="O1307" s="35">
        <f t="shared" si="95"/>
        <v>0.55740087191197851</v>
      </c>
      <c r="P1307" s="35">
        <f t="shared" si="98"/>
        <v>32.668150301017235</v>
      </c>
      <c r="Q1307" s="35">
        <f>('Batt Capacity and Sys Weight'!$I$3) + (B1307*$T$2)</f>
        <v>35.908474999999996</v>
      </c>
      <c r="R1307" s="35">
        <f>'Batt Capacity and Sys Weight'!$H$3</f>
        <v>97.68</v>
      </c>
    </row>
    <row r="1308" spans="1:18" x14ac:dyDescent="0.3">
      <c r="A1308" s="35" t="s">
        <v>209</v>
      </c>
      <c r="B1308" s="35">
        <v>4.76</v>
      </c>
      <c r="C1308" s="35">
        <v>1170</v>
      </c>
      <c r="D1308" s="35" t="s">
        <v>126</v>
      </c>
      <c r="E1308" s="36" t="str" cm="1">
        <f t="array" ref="E1308">GetNumber(D1308,1)</f>
        <v>8</v>
      </c>
      <c r="F1308" s="36" t="str" cm="1">
        <f t="array" ref="F1308">GetNumber(D1308,2)</f>
        <v>4</v>
      </c>
      <c r="G1308" s="35">
        <v>14.8</v>
      </c>
      <c r="H1308" s="35">
        <v>15400</v>
      </c>
      <c r="I1308" s="35">
        <f>30.44*($T$2)</f>
        <v>60.88</v>
      </c>
      <c r="J1308" s="35">
        <f>450.6*($T$2)</f>
        <v>901.2</v>
      </c>
      <c r="K1308" s="35">
        <f t="shared" si="96"/>
        <v>6.5033288948069243</v>
      </c>
      <c r="L1308" s="35">
        <f t="shared" si="97"/>
        <v>6.5045992115637326</v>
      </c>
      <c r="M1308" s="35">
        <f>3.48125*($T$2)</f>
        <v>6.9625000000000004</v>
      </c>
      <c r="N1308" s="35">
        <f>58.3*(5280/3600)</f>
        <v>85.506666666666661</v>
      </c>
      <c r="O1308" s="35">
        <f t="shared" si="95"/>
        <v>0.77258100310696842</v>
      </c>
      <c r="P1308" s="35">
        <f t="shared" si="98"/>
        <v>45.279427430093214</v>
      </c>
      <c r="Q1308" s="35">
        <f>('Batt Capacity and Sys Weight'!$I$3) + (B1308*$T$2)</f>
        <v>35.908474999999996</v>
      </c>
      <c r="R1308" s="35">
        <f>'Batt Capacity and Sys Weight'!$H$3</f>
        <v>97.68</v>
      </c>
    </row>
    <row r="1309" spans="1:18" x14ac:dyDescent="0.3">
      <c r="A1309" s="35" t="s">
        <v>209</v>
      </c>
      <c r="B1309" s="35">
        <v>4.76</v>
      </c>
      <c r="C1309" s="35">
        <v>1170</v>
      </c>
      <c r="D1309" s="35" t="s">
        <v>127</v>
      </c>
      <c r="E1309" s="36" t="str" cm="1">
        <f t="array" ref="E1309">GetNumber(D1309,1)</f>
        <v>8</v>
      </c>
      <c r="F1309" s="36" t="str" cm="1">
        <f t="array" ref="F1309">GetNumber(D1309,2)</f>
        <v>6</v>
      </c>
      <c r="G1309" s="35">
        <v>14.8</v>
      </c>
      <c r="H1309" s="35">
        <v>14444</v>
      </c>
      <c r="I1309" s="35">
        <f>42.12*($T$2)</f>
        <v>84.24</v>
      </c>
      <c r="J1309" s="35">
        <f>623.3*($T$2)</f>
        <v>1246.5999999999999</v>
      </c>
      <c r="K1309" s="35">
        <f t="shared" si="96"/>
        <v>4.7014278838440564</v>
      </c>
      <c r="L1309" s="35">
        <f t="shared" si="97"/>
        <v>4.700854700854701</v>
      </c>
      <c r="M1309" s="35">
        <f>3.94625*($T$2)</f>
        <v>7.8925000000000001</v>
      </c>
      <c r="N1309" s="35">
        <f>82.1*(5280/3600)</f>
        <v>120.41333333333331</v>
      </c>
      <c r="O1309" s="35">
        <f t="shared" si="95"/>
        <v>0.6331220920904862</v>
      </c>
      <c r="P1309" s="35">
        <f t="shared" si="98"/>
        <v>37.106019573239216</v>
      </c>
      <c r="Q1309" s="35">
        <f>('Batt Capacity and Sys Weight'!$I$3) + (B1309*$T$2)</f>
        <v>35.908474999999996</v>
      </c>
      <c r="R1309" s="35">
        <f>'Batt Capacity and Sys Weight'!$H$3</f>
        <v>97.68</v>
      </c>
    </row>
    <row r="1310" spans="1:18" x14ac:dyDescent="0.3">
      <c r="A1310" s="35" t="s">
        <v>209</v>
      </c>
      <c r="B1310" s="35">
        <v>4.76</v>
      </c>
      <c r="C1310" s="35">
        <v>1170</v>
      </c>
      <c r="D1310" s="35" t="s">
        <v>129</v>
      </c>
      <c r="E1310" s="36" t="str" cm="1">
        <f t="array" ref="E1310">GetNumber(D1310,1)</f>
        <v>9</v>
      </c>
      <c r="F1310" s="36" cm="1">
        <f t="array" ref="F1310">GetNumber(D1310,2)+(GetNumber(D1310,3)/10)</f>
        <v>4.5</v>
      </c>
      <c r="G1310" s="35">
        <v>14.8</v>
      </c>
      <c r="H1310" s="35">
        <v>14425</v>
      </c>
      <c r="I1310" s="35">
        <f>42.3*($T$2)</f>
        <v>84.6</v>
      </c>
      <c r="J1310" s="35">
        <f>626*($T$2)</f>
        <v>1252</v>
      </c>
      <c r="K1310" s="35">
        <f t="shared" si="96"/>
        <v>4.6811501597444094</v>
      </c>
      <c r="L1310" s="35">
        <f t="shared" si="97"/>
        <v>4.6808510638297882</v>
      </c>
      <c r="M1310" s="35">
        <f>5.0025*($T$2)</f>
        <v>10.005000000000001</v>
      </c>
      <c r="N1310" s="35">
        <f>61.5*(5280/3600)</f>
        <v>90.199999999999989</v>
      </c>
      <c r="O1310" s="35">
        <f t="shared" si="95"/>
        <v>0.79912140575079882</v>
      </c>
      <c r="P1310" s="35">
        <f t="shared" si="98"/>
        <v>46.834907348242822</v>
      </c>
      <c r="Q1310" s="35">
        <f>('Batt Capacity and Sys Weight'!$I$3) + (B1310*$T$2)</f>
        <v>35.908474999999996</v>
      </c>
      <c r="R1310" s="35">
        <f>'Batt Capacity and Sys Weight'!$H$3</f>
        <v>97.68</v>
      </c>
    </row>
    <row r="1311" spans="1:18" x14ac:dyDescent="0.3">
      <c r="A1311" s="35" t="s">
        <v>209</v>
      </c>
      <c r="B1311" s="35">
        <v>4.76</v>
      </c>
      <c r="C1311" s="35">
        <v>1170</v>
      </c>
      <c r="D1311" s="35" t="s">
        <v>107</v>
      </c>
      <c r="E1311" s="36" t="str" cm="1">
        <f t="array" ref="E1311">GetNumber(D1311,1)</f>
        <v>9</v>
      </c>
      <c r="F1311" s="36" t="str" cm="1">
        <f t="array" ref="F1311">GetNumber(D1311,2)</f>
        <v>6</v>
      </c>
      <c r="G1311" s="35">
        <v>14.8</v>
      </c>
      <c r="H1311" s="35">
        <v>13891</v>
      </c>
      <c r="I1311" s="35">
        <f>47.91*($T$2)</f>
        <v>95.82</v>
      </c>
      <c r="J1311" s="35">
        <f>709.1*($T$2)</f>
        <v>1418.2</v>
      </c>
      <c r="K1311" s="35">
        <f t="shared" si="96"/>
        <v>4.1325624030461148</v>
      </c>
      <c r="L1311" s="35">
        <f t="shared" si="97"/>
        <v>4.1327489041953669</v>
      </c>
      <c r="M1311" s="35">
        <f>4.63625*($T$2)</f>
        <v>9.2725000000000009</v>
      </c>
      <c r="N1311" s="35">
        <f>78.9*(5280/3600)</f>
        <v>115.72</v>
      </c>
      <c r="O1311" s="35">
        <f t="shared" si="95"/>
        <v>0.65382174587505293</v>
      </c>
      <c r="P1311" s="35">
        <f t="shared" si="98"/>
        <v>38.319184882245104</v>
      </c>
      <c r="Q1311" s="35">
        <f>('Batt Capacity and Sys Weight'!$I$3) + (B1311*$T$2)</f>
        <v>35.908474999999996</v>
      </c>
      <c r="R1311" s="35">
        <f>'Batt Capacity and Sys Weight'!$H$3</f>
        <v>97.68</v>
      </c>
    </row>
    <row r="1312" spans="1:18" x14ac:dyDescent="0.3">
      <c r="A1312" s="35" t="s">
        <v>209</v>
      </c>
      <c r="B1312" s="35">
        <v>4.76</v>
      </c>
      <c r="C1312" s="35">
        <v>1170</v>
      </c>
      <c r="D1312" s="35" t="s">
        <v>130</v>
      </c>
      <c r="E1312" s="36" t="str" cm="1">
        <f t="array" ref="E1312">GetNumber(D1312,1)</f>
        <v>9</v>
      </c>
      <c r="F1312" s="36" t="str" cm="1">
        <f t="array" ref="F1312">GetNumber(D1312,2)</f>
        <v>5</v>
      </c>
      <c r="G1312" s="35">
        <v>14.8</v>
      </c>
      <c r="H1312" s="35">
        <v>14835</v>
      </c>
      <c r="I1312" s="35">
        <f>37.25*($T$2)</f>
        <v>74.5</v>
      </c>
      <c r="J1312" s="35">
        <f>551.4*($T$2)</f>
        <v>1102.8</v>
      </c>
      <c r="K1312" s="35">
        <f t="shared" si="96"/>
        <v>5.3144722524483141</v>
      </c>
      <c r="L1312" s="35">
        <f t="shared" si="97"/>
        <v>5.3154362416107386</v>
      </c>
      <c r="M1312" s="35">
        <f>4.539375*($T$2)</f>
        <v>9.0787499999999994</v>
      </c>
      <c r="N1312" s="35">
        <f>70.2*(5280/3600)</f>
        <v>102.96</v>
      </c>
      <c r="O1312" s="35">
        <f t="shared" si="95"/>
        <v>0.82324537540805232</v>
      </c>
      <c r="P1312" s="35">
        <f t="shared" si="98"/>
        <v>48.248764961915128</v>
      </c>
      <c r="Q1312" s="35">
        <f>('Batt Capacity and Sys Weight'!$I$3) + (B1312*$T$2)</f>
        <v>35.908474999999996</v>
      </c>
      <c r="R1312" s="35">
        <f>'Batt Capacity and Sys Weight'!$H$3</f>
        <v>97.68</v>
      </c>
    </row>
    <row r="1313" spans="1:18" x14ac:dyDescent="0.3">
      <c r="A1313" s="35" t="s">
        <v>209</v>
      </c>
      <c r="B1313" s="35">
        <v>4.76</v>
      </c>
      <c r="C1313" s="35">
        <v>1170</v>
      </c>
      <c r="D1313" s="35" t="s">
        <v>145</v>
      </c>
      <c r="E1313" s="36" t="str" cm="1">
        <f t="array" ref="E1313">GetNumber(D1313,1)</f>
        <v>8</v>
      </c>
      <c r="F1313" s="36" t="str" cm="1">
        <f t="array" ref="F1313">GetNumber(D1313,2)</f>
        <v>6</v>
      </c>
      <c r="G1313" s="35">
        <v>14.8</v>
      </c>
      <c r="H1313" s="35">
        <v>14624</v>
      </c>
      <c r="I1313" s="35">
        <f>39.98*($T$2)</f>
        <v>79.959999999999994</v>
      </c>
      <c r="J1313" s="35">
        <f>591.6*($T$2)</f>
        <v>1183.2</v>
      </c>
      <c r="K1313" s="35">
        <f t="shared" si="96"/>
        <v>4.9533468559837734</v>
      </c>
      <c r="L1313" s="35">
        <f t="shared" si="97"/>
        <v>4.9524762381190603</v>
      </c>
      <c r="M1313" s="35">
        <f>4.424375*($T$2)</f>
        <v>8.8487500000000008</v>
      </c>
      <c r="N1313" s="35">
        <f>83.1*(5280/3600)</f>
        <v>121.87999999999998</v>
      </c>
      <c r="O1313" s="35">
        <f t="shared" si="95"/>
        <v>0.74786595672751865</v>
      </c>
      <c r="P1313" s="35">
        <f t="shared" si="98"/>
        <v>43.830927991886419</v>
      </c>
      <c r="Q1313" s="35">
        <f>('Batt Capacity and Sys Weight'!$I$3) + (B1313*$T$2)</f>
        <v>35.908474999999996</v>
      </c>
      <c r="R1313" s="35">
        <f>'Batt Capacity and Sys Weight'!$H$3</f>
        <v>97.68</v>
      </c>
    </row>
    <row r="1314" spans="1:18" x14ac:dyDescent="0.3">
      <c r="A1314" s="35" t="s">
        <v>209</v>
      </c>
      <c r="B1314" s="35">
        <v>4.76</v>
      </c>
      <c r="C1314" s="35">
        <v>1170</v>
      </c>
      <c r="D1314" s="35" t="s">
        <v>146</v>
      </c>
      <c r="E1314" s="36" t="str" cm="1">
        <f t="array" ref="E1314">GetNumber(D1314,1)</f>
        <v>7</v>
      </c>
      <c r="F1314" s="36" t="str" cm="1">
        <f t="array" ref="F1314">GetNumber(D1314,2)</f>
        <v>4</v>
      </c>
      <c r="G1314" s="35">
        <v>18.5</v>
      </c>
      <c r="H1314" s="35">
        <v>19364</v>
      </c>
      <c r="I1314" s="35">
        <f>32.08*($T$2)</f>
        <v>64.16</v>
      </c>
      <c r="J1314" s="35">
        <f>593.5*($T$2)</f>
        <v>1187</v>
      </c>
      <c r="K1314" s="35">
        <f t="shared" si="96"/>
        <v>4.6756529064869419</v>
      </c>
      <c r="L1314" s="35">
        <f t="shared" si="97"/>
        <v>4.6758104738154618</v>
      </c>
      <c r="M1314" s="35">
        <f>3.780625*($T$2)</f>
        <v>7.5612500000000002</v>
      </c>
      <c r="N1314" s="35">
        <f>73.3*(5280/3600)</f>
        <v>107.50666666666666</v>
      </c>
      <c r="O1314" s="35">
        <f t="shared" si="95"/>
        <v>0.63700505475989888</v>
      </c>
      <c r="P1314" s="35">
        <f t="shared" si="98"/>
        <v>35.353780539174387</v>
      </c>
      <c r="Q1314" s="35">
        <f>('Batt Capacity and Sys Weight'!$I$4) + (B1314*$T$2)</f>
        <v>36.684502999999999</v>
      </c>
      <c r="R1314" s="35">
        <f>'Batt Capacity and Sys Weight'!$H$4</f>
        <v>92.5</v>
      </c>
    </row>
    <row r="1315" spans="1:18" x14ac:dyDescent="0.3">
      <c r="A1315" s="35" t="s">
        <v>209</v>
      </c>
      <c r="B1315" s="35">
        <v>4.76</v>
      </c>
      <c r="C1315" s="35">
        <v>1170</v>
      </c>
      <c r="D1315" s="35" t="s">
        <v>148</v>
      </c>
      <c r="E1315" s="36" t="str" cm="1">
        <f t="array" ref="E1315">GetNumber(D1315,1)</f>
        <v>7</v>
      </c>
      <c r="F1315" s="36" t="str" cm="1">
        <f t="array" ref="F1315">GetNumber(D1315,2)</f>
        <v>5</v>
      </c>
      <c r="G1315" s="35">
        <v>18.5</v>
      </c>
      <c r="H1315" s="35">
        <v>18796</v>
      </c>
      <c r="I1315" s="35">
        <f>38.48*($T$2)</f>
        <v>76.959999999999994</v>
      </c>
      <c r="J1315" s="35">
        <f>711.8*($T$2)</f>
        <v>1423.6</v>
      </c>
      <c r="K1315" s="35">
        <f t="shared" si="96"/>
        <v>3.8985670132059571</v>
      </c>
      <c r="L1315" s="35">
        <f t="shared" si="97"/>
        <v>3.8981288981288982</v>
      </c>
      <c r="M1315" s="35">
        <f>3.681875*($T$2)</f>
        <v>7.3637499999999996</v>
      </c>
      <c r="N1315" s="35">
        <f>89*(5280/3600)</f>
        <v>130.53333333333333</v>
      </c>
      <c r="O1315" s="35">
        <f t="shared" si="95"/>
        <v>0.51726257375667328</v>
      </c>
      <c r="P1315" s="35">
        <f t="shared" si="98"/>
        <v>28.708072843495366</v>
      </c>
      <c r="Q1315" s="35">
        <f>('Batt Capacity and Sys Weight'!$I$4) + (B1315*$T$2)</f>
        <v>36.684502999999999</v>
      </c>
      <c r="R1315" s="35">
        <f>'Batt Capacity and Sys Weight'!$H$4</f>
        <v>92.5</v>
      </c>
    </row>
    <row r="1316" spans="1:18" x14ac:dyDescent="0.3">
      <c r="A1316" s="35" t="s">
        <v>209</v>
      </c>
      <c r="B1316" s="35">
        <v>4.76</v>
      </c>
      <c r="C1316" s="35">
        <v>1170</v>
      </c>
      <c r="D1316" s="35" t="s">
        <v>149</v>
      </c>
      <c r="E1316" s="36" t="str" cm="1">
        <f t="array" ref="E1316">GetNumber(D1316,1)</f>
        <v>7</v>
      </c>
      <c r="F1316" s="36" t="str" cm="1">
        <f t="array" ref="F1316">GetNumber(D1316,2)</f>
        <v>6</v>
      </c>
      <c r="G1316" s="35">
        <v>18.5</v>
      </c>
      <c r="H1316" s="35">
        <v>18684</v>
      </c>
      <c r="I1316" s="35">
        <f>39.68*($T$2)</f>
        <v>79.36</v>
      </c>
      <c r="J1316" s="35">
        <f>734.1*($T$2)</f>
        <v>1468.2</v>
      </c>
      <c r="K1316" s="35">
        <f t="shared" si="96"/>
        <v>3.7801389456477317</v>
      </c>
      <c r="L1316" s="35">
        <f t="shared" si="97"/>
        <v>3.780241935483871</v>
      </c>
      <c r="M1316" s="35">
        <f>3.913125*($T$2)</f>
        <v>7.8262499999999999</v>
      </c>
      <c r="N1316" s="35">
        <f>106.2*(5280/3600)</f>
        <v>155.76</v>
      </c>
      <c r="O1316" s="35">
        <f t="shared" si="95"/>
        <v>0.53305067429505515</v>
      </c>
      <c r="P1316" s="35">
        <f t="shared" si="98"/>
        <v>29.584312423375561</v>
      </c>
      <c r="Q1316" s="35">
        <f>('Batt Capacity and Sys Weight'!$I$4) + (B1316*$T$2)</f>
        <v>36.684502999999999</v>
      </c>
      <c r="R1316" s="35">
        <f>'Batt Capacity and Sys Weight'!$H$4</f>
        <v>92.5</v>
      </c>
    </row>
    <row r="1317" spans="1:18" x14ac:dyDescent="0.3">
      <c r="A1317" s="35" t="s">
        <v>209</v>
      </c>
      <c r="B1317" s="35">
        <v>4.76</v>
      </c>
      <c r="C1317" s="35">
        <v>1170</v>
      </c>
      <c r="D1317" s="35" t="s">
        <v>125</v>
      </c>
      <c r="E1317" s="36" t="str" cm="1">
        <f t="array" ref="E1317">GetNumber(D1317,1)</f>
        <v>7</v>
      </c>
      <c r="F1317" s="36" t="str" cm="1">
        <f t="array" ref="F1317">GetNumber(D1317,2)</f>
        <v>7</v>
      </c>
      <c r="G1317" s="35">
        <v>18.5</v>
      </c>
      <c r="H1317" s="35">
        <v>18009</v>
      </c>
      <c r="I1317" s="35">
        <f>47.39*($T$2)</f>
        <v>94.78</v>
      </c>
      <c r="J1317" s="35">
        <f>876.7*($T$2)</f>
        <v>1753.4</v>
      </c>
      <c r="K1317" s="35">
        <f t="shared" si="96"/>
        <v>3.1652788867343444</v>
      </c>
      <c r="L1317" s="35">
        <f t="shared" si="97"/>
        <v>3.1652247309558978</v>
      </c>
      <c r="M1317" s="35">
        <f>3.7325*($T$2)</f>
        <v>7.4649999999999999</v>
      </c>
      <c r="N1317" s="35">
        <f>119.4*(5280/3600)</f>
        <v>175.12</v>
      </c>
      <c r="O1317" s="35">
        <f t="shared" si="95"/>
        <v>0.42574426827877265</v>
      </c>
      <c r="P1317" s="35">
        <f t="shared" si="98"/>
        <v>23.628806889471882</v>
      </c>
      <c r="Q1317" s="35">
        <f>('Batt Capacity and Sys Weight'!$I$4) + (B1317*$T$2)</f>
        <v>36.684502999999999</v>
      </c>
      <c r="R1317" s="35">
        <f>'Batt Capacity and Sys Weight'!$H$4</f>
        <v>92.5</v>
      </c>
    </row>
    <row r="1318" spans="1:18" x14ac:dyDescent="0.3">
      <c r="A1318" s="35" t="s">
        <v>209</v>
      </c>
      <c r="B1318" s="35">
        <v>4.76</v>
      </c>
      <c r="C1318" s="35">
        <v>1170</v>
      </c>
      <c r="D1318" s="35" t="s">
        <v>126</v>
      </c>
      <c r="E1318" s="36" t="str" cm="1">
        <f t="array" ref="E1318">GetNumber(D1318,1)</f>
        <v>8</v>
      </c>
      <c r="F1318" s="36" t="str" cm="1">
        <f t="array" ref="F1318">GetNumber(D1318,2)</f>
        <v>4</v>
      </c>
      <c r="G1318" s="35">
        <v>18.5</v>
      </c>
      <c r="H1318" s="35">
        <v>18188</v>
      </c>
      <c r="I1318" s="35">
        <f>45.35*($T$2)</f>
        <v>90.7</v>
      </c>
      <c r="J1318" s="35">
        <f>839*($T$2)</f>
        <v>1678</v>
      </c>
      <c r="K1318" s="35">
        <f t="shared" si="96"/>
        <v>3.3075089392133492</v>
      </c>
      <c r="L1318" s="35">
        <f t="shared" si="97"/>
        <v>3.3076074972436604</v>
      </c>
      <c r="M1318" s="35">
        <f>4.84375*($T$2)</f>
        <v>9.6875</v>
      </c>
      <c r="N1318" s="35">
        <f>68.9*(5280/3600)</f>
        <v>101.05333333333333</v>
      </c>
      <c r="O1318" s="35">
        <f t="shared" si="95"/>
        <v>0.57732419547079861</v>
      </c>
      <c r="P1318" s="35">
        <f t="shared" si="98"/>
        <v>32.041492848629318</v>
      </c>
      <c r="Q1318" s="35">
        <f>('Batt Capacity and Sys Weight'!$I$4) + (B1318*$T$2)</f>
        <v>36.684502999999999</v>
      </c>
      <c r="R1318" s="35">
        <f>'Batt Capacity and Sys Weight'!$H$4</f>
        <v>92.5</v>
      </c>
    </row>
    <row r="1319" spans="1:18" x14ac:dyDescent="0.3">
      <c r="A1319" s="35" t="s">
        <v>209</v>
      </c>
      <c r="B1319" s="35">
        <v>4.76</v>
      </c>
      <c r="C1319" s="35">
        <v>1170</v>
      </c>
      <c r="D1319" s="35" t="s">
        <v>152</v>
      </c>
      <c r="E1319" s="36" t="str" cm="1">
        <f t="array" ref="E1319">GetNumber(D1319,1)</f>
        <v>6</v>
      </c>
      <c r="F1319" s="36" t="str" cm="1">
        <f t="array" ref="F1319">GetNumber(D1319,2)</f>
        <v>6</v>
      </c>
      <c r="G1319" s="35">
        <v>22.2</v>
      </c>
      <c r="H1319" s="35">
        <v>23585</v>
      </c>
      <c r="I1319" s="35">
        <f>32.55*($T$2)</f>
        <v>65.099999999999994</v>
      </c>
      <c r="J1319" s="35">
        <f>722.7*($T$2)</f>
        <v>1445.4</v>
      </c>
      <c r="K1319" s="35">
        <f t="shared" si="96"/>
        <v>4.1469489414694891</v>
      </c>
      <c r="L1319" s="35">
        <f t="shared" si="97"/>
        <v>4.1474654377880187</v>
      </c>
      <c r="M1319" s="35">
        <f>2.983125*($T$2)</f>
        <v>5.9662499999999996</v>
      </c>
      <c r="N1319" s="35">
        <f>134*(5280/3600)</f>
        <v>196.53333333333333</v>
      </c>
      <c r="O1319" s="35">
        <f t="shared" si="95"/>
        <v>0.41277501037775011</v>
      </c>
      <c r="P1319" s="35">
        <f t="shared" si="98"/>
        <v>24.741734122042338</v>
      </c>
      <c r="Q1319" s="35">
        <f>('Batt Capacity and Sys Weight'!$I$5) + (B1319*$T$2)</f>
        <v>41.093753</v>
      </c>
      <c r="R1319" s="35">
        <f>'Batt Capacity and Sys Weight'!$H$5</f>
        <v>99.9</v>
      </c>
    </row>
    <row r="1320" spans="1:18" x14ac:dyDescent="0.3">
      <c r="A1320" s="35" t="s">
        <v>209</v>
      </c>
      <c r="B1320" s="35">
        <v>4.76</v>
      </c>
      <c r="C1320" s="35">
        <v>1170</v>
      </c>
      <c r="D1320" s="35" t="s">
        <v>162</v>
      </c>
      <c r="E1320" s="36" cm="1">
        <f t="array" ref="E1320">GetNumber(D1320, 1) + (GetNumber(D1320, 2)/10)</f>
        <v>6.5</v>
      </c>
      <c r="F1320" s="36" cm="1">
        <f t="array" ref="F1320">GetNumber(D1320, 3) + (GetNumber(D1320, 4)/10)</f>
        <v>5</v>
      </c>
      <c r="G1320" s="35">
        <v>22.2</v>
      </c>
      <c r="H1320" s="35">
        <v>23712</v>
      </c>
      <c r="I1320" s="35">
        <f>30.9*($T$2)</f>
        <v>61.8</v>
      </c>
      <c r="J1320" s="35">
        <f>686*($T$2)</f>
        <v>1372</v>
      </c>
      <c r="K1320" s="35">
        <f t="shared" si="96"/>
        <v>4.3688046647230321</v>
      </c>
      <c r="L1320" s="35">
        <f t="shared" si="97"/>
        <v>4.3689320388349522</v>
      </c>
      <c r="M1320" s="35">
        <f>3.17*($T$2)</f>
        <v>6.34</v>
      </c>
      <c r="N1320" s="35">
        <f>112.3*(5280/3600)</f>
        <v>164.70666666666665</v>
      </c>
      <c r="O1320" s="35">
        <f t="shared" si="95"/>
        <v>0.46209912536443143</v>
      </c>
      <c r="P1320" s="35">
        <f t="shared" si="98"/>
        <v>27.698221574344021</v>
      </c>
      <c r="Q1320" s="35">
        <f>('Batt Capacity and Sys Weight'!$I$5) + (B1320*$T$2)</f>
        <v>41.093753</v>
      </c>
      <c r="R1320" s="35">
        <f>'Batt Capacity and Sys Weight'!$H$5</f>
        <v>99.9</v>
      </c>
    </row>
    <row r="1321" spans="1:18" x14ac:dyDescent="0.3">
      <c r="A1321" s="35" t="s">
        <v>209</v>
      </c>
      <c r="B1321" s="35">
        <v>4.76</v>
      </c>
      <c r="C1321" s="35">
        <v>1170</v>
      </c>
      <c r="D1321" s="35" t="s">
        <v>163</v>
      </c>
      <c r="E1321" s="36" cm="1">
        <f t="array" ref="E1321">GetNumber(D1321, 1) + (GetNumber(D1321, 2)/10)</f>
        <v>6.5</v>
      </c>
      <c r="F1321" s="36" cm="1">
        <f t="array" ref="F1321">GetNumber(D1321, 3) + (GetNumber(D1321, 4)/10)</f>
        <v>5.5</v>
      </c>
      <c r="G1321" s="35">
        <v>22.2</v>
      </c>
      <c r="H1321" s="35">
        <v>23560</v>
      </c>
      <c r="I1321" s="35">
        <f>33*($T$2)</f>
        <v>66</v>
      </c>
      <c r="J1321" s="35">
        <f>732.6*($T$2)</f>
        <v>1465.2</v>
      </c>
      <c r="K1321" s="35">
        <f t="shared" si="96"/>
        <v>4.0909090909090908</v>
      </c>
      <c r="L1321" s="35">
        <f t="shared" si="97"/>
        <v>4.0909090909090908</v>
      </c>
      <c r="M1321" s="35">
        <f>3.214375*($T$2)</f>
        <v>6.42875</v>
      </c>
      <c r="N1321" s="35">
        <f>122.7*(5280/3600)</f>
        <v>179.95999999999998</v>
      </c>
      <c r="O1321" s="35">
        <f t="shared" si="95"/>
        <v>0.43876262626262624</v>
      </c>
      <c r="P1321" s="35">
        <f t="shared" si="98"/>
        <v>26.299431818181816</v>
      </c>
      <c r="Q1321" s="35">
        <f>('Batt Capacity and Sys Weight'!$I$5) + (B1321*$T$2)</f>
        <v>41.093753</v>
      </c>
      <c r="R1321" s="35">
        <f>'Batt Capacity and Sys Weight'!$H$5</f>
        <v>99.9</v>
      </c>
    </row>
    <row r="1322" spans="1:18" x14ac:dyDescent="0.3">
      <c r="A1322" s="35" t="s">
        <v>209</v>
      </c>
      <c r="B1322" s="35">
        <v>4.76</v>
      </c>
      <c r="C1322" s="35">
        <v>1170</v>
      </c>
      <c r="D1322" s="35" t="s">
        <v>164</v>
      </c>
      <c r="E1322" s="36" cm="1">
        <f t="array" ref="E1322">GetNumber(D1322, 1) + (GetNumber(D1322, 2)/10)</f>
        <v>6.5</v>
      </c>
      <c r="F1322" s="36" cm="1">
        <f t="array" ref="F1322">GetNumber(D1322, 3) + (GetNumber(D1322, 4)/10)</f>
        <v>6</v>
      </c>
      <c r="G1322" s="35">
        <v>22.2</v>
      </c>
      <c r="H1322" s="35">
        <v>23228</v>
      </c>
      <c r="I1322" s="35">
        <f>36.61*($T$2)</f>
        <v>73.22</v>
      </c>
      <c r="J1322" s="35">
        <f>812.8*($T$2)</f>
        <v>1625.6</v>
      </c>
      <c r="K1322" s="35">
        <f t="shared" si="96"/>
        <v>3.6872539370078745</v>
      </c>
      <c r="L1322" s="35">
        <f t="shared" si="97"/>
        <v>3.6875170718382959</v>
      </c>
      <c r="M1322" s="35">
        <f>3.23*($T$2)</f>
        <v>6.46</v>
      </c>
      <c r="N1322" s="35">
        <f>132*(5280/3600)</f>
        <v>193.6</v>
      </c>
      <c r="O1322" s="35">
        <f t="shared" si="95"/>
        <v>0.39739173228346458</v>
      </c>
      <c r="P1322" s="35">
        <f t="shared" si="98"/>
        <v>23.819660433070869</v>
      </c>
      <c r="Q1322" s="35">
        <f>('Batt Capacity and Sys Weight'!$I$5) + (B1322*$T$2)</f>
        <v>41.093753</v>
      </c>
      <c r="R1322" s="35">
        <f>'Batt Capacity and Sys Weight'!$H$5</f>
        <v>99.9</v>
      </c>
    </row>
    <row r="1323" spans="1:18" x14ac:dyDescent="0.3">
      <c r="A1323" s="35" t="s">
        <v>209</v>
      </c>
      <c r="B1323" s="35">
        <v>4.76</v>
      </c>
      <c r="C1323" s="35">
        <v>1170</v>
      </c>
      <c r="D1323" s="35" t="s">
        <v>165</v>
      </c>
      <c r="E1323" s="36" cm="1">
        <f t="array" ref="E1323">GetNumber(D1323, 1) + (GetNumber(D1323, 2)/10)</f>
        <v>6.5</v>
      </c>
      <c r="F1323" s="36" cm="1">
        <f t="array" ref="F1323">GetNumber(D1323, 3) + (GetNumber(D1323, 4)/10)</f>
        <v>6.5</v>
      </c>
      <c r="G1323" s="35">
        <v>22.2</v>
      </c>
      <c r="H1323" s="35">
        <v>23022</v>
      </c>
      <c r="I1323" s="35">
        <f>38.66*($T$2)</f>
        <v>77.319999999999993</v>
      </c>
      <c r="J1323" s="35">
        <f>858.2*($T$2)</f>
        <v>1716.4</v>
      </c>
      <c r="K1323" s="35">
        <f t="shared" si="96"/>
        <v>3.4921929620135166</v>
      </c>
      <c r="L1323" s="35">
        <f t="shared" si="97"/>
        <v>3.4919813760993277</v>
      </c>
      <c r="M1323" s="35">
        <f>3.10875*($T$2)</f>
        <v>6.2175000000000002</v>
      </c>
      <c r="N1323" s="35">
        <f>141.7*(5280/3600)</f>
        <v>207.82666666666663</v>
      </c>
      <c r="O1323" s="35">
        <f t="shared" si="95"/>
        <v>0.36224073642507576</v>
      </c>
      <c r="P1323" s="35">
        <f t="shared" si="98"/>
        <v>21.712709741319042</v>
      </c>
      <c r="Q1323" s="35">
        <f>('Batt Capacity and Sys Weight'!$I$5) + (B1323*$T$2)</f>
        <v>41.093753</v>
      </c>
      <c r="R1323" s="35">
        <f>'Batt Capacity and Sys Weight'!$H$5</f>
        <v>99.9</v>
      </c>
    </row>
    <row r="1324" spans="1:18" x14ac:dyDescent="0.3">
      <c r="A1324" s="35" t="s">
        <v>209</v>
      </c>
      <c r="B1324" s="35">
        <v>4.76</v>
      </c>
      <c r="C1324" s="35">
        <v>1170</v>
      </c>
      <c r="D1324" s="35" t="s">
        <v>146</v>
      </c>
      <c r="E1324" s="36" t="str" cm="1">
        <f t="array" ref="E1324">GetNumber(D1324,1)</f>
        <v>7</v>
      </c>
      <c r="F1324" s="36" t="str" cm="1">
        <f t="array" ref="F1324">GetNumber(D1324,2)</f>
        <v>4</v>
      </c>
      <c r="G1324" s="35">
        <v>22.2</v>
      </c>
      <c r="H1324" s="35">
        <v>22229</v>
      </c>
      <c r="I1324" s="35">
        <f>46.18*($T$2)</f>
        <v>92.36</v>
      </c>
      <c r="J1324" s="35">
        <f>1025.2*($T$2)</f>
        <v>2050.4</v>
      </c>
      <c r="K1324" s="35">
        <f t="shared" si="96"/>
        <v>2.923332032774093</v>
      </c>
      <c r="L1324" s="35">
        <f t="shared" si="97"/>
        <v>2.9233434387180597</v>
      </c>
      <c r="M1324" s="35">
        <f>5.0025*($T$2)</f>
        <v>10.005000000000001</v>
      </c>
      <c r="N1324" s="35">
        <f>84.2*(5280/3600)</f>
        <v>123.49333333333333</v>
      </c>
      <c r="O1324" s="35">
        <f t="shared" si="95"/>
        <v>0.48795357003511514</v>
      </c>
      <c r="P1324" s="35">
        <f t="shared" si="98"/>
        <v>29.247936987904804</v>
      </c>
      <c r="Q1324" s="35">
        <f>('Batt Capacity and Sys Weight'!$I$5) + (B1324*$T$2)</f>
        <v>41.093753</v>
      </c>
      <c r="R1324" s="35">
        <f>'Batt Capacity and Sys Weight'!$H$5</f>
        <v>99.9</v>
      </c>
    </row>
    <row r="1325" spans="1:18" x14ac:dyDescent="0.3">
      <c r="A1325" s="35" t="s">
        <v>209</v>
      </c>
      <c r="B1325" s="35">
        <v>4.76</v>
      </c>
      <c r="C1325" s="35">
        <v>1170</v>
      </c>
      <c r="D1325" s="35" t="s">
        <v>144</v>
      </c>
      <c r="E1325" s="36" t="str" cm="1">
        <f t="array" ref="E1325">GetNumber(D1325,1)</f>
        <v>7</v>
      </c>
      <c r="F1325" s="36" t="str" cm="1">
        <f t="array" ref="F1325">GetNumber(D1325,2)</f>
        <v>4</v>
      </c>
      <c r="G1325" s="35">
        <v>22.2</v>
      </c>
      <c r="H1325" s="35">
        <v>22850</v>
      </c>
      <c r="I1325" s="35">
        <f>40.49*($T$2)</f>
        <v>80.98</v>
      </c>
      <c r="J1325" s="35">
        <f>898.8*($T$2)</f>
        <v>1797.6</v>
      </c>
      <c r="K1325" s="35">
        <f t="shared" si="96"/>
        <v>3.3344459279038721</v>
      </c>
      <c r="L1325" s="35">
        <f t="shared" si="97"/>
        <v>3.3341565818720671</v>
      </c>
      <c r="M1325" s="35">
        <f>4.631875*($T$2)</f>
        <v>9.2637499999999999</v>
      </c>
      <c r="N1325" s="35">
        <f>86.6*(5280/3600)</f>
        <v>127.01333333333332</v>
      </c>
      <c r="O1325" s="35">
        <f t="shared" si="95"/>
        <v>0.5153398976412995</v>
      </c>
      <c r="P1325" s="35">
        <f t="shared" si="98"/>
        <v>30.889473464619496</v>
      </c>
      <c r="Q1325" s="35">
        <f>('Batt Capacity and Sys Weight'!$I$5) + (B1325*$T$2)</f>
        <v>41.093753</v>
      </c>
      <c r="R1325" s="35">
        <f>'Batt Capacity and Sys Weight'!$H$5</f>
        <v>99.9</v>
      </c>
    </row>
    <row r="1326" spans="1:18" x14ac:dyDescent="0.3">
      <c r="A1326" s="35" t="s">
        <v>212</v>
      </c>
      <c r="B1326" s="35">
        <v>4.83</v>
      </c>
      <c r="C1326" s="35">
        <v>1460</v>
      </c>
      <c r="D1326" s="35" t="s">
        <v>127</v>
      </c>
      <c r="E1326" s="36" t="str" cm="1">
        <f t="array" ref="E1326">GetNumber(D1326,1)</f>
        <v>8</v>
      </c>
      <c r="F1326" s="36" t="str" cm="1">
        <f t="array" ref="F1326">GetNumber(D1326,2)</f>
        <v>6</v>
      </c>
      <c r="G1326" s="35">
        <v>11.1</v>
      </c>
      <c r="H1326" s="35">
        <v>13209</v>
      </c>
      <c r="I1326" s="35">
        <f>41.51*($T$2)</f>
        <v>83.02</v>
      </c>
      <c r="J1326" s="35">
        <f>460.8*($T$2)</f>
        <v>921.6</v>
      </c>
      <c r="K1326" s="35">
        <f t="shared" si="96"/>
        <v>6.50390625</v>
      </c>
      <c r="L1326" s="35">
        <f t="shared" si="97"/>
        <v>6.5044567574078531</v>
      </c>
      <c r="M1326" s="35">
        <f>3.32*($T$2)</f>
        <v>6.64</v>
      </c>
      <c r="N1326" s="35">
        <f>75.1*(5280/3600)</f>
        <v>110.14666666666665</v>
      </c>
      <c r="O1326" s="35">
        <f t="shared" si="95"/>
        <v>0.72048611111111105</v>
      </c>
      <c r="P1326" s="35">
        <f t="shared" si="98"/>
        <v>43.185937500000001</v>
      </c>
      <c r="Q1326" s="35">
        <f>('Batt Capacity and Sys Weight'!$I$2) + (B1326*$T$2)</f>
        <v>40.493000000000002</v>
      </c>
      <c r="R1326" s="35">
        <f>'Batt Capacity and Sys Weight'!$H$2</f>
        <v>99.9</v>
      </c>
    </row>
    <row r="1327" spans="1:18" x14ac:dyDescent="0.3">
      <c r="A1327" s="35" t="s">
        <v>212</v>
      </c>
      <c r="B1327" s="35">
        <v>4.83</v>
      </c>
      <c r="C1327" s="35">
        <v>1460</v>
      </c>
      <c r="D1327" s="35" t="s">
        <v>128</v>
      </c>
      <c r="E1327" s="36" t="str" cm="1">
        <f t="array" ref="E1327">GetNumber(D1327,1)</f>
        <v>8</v>
      </c>
      <c r="F1327" s="36" t="str" cm="1">
        <f t="array" ref="F1327">GetNumber(D1327,2)</f>
        <v>8</v>
      </c>
      <c r="G1327" s="35">
        <v>11.1</v>
      </c>
      <c r="H1327" s="35">
        <v>12639</v>
      </c>
      <c r="I1327" s="35">
        <f>49.64*($T$2)</f>
        <v>99.28</v>
      </c>
      <c r="J1327" s="35">
        <f>550.9*($T$2)</f>
        <v>1101.8</v>
      </c>
      <c r="K1327" s="35">
        <f t="shared" si="96"/>
        <v>5.4401887819931023</v>
      </c>
      <c r="L1327" s="35">
        <f t="shared" si="97"/>
        <v>5.439161966156326</v>
      </c>
      <c r="M1327" s="35">
        <f>3.12375*($T$2)</f>
        <v>6.2474999999999996</v>
      </c>
      <c r="N1327" s="35">
        <f>95.8*(5280/3600)</f>
        <v>140.50666666666666</v>
      </c>
      <c r="O1327" s="35">
        <f t="shared" si="95"/>
        <v>0.56702668360864039</v>
      </c>
      <c r="P1327" s="35">
        <f t="shared" si="98"/>
        <v>33.987579415501905</v>
      </c>
      <c r="Q1327" s="35">
        <f>('Batt Capacity and Sys Weight'!$I$2) + (B1327*$T$2)</f>
        <v>40.493000000000002</v>
      </c>
      <c r="R1327" s="35">
        <f>'Batt Capacity and Sys Weight'!$H$2</f>
        <v>99.9</v>
      </c>
    </row>
    <row r="1328" spans="1:18" x14ac:dyDescent="0.3">
      <c r="A1328" s="35" t="s">
        <v>212</v>
      </c>
      <c r="B1328" s="35">
        <v>4.83</v>
      </c>
      <c r="C1328" s="35">
        <v>1460</v>
      </c>
      <c r="D1328" s="35" t="s">
        <v>129</v>
      </c>
      <c r="E1328" s="36" t="str" cm="1">
        <f t="array" ref="E1328">GetNumber(D1328,1)</f>
        <v>9</v>
      </c>
      <c r="F1328" s="36" cm="1">
        <f t="array" ref="F1328">GetNumber(D1328,2)+(GetNumber(D1328,3)/10)</f>
        <v>4.5</v>
      </c>
      <c r="G1328" s="35">
        <v>11.1</v>
      </c>
      <c r="H1328" s="35">
        <v>13225</v>
      </c>
      <c r="I1328" s="35">
        <f>41.57*($T$2)</f>
        <v>83.14</v>
      </c>
      <c r="J1328" s="35">
        <f>461.4*($T$2)</f>
        <v>922.8</v>
      </c>
      <c r="K1328" s="35">
        <f t="shared" si="96"/>
        <v>6.4954486345903772</v>
      </c>
      <c r="L1328" s="35">
        <f t="shared" si="97"/>
        <v>6.4950685590570121</v>
      </c>
      <c r="M1328" s="35">
        <f>4.126875*($T$2)</f>
        <v>8.2537500000000001</v>
      </c>
      <c r="N1328" s="35">
        <f>56.4*(5280/3600)</f>
        <v>82.72</v>
      </c>
      <c r="O1328" s="35">
        <f t="shared" si="95"/>
        <v>0.89442457737321202</v>
      </c>
      <c r="P1328" s="35">
        <f t="shared" si="98"/>
        <v>53.61180916775033</v>
      </c>
      <c r="Q1328" s="35">
        <f>('Batt Capacity and Sys Weight'!$I$2) + (B1328*$T$2)</f>
        <v>40.493000000000002</v>
      </c>
      <c r="R1328" s="35">
        <f>'Batt Capacity and Sys Weight'!$H$2</f>
        <v>99.9</v>
      </c>
    </row>
    <row r="1329" spans="1:18" x14ac:dyDescent="0.3">
      <c r="A1329" s="35" t="s">
        <v>212</v>
      </c>
      <c r="B1329" s="35">
        <v>4.83</v>
      </c>
      <c r="C1329" s="35">
        <v>1460</v>
      </c>
      <c r="D1329" s="35" t="s">
        <v>107</v>
      </c>
      <c r="E1329" s="36" t="str" cm="1">
        <f t="array" ref="E1329">GetNumber(D1329,1)</f>
        <v>9</v>
      </c>
      <c r="F1329" s="36" t="str" cm="1">
        <f t="array" ref="F1329">GetNumber(D1329,2)</f>
        <v>6</v>
      </c>
      <c r="G1329" s="35">
        <v>11.1</v>
      </c>
      <c r="H1329" s="35">
        <v>12775</v>
      </c>
      <c r="I1329" s="35">
        <f>47.94*($T$2)</f>
        <v>95.88</v>
      </c>
      <c r="J1329" s="35">
        <f>532.1*($T$2)</f>
        <v>1064.2</v>
      </c>
      <c r="K1329" s="35">
        <f t="shared" si="96"/>
        <v>5.6323999248261609</v>
      </c>
      <c r="L1329" s="35">
        <f t="shared" si="97"/>
        <v>5.632040050062578</v>
      </c>
      <c r="M1329" s="35">
        <f>3.976875*($T$2)</f>
        <v>7.9537500000000003</v>
      </c>
      <c r="N1329" s="35">
        <f>72.6*(5280/3600)</f>
        <v>106.47999999999999</v>
      </c>
      <c r="O1329" s="35">
        <f t="shared" si="95"/>
        <v>0.74739240744221014</v>
      </c>
      <c r="P1329" s="35">
        <f t="shared" si="98"/>
        <v>44.798700902086082</v>
      </c>
      <c r="Q1329" s="35">
        <f>('Batt Capacity and Sys Weight'!$I$2) + (B1329*$T$2)</f>
        <v>40.493000000000002</v>
      </c>
      <c r="R1329" s="35">
        <f>'Batt Capacity and Sys Weight'!$H$2</f>
        <v>99.9</v>
      </c>
    </row>
    <row r="1330" spans="1:18" x14ac:dyDescent="0.3">
      <c r="A1330" s="35" t="s">
        <v>212</v>
      </c>
      <c r="B1330" s="35">
        <v>4.83</v>
      </c>
      <c r="C1330" s="35">
        <v>1460</v>
      </c>
      <c r="D1330" s="35" t="s">
        <v>99</v>
      </c>
      <c r="E1330" s="36" t="str" cm="1">
        <f t="array" ref="E1330">GetNumber(D1330,1)</f>
        <v>10</v>
      </c>
      <c r="F1330" s="36" t="str" cm="1">
        <f t="array" ref="F1330">GetNumber(D1330,2)</f>
        <v>5</v>
      </c>
      <c r="G1330" s="35">
        <v>11.1</v>
      </c>
      <c r="H1330" s="35">
        <v>12183</v>
      </c>
      <c r="I1330" s="35">
        <f>55.27*($T$2)</f>
        <v>110.54</v>
      </c>
      <c r="J1330" s="35">
        <f>613.5*($T$2)</f>
        <v>1227</v>
      </c>
      <c r="K1330" s="35">
        <f t="shared" si="96"/>
        <v>4.8850855745721278</v>
      </c>
      <c r="L1330" s="35">
        <f t="shared" si="97"/>
        <v>4.885109462637959</v>
      </c>
      <c r="M1330" s="35">
        <f>4.744375*($T$2)</f>
        <v>9.4887499999999996</v>
      </c>
      <c r="N1330" s="35">
        <f>57.7*(5280/3600)</f>
        <v>84.626666666666665</v>
      </c>
      <c r="O1330" s="35">
        <f t="shared" si="95"/>
        <v>0.77332925835370814</v>
      </c>
      <c r="P1330" s="35">
        <f t="shared" si="98"/>
        <v>46.353355745721274</v>
      </c>
      <c r="Q1330" s="35">
        <f>('Batt Capacity and Sys Weight'!$I$2) + (B1330*$T$2)</f>
        <v>40.493000000000002</v>
      </c>
      <c r="R1330" s="35">
        <f>'Batt Capacity and Sys Weight'!$H$2</f>
        <v>99.9</v>
      </c>
    </row>
    <row r="1331" spans="1:18" x14ac:dyDescent="0.3">
      <c r="A1331" s="35" t="s">
        <v>212</v>
      </c>
      <c r="B1331" s="35">
        <v>4.83</v>
      </c>
      <c r="C1331" s="35">
        <v>1460</v>
      </c>
      <c r="D1331" s="35" t="s">
        <v>133</v>
      </c>
      <c r="E1331" s="36" t="str" cm="1">
        <f t="array" ref="E1331">GetNumber(D1331,1)</f>
        <v>10</v>
      </c>
      <c r="F1331" s="36" t="str" cm="1">
        <f t="array" ref="F1331">GetNumber(D1331,2)</f>
        <v>5</v>
      </c>
      <c r="G1331" s="35">
        <v>11.1</v>
      </c>
      <c r="H1331" s="35">
        <v>12681</v>
      </c>
      <c r="I1331" s="35">
        <f>48.71*($T$2)</f>
        <v>97.42</v>
      </c>
      <c r="J1331" s="35">
        <f>540.7*($T$2)</f>
        <v>1081.4000000000001</v>
      </c>
      <c r="K1331" s="35">
        <f t="shared" si="96"/>
        <v>5.5428148696134638</v>
      </c>
      <c r="L1331" s="35">
        <f t="shared" si="97"/>
        <v>5.5430096489427223</v>
      </c>
      <c r="M1331" s="35">
        <f>4.360625*($T$2)</f>
        <v>8.7212499999999995</v>
      </c>
      <c r="N1331" s="35">
        <f>60*(5280/3600)</f>
        <v>88</v>
      </c>
      <c r="O1331" s="35">
        <f t="shared" si="95"/>
        <v>0.80647771407434798</v>
      </c>
      <c r="P1331" s="35">
        <f t="shared" si="98"/>
        <v>48.340274181616415</v>
      </c>
      <c r="Q1331" s="35">
        <f>('Batt Capacity and Sys Weight'!$I$2) + (B1331*$T$2)</f>
        <v>40.493000000000002</v>
      </c>
      <c r="R1331" s="35">
        <f>'Batt Capacity and Sys Weight'!$H$2</f>
        <v>99.9</v>
      </c>
    </row>
    <row r="1332" spans="1:18" x14ac:dyDescent="0.3">
      <c r="A1332" s="35" t="s">
        <v>212</v>
      </c>
      <c r="B1332" s="35">
        <v>4.83</v>
      </c>
      <c r="C1332" s="35">
        <v>1460</v>
      </c>
      <c r="D1332" s="35" t="s">
        <v>142</v>
      </c>
      <c r="E1332" s="36">
        <v>7.5</v>
      </c>
      <c r="F1332" s="36" t="str" cm="1">
        <f t="array" ref="F1332">GetNumber(D1332,3)</f>
        <v>4</v>
      </c>
      <c r="G1332" s="35">
        <v>11.1</v>
      </c>
      <c r="H1332" s="35">
        <v>13071</v>
      </c>
      <c r="I1332" s="35">
        <f>37.79*($T$2)</f>
        <v>75.58</v>
      </c>
      <c r="J1332" s="35">
        <f>419.4*($T$2)</f>
        <v>838.8</v>
      </c>
      <c r="K1332" s="35">
        <f t="shared" si="96"/>
        <v>7.1459227467811175</v>
      </c>
      <c r="L1332" s="35">
        <f t="shared" si="97"/>
        <v>7.1447472876422333</v>
      </c>
      <c r="M1332" s="35">
        <f>2.824375*($T$2)</f>
        <v>5.6487499999999997</v>
      </c>
      <c r="N1332" s="35">
        <f>49.5*(5280/3600)</f>
        <v>72.599999999999994</v>
      </c>
      <c r="O1332" s="35">
        <f t="shared" si="95"/>
        <v>0.67343228421554602</v>
      </c>
      <c r="P1332" s="35">
        <f t="shared" si="98"/>
        <v>40.365531115879833</v>
      </c>
      <c r="Q1332" s="35">
        <f>('Batt Capacity and Sys Weight'!$I$2) + (B1332*$T$2)</f>
        <v>40.493000000000002</v>
      </c>
      <c r="R1332" s="35">
        <f>'Batt Capacity and Sys Weight'!$H$2</f>
        <v>99.9</v>
      </c>
    </row>
    <row r="1333" spans="1:18" x14ac:dyDescent="0.3">
      <c r="A1333" s="35" t="s">
        <v>212</v>
      </c>
      <c r="B1333" s="35">
        <v>4.83</v>
      </c>
      <c r="C1333" s="35">
        <v>1460</v>
      </c>
      <c r="D1333" s="35" t="s">
        <v>130</v>
      </c>
      <c r="E1333" s="36" t="str" cm="1">
        <f t="array" ref="E1333">GetNumber(D1333,1)</f>
        <v>9</v>
      </c>
      <c r="F1333" s="36" t="str" cm="1">
        <f t="array" ref="F1333">GetNumber(D1333,2)</f>
        <v>5</v>
      </c>
      <c r="G1333" s="35">
        <v>11.1</v>
      </c>
      <c r="H1333" s="35">
        <v>13121</v>
      </c>
      <c r="I1333" s="35">
        <f>36.01*($T$2)</f>
        <v>72.02</v>
      </c>
      <c r="J1333" s="35">
        <f>399.7*($T$2)</f>
        <v>799.4</v>
      </c>
      <c r="K1333" s="35">
        <f t="shared" si="96"/>
        <v>7.4981235926945216</v>
      </c>
      <c r="L1333" s="35">
        <f t="shared" si="97"/>
        <v>7.4979172452096643</v>
      </c>
      <c r="M1333" s="35">
        <f>3.57375*($T$2)</f>
        <v>7.1475</v>
      </c>
      <c r="N1333" s="35">
        <f>62.1*(5280/3600)</f>
        <v>91.08</v>
      </c>
      <c r="O1333" s="35">
        <f t="shared" si="95"/>
        <v>0.89410808106079565</v>
      </c>
      <c r="P1333" s="35">
        <f t="shared" si="98"/>
        <v>53.592838378784094</v>
      </c>
      <c r="Q1333" s="35">
        <f>('Batt Capacity and Sys Weight'!$I$2) + (B1333*$T$2)</f>
        <v>40.493000000000002</v>
      </c>
      <c r="R1333" s="35">
        <f>'Batt Capacity and Sys Weight'!$H$2</f>
        <v>99.9</v>
      </c>
    </row>
    <row r="1334" spans="1:18" x14ac:dyDescent="0.3">
      <c r="A1334" s="35" t="s">
        <v>212</v>
      </c>
      <c r="B1334" s="35">
        <v>4.83</v>
      </c>
      <c r="C1334" s="35">
        <v>1460</v>
      </c>
      <c r="D1334" s="35" t="s">
        <v>131</v>
      </c>
      <c r="E1334" s="36" t="str" cm="1">
        <f t="array" ref="E1334">GetNumber(D1334,1)</f>
        <v>10</v>
      </c>
      <c r="F1334" s="36" t="str" cm="1">
        <f t="array" ref="F1334">GetNumber(D1334,2)</f>
        <v>6</v>
      </c>
      <c r="G1334" s="35">
        <v>11.1</v>
      </c>
      <c r="H1334" s="35">
        <v>12186</v>
      </c>
      <c r="I1334" s="35">
        <f>50.14*($T$2)</f>
        <v>100.28</v>
      </c>
      <c r="J1334" s="35">
        <f>556.6*($T$2)</f>
        <v>1113.2</v>
      </c>
      <c r="K1334" s="35">
        <f t="shared" si="96"/>
        <v>5.3844771828961555</v>
      </c>
      <c r="L1334" s="35">
        <f t="shared" si="97"/>
        <v>5.3849222177901872</v>
      </c>
      <c r="M1334" s="35">
        <f>4.67125*($T$2)</f>
        <v>9.3424999999999994</v>
      </c>
      <c r="N1334" s="35">
        <f>69.2*(5280/3600)</f>
        <v>101.49333333333333</v>
      </c>
      <c r="O1334" s="35">
        <f t="shared" si="95"/>
        <v>0.83924721523535739</v>
      </c>
      <c r="P1334" s="35">
        <f t="shared" si="98"/>
        <v>50.304478081207328</v>
      </c>
      <c r="Q1334" s="35">
        <f>('Batt Capacity and Sys Weight'!$I$2) + (B1334*$T$2)</f>
        <v>40.493000000000002</v>
      </c>
      <c r="R1334" s="35">
        <f>'Batt Capacity and Sys Weight'!$H$2</f>
        <v>99.9</v>
      </c>
    </row>
    <row r="1335" spans="1:18" x14ac:dyDescent="0.3">
      <c r="A1335" s="35" t="s">
        <v>212</v>
      </c>
      <c r="B1335" s="35">
        <v>4.83</v>
      </c>
      <c r="C1335" s="35">
        <v>1460</v>
      </c>
      <c r="D1335" s="35" t="s">
        <v>145</v>
      </c>
      <c r="E1335" s="36" t="str" cm="1">
        <f t="array" ref="E1335">GetNumber(D1335,1)</f>
        <v>8</v>
      </c>
      <c r="F1335" s="36" t="str" cm="1">
        <f t="array" ref="F1335">GetNumber(D1335,2)</f>
        <v>6</v>
      </c>
      <c r="G1335" s="35">
        <v>11.1</v>
      </c>
      <c r="H1335" s="35">
        <v>13015</v>
      </c>
      <c r="I1335" s="35">
        <f>38.85*($T$2)</f>
        <v>77.7</v>
      </c>
      <c r="J1335" s="35">
        <f>431.2*($T$2)</f>
        <v>862.4</v>
      </c>
      <c r="K1335" s="35">
        <f t="shared" si="96"/>
        <v>6.9503710575139159</v>
      </c>
      <c r="L1335" s="35">
        <f t="shared" si="97"/>
        <v>6.9498069498069492</v>
      </c>
      <c r="M1335" s="35">
        <f>3.511875*($T$2)</f>
        <v>7.0237499999999997</v>
      </c>
      <c r="N1335" s="35">
        <f>73.9*(5280/3600)</f>
        <v>108.38666666666667</v>
      </c>
      <c r="O1335" s="35">
        <f t="shared" si="95"/>
        <v>0.81444225417439708</v>
      </c>
      <c r="P1335" s="35">
        <f t="shared" si="98"/>
        <v>48.817668715213365</v>
      </c>
      <c r="Q1335" s="35">
        <f>('Batt Capacity and Sys Weight'!$I$2) + (B1335*$T$2)</f>
        <v>40.493000000000002</v>
      </c>
      <c r="R1335" s="35">
        <f>'Batt Capacity and Sys Weight'!$H$2</f>
        <v>99.9</v>
      </c>
    </row>
    <row r="1336" spans="1:18" x14ac:dyDescent="0.3">
      <c r="A1336" s="35" t="s">
        <v>212</v>
      </c>
      <c r="B1336" s="35">
        <v>4.83</v>
      </c>
      <c r="C1336" s="35">
        <v>1460</v>
      </c>
      <c r="D1336" s="35" t="s">
        <v>79</v>
      </c>
      <c r="E1336" s="36" t="str" cm="1">
        <f t="array" ref="E1336">GetNumber(D1336,1)</f>
        <v>10</v>
      </c>
      <c r="F1336" s="36" t="str" cm="1">
        <f t="array" ref="F1336">GetNumber(D1336,2)</f>
        <v>5</v>
      </c>
      <c r="G1336" s="35">
        <v>11.1</v>
      </c>
      <c r="H1336" s="35">
        <v>12083</v>
      </c>
      <c r="I1336" s="35">
        <f>53.02*($T$2)</f>
        <v>106.04</v>
      </c>
      <c r="J1336" s="35">
        <f>588.5*($T$2)</f>
        <v>1177</v>
      </c>
      <c r="K1336" s="35">
        <f t="shared" si="96"/>
        <v>5.0926083262531865</v>
      </c>
      <c r="L1336" s="35">
        <f t="shared" si="97"/>
        <v>5.0924179554884947</v>
      </c>
      <c r="M1336" s="35">
        <f>5.035*($T$2)</f>
        <v>10.07</v>
      </c>
      <c r="N1336" s="35">
        <f>57.2*(5280/3600)</f>
        <v>83.893333333333331</v>
      </c>
      <c r="O1336" s="35">
        <f t="shared" si="95"/>
        <v>0.85556499575191158</v>
      </c>
      <c r="P1336" s="35">
        <f t="shared" si="98"/>
        <v>51.282565845369589</v>
      </c>
      <c r="Q1336" s="35">
        <f>('Batt Capacity and Sys Weight'!$I$2) + (B1336*$T$2)</f>
        <v>40.493000000000002</v>
      </c>
      <c r="R1336" s="35">
        <f>'Batt Capacity and Sys Weight'!$H$2</f>
        <v>99.9</v>
      </c>
    </row>
    <row r="1337" spans="1:18" x14ac:dyDescent="0.3">
      <c r="A1337" s="35" t="s">
        <v>212</v>
      </c>
      <c r="B1337" s="35">
        <v>4.83</v>
      </c>
      <c r="C1337" s="35">
        <v>1460</v>
      </c>
      <c r="D1337" s="35" t="s">
        <v>148</v>
      </c>
      <c r="E1337" s="36" t="str" cm="1">
        <f t="array" ref="E1337">GetNumber(D1337,1)</f>
        <v>7</v>
      </c>
      <c r="F1337" s="36" t="str" cm="1">
        <f t="array" ref="F1337">GetNumber(D1337,2)</f>
        <v>5</v>
      </c>
      <c r="G1337" s="35">
        <v>14.8</v>
      </c>
      <c r="H1337" s="35">
        <v>17892</v>
      </c>
      <c r="I1337" s="35">
        <f>41.43*($T$2)</f>
        <v>82.86</v>
      </c>
      <c r="J1337" s="35">
        <f>613.1*($T$2)</f>
        <v>1226.2</v>
      </c>
      <c r="K1337" s="35">
        <f t="shared" si="96"/>
        <v>4.7796444299461749</v>
      </c>
      <c r="L1337" s="35">
        <f t="shared" si="97"/>
        <v>4.7791455467052861</v>
      </c>
      <c r="M1337" s="35">
        <f>3.36*($T$2)</f>
        <v>6.72</v>
      </c>
      <c r="N1337" s="35">
        <f>84.7*(5280/3600)</f>
        <v>124.22666666666666</v>
      </c>
      <c r="O1337" s="35">
        <f t="shared" si="95"/>
        <v>0.5480345783722067</v>
      </c>
      <c r="P1337" s="35">
        <f t="shared" si="98"/>
        <v>32.119210569238291</v>
      </c>
      <c r="Q1337" s="35">
        <f>('Batt Capacity and Sys Weight'!$I$3) + (B1337*$T$2)</f>
        <v>36.048474999999996</v>
      </c>
      <c r="R1337" s="35">
        <f>'Batt Capacity and Sys Weight'!$H$3</f>
        <v>97.68</v>
      </c>
    </row>
    <row r="1338" spans="1:18" x14ac:dyDescent="0.3">
      <c r="A1338" s="35" t="s">
        <v>212</v>
      </c>
      <c r="B1338" s="35">
        <v>4.83</v>
      </c>
      <c r="C1338" s="35">
        <v>1460</v>
      </c>
      <c r="D1338" s="35" t="s">
        <v>149</v>
      </c>
      <c r="E1338" s="36" t="str" cm="1">
        <f t="array" ref="E1338">GetNumber(D1338,1)</f>
        <v>7</v>
      </c>
      <c r="F1338" s="36" t="str" cm="1">
        <f t="array" ref="F1338">GetNumber(D1338,2)</f>
        <v>6</v>
      </c>
      <c r="G1338" s="35">
        <v>14.8</v>
      </c>
      <c r="H1338" s="35">
        <v>17805</v>
      </c>
      <c r="I1338" s="35">
        <f>43*($T$2)</f>
        <v>86</v>
      </c>
      <c r="J1338" s="35">
        <f>636.5*($T$2)</f>
        <v>1273</v>
      </c>
      <c r="K1338" s="35">
        <f t="shared" si="96"/>
        <v>4.6039277297721917</v>
      </c>
      <c r="L1338" s="35">
        <f t="shared" si="97"/>
        <v>4.6046511627906979</v>
      </c>
      <c r="M1338" s="35">
        <f>3.558125*($T$2)</f>
        <v>7.11625</v>
      </c>
      <c r="N1338" s="35">
        <f>101.2*(5280/3600)</f>
        <v>148.42666666666665</v>
      </c>
      <c r="O1338" s="35">
        <f t="shared" si="95"/>
        <v>0.55901413982717996</v>
      </c>
      <c r="P1338" s="35">
        <f t="shared" si="98"/>
        <v>32.76270070699136</v>
      </c>
      <c r="Q1338" s="35">
        <f>('Batt Capacity and Sys Weight'!$I$3) + (B1338*$T$2)</f>
        <v>36.048474999999996</v>
      </c>
      <c r="R1338" s="35">
        <f>'Batt Capacity and Sys Weight'!$H$3</f>
        <v>97.68</v>
      </c>
    </row>
    <row r="1339" spans="1:18" x14ac:dyDescent="0.3">
      <c r="A1339" s="35" t="s">
        <v>212</v>
      </c>
      <c r="B1339" s="35">
        <v>4.83</v>
      </c>
      <c r="C1339" s="35">
        <v>1460</v>
      </c>
      <c r="D1339" s="35" t="s">
        <v>125</v>
      </c>
      <c r="E1339" s="36" t="str" cm="1">
        <f t="array" ref="E1339">GetNumber(D1339,1)</f>
        <v>7</v>
      </c>
      <c r="F1339" s="36" t="str" cm="1">
        <f t="array" ref="F1339">GetNumber(D1339,2)</f>
        <v>7</v>
      </c>
      <c r="G1339" s="35">
        <v>14.8</v>
      </c>
      <c r="H1339" s="35">
        <v>17310</v>
      </c>
      <c r="I1339" s="35">
        <f>51.91*($T$2)</f>
        <v>103.82</v>
      </c>
      <c r="J1339" s="35">
        <f>768.2*($T$2)</f>
        <v>1536.4</v>
      </c>
      <c r="K1339" s="35">
        <f t="shared" si="96"/>
        <v>3.8146316063525121</v>
      </c>
      <c r="L1339" s="35">
        <f t="shared" si="97"/>
        <v>3.8142939703332699</v>
      </c>
      <c r="M1339" s="35">
        <f>3.48125*($T$2)</f>
        <v>6.9625000000000004</v>
      </c>
      <c r="N1339" s="35">
        <f>114.7*(5280/3600)</f>
        <v>168.22666666666666</v>
      </c>
      <c r="O1339" s="35">
        <f t="shared" si="95"/>
        <v>0.45316974746159855</v>
      </c>
      <c r="P1339" s="35">
        <f t="shared" si="98"/>
        <v>26.559372559229367</v>
      </c>
      <c r="Q1339" s="35">
        <f>('Batt Capacity and Sys Weight'!$I$3) + (B1339*$T$2)</f>
        <v>36.048474999999996</v>
      </c>
      <c r="R1339" s="35">
        <f>'Batt Capacity and Sys Weight'!$H$3</f>
        <v>97.68</v>
      </c>
    </row>
    <row r="1340" spans="1:18" x14ac:dyDescent="0.3">
      <c r="A1340" s="35" t="s">
        <v>212</v>
      </c>
      <c r="B1340" s="35">
        <v>4.83</v>
      </c>
      <c r="C1340" s="35">
        <v>1460</v>
      </c>
      <c r="D1340" s="35" t="s">
        <v>126</v>
      </c>
      <c r="E1340" s="36" t="str" cm="1">
        <f t="array" ref="E1340">GetNumber(D1340,1)</f>
        <v>8</v>
      </c>
      <c r="F1340" s="36" t="str" cm="1">
        <f t="array" ref="F1340">GetNumber(D1340,2)</f>
        <v>4</v>
      </c>
      <c r="G1340" s="35">
        <v>14.8</v>
      </c>
      <c r="H1340" s="35">
        <v>17435</v>
      </c>
      <c r="I1340" s="35">
        <f>50.07*($T$2)</f>
        <v>100.14</v>
      </c>
      <c r="J1340" s="35">
        <f>741.1*($T$2)</f>
        <v>1482.2</v>
      </c>
      <c r="K1340" s="35">
        <f t="shared" si="96"/>
        <v>3.9541222507084064</v>
      </c>
      <c r="L1340" s="35">
        <f t="shared" si="97"/>
        <v>3.9544637507489515</v>
      </c>
      <c r="M1340" s="35">
        <f>4.596875*($T$2)</f>
        <v>9.1937499999999996</v>
      </c>
      <c r="N1340" s="35">
        <f>66*(5280/3600)</f>
        <v>96.8</v>
      </c>
      <c r="O1340" s="35">
        <f t="shared" si="95"/>
        <v>0.62027729051410063</v>
      </c>
      <c r="P1340" s="35">
        <f t="shared" si="98"/>
        <v>36.353211442450409</v>
      </c>
      <c r="Q1340" s="35">
        <f>('Batt Capacity and Sys Weight'!$I$3) + (B1340*$T$2)</f>
        <v>36.048474999999996</v>
      </c>
      <c r="R1340" s="35">
        <f>'Batt Capacity and Sys Weight'!$H$3</f>
        <v>97.68</v>
      </c>
    </row>
    <row r="1341" spans="1:18" x14ac:dyDescent="0.3">
      <c r="A1341" s="35" t="s">
        <v>212</v>
      </c>
      <c r="B1341" s="35">
        <v>4.83</v>
      </c>
      <c r="C1341" s="35">
        <v>1460</v>
      </c>
      <c r="D1341" s="35" t="s">
        <v>141</v>
      </c>
      <c r="E1341" s="36" t="str" cm="1">
        <f t="array" ref="E1341">GetNumber(D1341,1)</f>
        <v>7</v>
      </c>
      <c r="F1341" s="36" t="str" cm="1">
        <f t="array" ref="F1341">GetNumber(D1341,2)</f>
        <v>6</v>
      </c>
      <c r="G1341" s="35">
        <v>14.8</v>
      </c>
      <c r="H1341" s="35">
        <v>17751</v>
      </c>
      <c r="I1341" s="35">
        <f>42.36*($T$2)</f>
        <v>84.72</v>
      </c>
      <c r="J1341" s="35">
        <f>626.9*($T$2)</f>
        <v>1253.8</v>
      </c>
      <c r="K1341" s="35">
        <f t="shared" si="96"/>
        <v>4.6744297336098271</v>
      </c>
      <c r="L1341" s="35">
        <f t="shared" si="97"/>
        <v>4.6742209631728047</v>
      </c>
      <c r="M1341" s="35">
        <f>2.839375*($T$2)</f>
        <v>5.67875</v>
      </c>
      <c r="N1341" s="35">
        <f>100.9*(5280/3600)</f>
        <v>147.98666666666665</v>
      </c>
      <c r="O1341" s="35">
        <f t="shared" si="95"/>
        <v>0.45292311373424793</v>
      </c>
      <c r="P1341" s="35">
        <f t="shared" si="98"/>
        <v>26.544917849736805</v>
      </c>
      <c r="Q1341" s="35">
        <f>('Batt Capacity and Sys Weight'!$I$3) + (B1341*$T$2)</f>
        <v>36.048474999999996</v>
      </c>
      <c r="R1341" s="35">
        <f>'Batt Capacity and Sys Weight'!$H$3</f>
        <v>97.68</v>
      </c>
    </row>
    <row r="1342" spans="1:18" x14ac:dyDescent="0.3">
      <c r="A1342" s="35" t="s">
        <v>212</v>
      </c>
      <c r="B1342" s="35">
        <v>4.83</v>
      </c>
      <c r="C1342" s="35">
        <v>1460</v>
      </c>
      <c r="D1342" s="35" t="s">
        <v>143</v>
      </c>
      <c r="E1342" s="36" t="str" cm="1">
        <f t="array" ref="E1342">GetNumber(D1342,1)</f>
        <v>8</v>
      </c>
      <c r="F1342" s="36" t="str" cm="1">
        <f t="array" ref="F1342">GetNumber(D1342,2)</f>
        <v>5</v>
      </c>
      <c r="G1342" s="35">
        <v>14.8</v>
      </c>
      <c r="H1342" s="35">
        <v>17791</v>
      </c>
      <c r="I1342" s="35">
        <f>40.59*($T$2)</f>
        <v>81.180000000000007</v>
      </c>
      <c r="J1342" s="35">
        <f>600.8*($T$2)</f>
        <v>1201.5999999999999</v>
      </c>
      <c r="K1342" s="35">
        <f t="shared" si="96"/>
        <v>4.8774966711051935</v>
      </c>
      <c r="L1342" s="35">
        <f t="shared" si="97"/>
        <v>4.8780487804878048</v>
      </c>
      <c r="M1342" s="35">
        <f>4.18*($T$2)</f>
        <v>8.36</v>
      </c>
      <c r="N1342" s="35">
        <f>84.2*(5280/3600)</f>
        <v>123.49333333333333</v>
      </c>
      <c r="O1342" s="35">
        <f t="shared" si="95"/>
        <v>0.69573901464713717</v>
      </c>
      <c r="P1342" s="35">
        <f t="shared" si="98"/>
        <v>40.775872170439413</v>
      </c>
      <c r="Q1342" s="35">
        <f>('Batt Capacity and Sys Weight'!$I$3) + (B1342*$T$2)</f>
        <v>36.048474999999996</v>
      </c>
      <c r="R1342" s="35">
        <f>'Batt Capacity and Sys Weight'!$H$3</f>
        <v>97.68</v>
      </c>
    </row>
    <row r="1343" spans="1:18" x14ac:dyDescent="0.3">
      <c r="A1343" s="35" t="s">
        <v>212</v>
      </c>
      <c r="B1343" s="35">
        <v>4.83</v>
      </c>
      <c r="C1343" s="35">
        <v>1460</v>
      </c>
      <c r="D1343" s="35" t="s">
        <v>162</v>
      </c>
      <c r="E1343" s="36" cm="1">
        <f t="array" ref="E1343">GetNumber(D1343, 1) + (GetNumber(D1343, 2)/10)</f>
        <v>6.5</v>
      </c>
      <c r="F1343" s="36" cm="1">
        <f t="array" ref="F1343">GetNumber(D1343, 3) + (GetNumber(D1343, 4)/10)</f>
        <v>5</v>
      </c>
      <c r="G1343" s="35">
        <v>18.5</v>
      </c>
      <c r="H1343" s="35">
        <v>23449</v>
      </c>
      <c r="I1343" s="35">
        <f>36.62*($T$2)</f>
        <v>73.239999999999995</v>
      </c>
      <c r="J1343" s="35">
        <f>677.4*($T$2)</f>
        <v>1354.8</v>
      </c>
      <c r="K1343" s="35">
        <f t="shared" si="96"/>
        <v>4.096545615589017</v>
      </c>
      <c r="L1343" s="35">
        <f t="shared" si="97"/>
        <v>4.0961223375204812</v>
      </c>
      <c r="M1343" s="35">
        <f>3.1175*($T$2)</f>
        <v>6.2350000000000003</v>
      </c>
      <c r="N1343" s="35">
        <f>111*(5280/3600)</f>
        <v>162.79999999999998</v>
      </c>
      <c r="O1343" s="35">
        <f t="shared" si="95"/>
        <v>0.46021552996752291</v>
      </c>
      <c r="P1343" s="35">
        <f t="shared" si="98"/>
        <v>25.541961913197522</v>
      </c>
      <c r="Q1343" s="35">
        <f>('Batt Capacity and Sys Weight'!$I$4) + (B1343*$T$2)</f>
        <v>36.824503</v>
      </c>
      <c r="R1343" s="35">
        <f>'Batt Capacity and Sys Weight'!$H$4</f>
        <v>92.5</v>
      </c>
    </row>
    <row r="1344" spans="1:18" x14ac:dyDescent="0.3">
      <c r="A1344" s="35" t="s">
        <v>212</v>
      </c>
      <c r="B1344" s="35">
        <v>4.83</v>
      </c>
      <c r="C1344" s="35">
        <v>1460</v>
      </c>
      <c r="D1344" s="35" t="s">
        <v>163</v>
      </c>
      <c r="E1344" s="36" cm="1">
        <f t="array" ref="E1344">GetNumber(D1344, 1) + (GetNumber(D1344, 2)/10)</f>
        <v>6.5</v>
      </c>
      <c r="F1344" s="36" cm="1">
        <f t="array" ref="F1344">GetNumber(D1344, 3) + (GetNumber(D1344, 4)/10)</f>
        <v>5.5</v>
      </c>
      <c r="G1344" s="35">
        <v>18.5</v>
      </c>
      <c r="H1344" s="35">
        <v>23210</v>
      </c>
      <c r="I1344" s="35">
        <f>38.77*($T$2)</f>
        <v>77.540000000000006</v>
      </c>
      <c r="J1344" s="35">
        <f>717.3*($T$2)</f>
        <v>1434.6</v>
      </c>
      <c r="K1344" s="35">
        <f t="shared" si="96"/>
        <v>3.8686741948975327</v>
      </c>
      <c r="L1344" s="35">
        <f t="shared" si="97"/>
        <v>3.8689708537529013</v>
      </c>
      <c r="M1344" s="35">
        <f>3.159375*($T$2)</f>
        <v>6.3187499999999996</v>
      </c>
      <c r="N1344" s="35">
        <f>120.9*(5280/3600)</f>
        <v>177.32</v>
      </c>
      <c r="O1344" s="35">
        <f t="shared" si="95"/>
        <v>0.4404537850271853</v>
      </c>
      <c r="P1344" s="35">
        <f t="shared" si="98"/>
        <v>24.445185069008783</v>
      </c>
      <c r="Q1344" s="35">
        <f>('Batt Capacity and Sys Weight'!$I$4) + (B1344*$T$2)</f>
        <v>36.824503</v>
      </c>
      <c r="R1344" s="35">
        <f>'Batt Capacity and Sys Weight'!$H$4</f>
        <v>92.5</v>
      </c>
    </row>
    <row r="1345" spans="1:18" x14ac:dyDescent="0.3">
      <c r="A1345" s="35" t="s">
        <v>212</v>
      </c>
      <c r="B1345" s="35">
        <v>4.83</v>
      </c>
      <c r="C1345" s="35">
        <v>1460</v>
      </c>
      <c r="D1345" s="35" t="s">
        <v>164</v>
      </c>
      <c r="E1345" s="36" cm="1">
        <f t="array" ref="E1345">GetNumber(D1345, 1) + (GetNumber(D1345, 2)/10)</f>
        <v>6.5</v>
      </c>
      <c r="F1345" s="36" cm="1">
        <f t="array" ref="F1345">GetNumber(D1345, 3) + (GetNumber(D1345, 4)/10)</f>
        <v>6</v>
      </c>
      <c r="G1345" s="35">
        <v>18.5</v>
      </c>
      <c r="H1345" s="35">
        <v>23006</v>
      </c>
      <c r="I1345" s="35">
        <f>43.28*($T$2)</f>
        <v>86.56</v>
      </c>
      <c r="J1345" s="35">
        <f>800.7*($T$2)</f>
        <v>1601.4</v>
      </c>
      <c r="K1345" s="35">
        <f t="shared" si="96"/>
        <v>3.4657174971899587</v>
      </c>
      <c r="L1345" s="35">
        <f t="shared" si="97"/>
        <v>3.4658040665434378</v>
      </c>
      <c r="M1345" s="35">
        <f>3.1925*($T$2)</f>
        <v>6.3849999999999998</v>
      </c>
      <c r="N1345" s="35">
        <f>130.7*(5280/3600)</f>
        <v>191.6933333333333</v>
      </c>
      <c r="O1345" s="35">
        <f t="shared" si="95"/>
        <v>0.39871362557761958</v>
      </c>
      <c r="P1345" s="35">
        <f t="shared" si="98"/>
        <v>22.128606219557884</v>
      </c>
      <c r="Q1345" s="35">
        <f>('Batt Capacity and Sys Weight'!$I$4) + (B1345*$T$2)</f>
        <v>36.824503</v>
      </c>
      <c r="R1345" s="35">
        <f>'Batt Capacity and Sys Weight'!$H$4</f>
        <v>92.5</v>
      </c>
    </row>
    <row r="1346" spans="1:18" x14ac:dyDescent="0.3">
      <c r="A1346" s="35" t="s">
        <v>212</v>
      </c>
      <c r="B1346" s="35">
        <v>4.83</v>
      </c>
      <c r="C1346" s="35">
        <v>1460</v>
      </c>
      <c r="D1346" s="35" t="s">
        <v>165</v>
      </c>
      <c r="E1346" s="36" cm="1">
        <f t="array" ref="E1346">GetNumber(D1346, 1) + (GetNumber(D1346, 2)/10)</f>
        <v>6.5</v>
      </c>
      <c r="F1346" s="36" cm="1">
        <f t="array" ref="F1346">GetNumber(D1346, 3) + (GetNumber(D1346, 4)/10)</f>
        <v>6.5</v>
      </c>
      <c r="G1346" s="35">
        <v>18.5</v>
      </c>
      <c r="H1346" s="35">
        <v>22756</v>
      </c>
      <c r="I1346" s="35">
        <f>45.01*($T$2)</f>
        <v>90.02</v>
      </c>
      <c r="J1346" s="35">
        <f>832.8*($T$2)</f>
        <v>1665.6</v>
      </c>
      <c r="K1346" s="35">
        <f t="shared" si="96"/>
        <v>3.332132564841499</v>
      </c>
      <c r="L1346" s="35">
        <f t="shared" si="97"/>
        <v>3.3325927571650746</v>
      </c>
      <c r="M1346" s="35">
        <f>3.053125*($T$2)</f>
        <v>6.1062500000000002</v>
      </c>
      <c r="N1346" s="35">
        <f>140.1*(5280/3600)</f>
        <v>205.48</v>
      </c>
      <c r="O1346" s="35">
        <f t="shared" ref="O1346:O1409" si="99" xml:space="preserve"> (M1346/J1346)*100</f>
        <v>0.36660963016330456</v>
      </c>
      <c r="P1346" s="35">
        <f t="shared" si="98"/>
        <v>20.346834474063403</v>
      </c>
      <c r="Q1346" s="35">
        <f>('Batt Capacity and Sys Weight'!$I$4) + (B1346*$T$2)</f>
        <v>36.824503</v>
      </c>
      <c r="R1346" s="35">
        <f>'Batt Capacity and Sys Weight'!$H$4</f>
        <v>92.5</v>
      </c>
    </row>
    <row r="1347" spans="1:18" x14ac:dyDescent="0.3">
      <c r="A1347" s="35" t="s">
        <v>212</v>
      </c>
      <c r="B1347" s="35">
        <v>4.83</v>
      </c>
      <c r="C1347" s="35">
        <v>1460</v>
      </c>
      <c r="D1347" s="35" t="s">
        <v>146</v>
      </c>
      <c r="E1347" s="36" t="str" cm="1">
        <f t="array" ref="E1347">GetNumber(D1347,1)</f>
        <v>7</v>
      </c>
      <c r="F1347" s="36" t="str" cm="1">
        <f t="array" ref="F1347">GetNumber(D1347,2)</f>
        <v>4</v>
      </c>
      <c r="G1347" s="35">
        <v>18.5</v>
      </c>
      <c r="H1347" s="35">
        <v>21930</v>
      </c>
      <c r="I1347" s="35">
        <f>54.16*($T$2)</f>
        <v>108.32</v>
      </c>
      <c r="J1347" s="35">
        <f>1001.9*($T$2)</f>
        <v>2003.8</v>
      </c>
      <c r="K1347" s="35">
        <f t="shared" ref="K1347:K1410" si="100" xml:space="preserve"> (R1347/J1347)*60</f>
        <v>2.7697374987523706</v>
      </c>
      <c r="L1347" s="35">
        <f t="shared" ref="L1347:L1410" si="101">( (R1347/G1347)/I1347)*60</f>
        <v>2.7695716395864109</v>
      </c>
      <c r="M1347" s="35">
        <f>4.93375*($T$2)</f>
        <v>9.8674999999999997</v>
      </c>
      <c r="N1347" s="35">
        <f>83.1*(5280/3600)</f>
        <v>121.87999999999998</v>
      </c>
      <c r="O1347" s="35">
        <f t="shared" si="99"/>
        <v>0.49243936520610837</v>
      </c>
      <c r="P1347" s="35">
        <f t="shared" si="98"/>
        <v>27.330384768939016</v>
      </c>
      <c r="Q1347" s="35">
        <f>('Batt Capacity and Sys Weight'!$I$4) + (B1347*$T$2)</f>
        <v>36.824503</v>
      </c>
      <c r="R1347" s="35">
        <f>'Batt Capacity and Sys Weight'!$H$4</f>
        <v>92.5</v>
      </c>
    </row>
    <row r="1348" spans="1:18" x14ac:dyDescent="0.3">
      <c r="A1348" s="35" t="s">
        <v>212</v>
      </c>
      <c r="B1348" s="35">
        <v>4.83</v>
      </c>
      <c r="C1348" s="35">
        <v>1460</v>
      </c>
      <c r="D1348" s="35" t="s">
        <v>144</v>
      </c>
      <c r="E1348" s="36" t="str" cm="1">
        <f t="array" ref="E1348">GetNumber(D1348,1)</f>
        <v>7</v>
      </c>
      <c r="F1348" s="36" t="str" cm="1">
        <f t="array" ref="F1348">GetNumber(D1348,2)</f>
        <v>4</v>
      </c>
      <c r="G1348" s="35">
        <v>18.5</v>
      </c>
      <c r="H1348" s="35">
        <v>22495</v>
      </c>
      <c r="I1348" s="35">
        <f>47.26*($T$2)</f>
        <v>94.52</v>
      </c>
      <c r="J1348" s="35">
        <f>874.4*($T$2)</f>
        <v>1748.8</v>
      </c>
      <c r="K1348" s="35">
        <f t="shared" si="100"/>
        <v>3.1736047575480333</v>
      </c>
      <c r="L1348" s="35">
        <f t="shared" si="101"/>
        <v>3.1739314430808299</v>
      </c>
      <c r="M1348" s="35">
        <f>4.5525*($T$2)</f>
        <v>9.1050000000000004</v>
      </c>
      <c r="N1348" s="35">
        <f>85.2*(5280/3600)</f>
        <v>124.96</v>
      </c>
      <c r="O1348" s="35">
        <f t="shared" si="99"/>
        <v>0.52064272644098819</v>
      </c>
      <c r="P1348" s="35">
        <f t="shared" si="98"/>
        <v>28.895671317474843</v>
      </c>
      <c r="Q1348" s="35">
        <f>('Batt Capacity and Sys Weight'!$I$4) + (B1348*$T$2)</f>
        <v>36.824503</v>
      </c>
      <c r="R1348" s="35">
        <f>'Batt Capacity and Sys Weight'!$H$4</f>
        <v>92.5</v>
      </c>
    </row>
    <row r="1349" spans="1:18" x14ac:dyDescent="0.3">
      <c r="A1349" s="35" t="s">
        <v>212</v>
      </c>
      <c r="B1349" s="35">
        <v>4.83</v>
      </c>
      <c r="C1349" s="35">
        <v>1460</v>
      </c>
      <c r="D1349" s="35" t="s">
        <v>162</v>
      </c>
      <c r="E1349" s="36" cm="1">
        <f t="array" ref="E1349">GetNumber(D1349, 1) + (GetNumber(D1349, 2)/10)</f>
        <v>6.5</v>
      </c>
      <c r="F1349" s="36" cm="1">
        <f t="array" ref="F1349">GetNumber(D1349, 3) + (GetNumber(D1349, 4)/10)</f>
        <v>5</v>
      </c>
      <c r="G1349" s="35">
        <v>22.2</v>
      </c>
      <c r="H1349" s="35">
        <v>27130</v>
      </c>
      <c r="I1349" s="35">
        <f>49.94*($T$2)</f>
        <v>99.88</v>
      </c>
      <c r="J1349" s="35">
        <f>1108.6*($T$2)</f>
        <v>2217.1999999999998</v>
      </c>
      <c r="K1349" s="35">
        <f t="shared" si="100"/>
        <v>2.7034097059354143</v>
      </c>
      <c r="L1349" s="35">
        <f t="shared" si="101"/>
        <v>2.7032438926712055</v>
      </c>
      <c r="M1349" s="35">
        <f>4.16875*($T$2)</f>
        <v>8.3375000000000004</v>
      </c>
      <c r="N1349" s="35">
        <f>128.5*(5280/3600)</f>
        <v>188.46666666666664</v>
      </c>
      <c r="O1349" s="35">
        <f t="shared" si="99"/>
        <v>0.3760373443983403</v>
      </c>
      <c r="P1349" s="35">
        <f t="shared" si="98"/>
        <v>22.539678423236516</v>
      </c>
      <c r="Q1349" s="35">
        <f>('Batt Capacity and Sys Weight'!$I$5) + (B1349*$T$2)</f>
        <v>41.233753</v>
      </c>
      <c r="R1349" s="35">
        <f>'Batt Capacity and Sys Weight'!$H$5</f>
        <v>99.9</v>
      </c>
    </row>
    <row r="1350" spans="1:18" x14ac:dyDescent="0.3">
      <c r="A1350" s="35" t="s">
        <v>212</v>
      </c>
      <c r="B1350" s="35">
        <v>4.83</v>
      </c>
      <c r="C1350" s="35">
        <v>1460</v>
      </c>
      <c r="D1350" s="35" t="s">
        <v>163</v>
      </c>
      <c r="E1350" s="36" cm="1">
        <f t="array" ref="E1350">GetNumber(D1350, 1) + (GetNumber(D1350, 2)/10)</f>
        <v>6.5</v>
      </c>
      <c r="F1350" s="36" cm="1">
        <f t="array" ref="F1350">GetNumber(D1350, 3) + (GetNumber(D1350, 4)/10)</f>
        <v>5.5</v>
      </c>
      <c r="G1350" s="35">
        <v>22.2</v>
      </c>
      <c r="H1350" s="35">
        <v>26846</v>
      </c>
      <c r="I1350" s="35">
        <f>53.21*($T$2)</f>
        <v>106.42</v>
      </c>
      <c r="J1350" s="35">
        <f>1181.3*($T$2)</f>
        <v>2362.6</v>
      </c>
      <c r="K1350" s="35">
        <f t="shared" si="100"/>
        <v>2.5370354693981212</v>
      </c>
      <c r="L1350" s="35">
        <f t="shared" si="101"/>
        <v>2.5371170832550272</v>
      </c>
      <c r="M1350" s="35">
        <f>4.201875*($T$2)</f>
        <v>8.4037500000000005</v>
      </c>
      <c r="N1350" s="35">
        <f>139.8*(5280/3600)</f>
        <v>205.04</v>
      </c>
      <c r="O1350" s="35">
        <f t="shared" si="99"/>
        <v>0.35569922966223655</v>
      </c>
      <c r="P1350" s="35">
        <f t="shared" si="98"/>
        <v>21.320611825954462</v>
      </c>
      <c r="Q1350" s="35">
        <f>('Batt Capacity and Sys Weight'!$I$5) + (B1350*$T$2)</f>
        <v>41.233753</v>
      </c>
      <c r="R1350" s="35">
        <f>'Batt Capacity and Sys Weight'!$H$5</f>
        <v>99.9</v>
      </c>
    </row>
    <row r="1351" spans="1:18" x14ac:dyDescent="0.3">
      <c r="A1351" s="35" t="s">
        <v>212</v>
      </c>
      <c r="B1351" s="35">
        <v>4.83</v>
      </c>
      <c r="C1351" s="35">
        <v>1460</v>
      </c>
      <c r="D1351" s="35" t="s">
        <v>166</v>
      </c>
      <c r="E1351" s="36" t="str" cm="1">
        <f t="array" ref="E1351">GetNumber(D1351,1)</f>
        <v>6</v>
      </c>
      <c r="F1351" s="36" t="str" cm="1">
        <f t="array" ref="F1351">GetNumber(D1351,2)</f>
        <v>4</v>
      </c>
      <c r="G1351" s="35">
        <v>22.2</v>
      </c>
      <c r="H1351" s="35">
        <v>27982</v>
      </c>
      <c r="I1351" s="35">
        <f>39.6*($T$2)</f>
        <v>79.2</v>
      </c>
      <c r="J1351" s="35">
        <f>879.2*($T$2)</f>
        <v>1758.4</v>
      </c>
      <c r="K1351" s="35">
        <f t="shared" si="100"/>
        <v>3.4087807097361238</v>
      </c>
      <c r="L1351" s="35">
        <f t="shared" si="101"/>
        <v>3.4090909090909092</v>
      </c>
      <c r="M1351" s="35">
        <f>4.15375*($T$2)</f>
        <v>8.3074999999999992</v>
      </c>
      <c r="N1351" s="35">
        <f>106*(5280/3600)</f>
        <v>155.46666666666667</v>
      </c>
      <c r="O1351" s="35">
        <f t="shared" si="99"/>
        <v>0.47244654231119193</v>
      </c>
      <c r="P1351" s="35">
        <f t="shared" si="98"/>
        <v>28.318445746132845</v>
      </c>
      <c r="Q1351" s="35">
        <f>('Batt Capacity and Sys Weight'!$I$5) + (B1351*$T$2)</f>
        <v>41.233753</v>
      </c>
      <c r="R1351" s="35">
        <f>'Batt Capacity and Sys Weight'!$H$5</f>
        <v>99.9</v>
      </c>
    </row>
    <row r="1352" spans="1:18" x14ac:dyDescent="0.3">
      <c r="A1352" s="35" t="s">
        <v>213</v>
      </c>
      <c r="B1352" s="35">
        <v>4.8</v>
      </c>
      <c r="C1352" s="35">
        <v>840</v>
      </c>
      <c r="D1352" s="35" t="s">
        <v>55</v>
      </c>
      <c r="E1352" s="36" t="str" cm="1">
        <f t="array" ref="E1352">GetNumber(D1352,1)</f>
        <v>10</v>
      </c>
      <c r="F1352" s="36" t="str" cm="1">
        <f t="array" ref="F1352">GetNumber(D1352,2)</f>
        <v>10</v>
      </c>
      <c r="G1352" s="35">
        <v>11.1</v>
      </c>
      <c r="H1352" s="35">
        <v>7489</v>
      </c>
      <c r="I1352" s="35">
        <f>28.96*($T$2)</f>
        <v>57.92</v>
      </c>
      <c r="J1352" s="35">
        <f>321.5*($T$2)</f>
        <v>643</v>
      </c>
      <c r="K1352" s="35">
        <f t="shared" si="100"/>
        <v>9.3219284603421464</v>
      </c>
      <c r="L1352" s="35">
        <f t="shared" si="101"/>
        <v>9.3232044198895032</v>
      </c>
      <c r="M1352" s="35">
        <f>2.129375*($T$2)</f>
        <v>4.25875</v>
      </c>
      <c r="N1352" s="35">
        <f>70.9*(5280/3600)</f>
        <v>103.98666666666666</v>
      </c>
      <c r="O1352" s="35">
        <f t="shared" si="99"/>
        <v>0.66232503888024885</v>
      </c>
      <c r="P1352" s="35">
        <f t="shared" si="98"/>
        <v>39.699762830482115</v>
      </c>
      <c r="Q1352" s="35">
        <f>('Batt Capacity and Sys Weight'!$I$2) + (B1352*$T$2)</f>
        <v>40.433</v>
      </c>
      <c r="R1352" s="35">
        <f>'Batt Capacity and Sys Weight'!$H$2</f>
        <v>99.9</v>
      </c>
    </row>
    <row r="1353" spans="1:18" x14ac:dyDescent="0.3">
      <c r="A1353" s="35" t="s">
        <v>213</v>
      </c>
      <c r="B1353" s="35">
        <v>4.8</v>
      </c>
      <c r="C1353" s="35">
        <v>840</v>
      </c>
      <c r="D1353" s="35" t="s">
        <v>71</v>
      </c>
      <c r="E1353" s="36" t="str" cm="1">
        <f t="array" ref="E1353">GetNumber(D1353,1)</f>
        <v>11</v>
      </c>
      <c r="F1353" s="36" t="str" cm="1">
        <f t="array" ref="F1353">GetNumber(D1353,2)</f>
        <v>7</v>
      </c>
      <c r="G1353" s="35">
        <v>11.1</v>
      </c>
      <c r="H1353" s="35">
        <v>7780</v>
      </c>
      <c r="I1353" s="35">
        <f>24.44*($T$2)</f>
        <v>48.88</v>
      </c>
      <c r="J1353" s="35">
        <f>271.3*($T$2)</f>
        <v>542.6</v>
      </c>
      <c r="K1353" s="35">
        <f t="shared" si="100"/>
        <v>11.046811647622558</v>
      </c>
      <c r="L1353" s="35">
        <f t="shared" si="101"/>
        <v>11.047463175122751</v>
      </c>
      <c r="M1353" s="35">
        <f>3.156875*($T$2)</f>
        <v>6.3137499999999998</v>
      </c>
      <c r="N1353" s="35">
        <f>51.6*(5280/3600)</f>
        <v>75.679999999999993</v>
      </c>
      <c r="O1353" s="35">
        <f t="shared" si="99"/>
        <v>1.1636103943973459</v>
      </c>
      <c r="P1353" s="35">
        <f t="shared" si="98"/>
        <v>69.746807040176918</v>
      </c>
      <c r="Q1353" s="35">
        <f>('Batt Capacity and Sys Weight'!$I$2) + (B1353*$T$2)</f>
        <v>40.433</v>
      </c>
      <c r="R1353" s="35">
        <f>'Batt Capacity and Sys Weight'!$H$2</f>
        <v>99.9</v>
      </c>
    </row>
    <row r="1354" spans="1:18" x14ac:dyDescent="0.3">
      <c r="A1354" s="35" t="s">
        <v>213</v>
      </c>
      <c r="B1354" s="35">
        <v>4.8</v>
      </c>
      <c r="C1354" s="35">
        <v>840</v>
      </c>
      <c r="D1354" s="35" t="s">
        <v>211</v>
      </c>
      <c r="E1354" s="36" t="str" cm="1">
        <f t="array" ref="E1354">GetNumber(D1354,1)</f>
        <v>11</v>
      </c>
      <c r="F1354" s="36" t="str" cm="1">
        <f t="array" ref="F1354">GetNumber(D1354,2)</f>
        <v>7</v>
      </c>
      <c r="G1354" s="35">
        <v>11.1</v>
      </c>
      <c r="H1354" s="35">
        <v>7843</v>
      </c>
      <c r="I1354" s="35">
        <f>24.29*($T$2)</f>
        <v>48.58</v>
      </c>
      <c r="J1354" s="35">
        <f>269.6*($T$2)</f>
        <v>539.20000000000005</v>
      </c>
      <c r="K1354" s="35">
        <f t="shared" si="100"/>
        <v>11.11646884272997</v>
      </c>
      <c r="L1354" s="35">
        <f t="shared" si="101"/>
        <v>11.115685467270481</v>
      </c>
      <c r="M1354" s="35">
        <f>3.375*($T$2)</f>
        <v>6.75</v>
      </c>
      <c r="N1354" s="35">
        <f>52*(5280/3600)</f>
        <v>76.266666666666666</v>
      </c>
      <c r="O1354" s="35">
        <f t="shared" si="99"/>
        <v>1.251854599406528</v>
      </c>
      <c r="P1354" s="35">
        <f t="shared" si="98"/>
        <v>75.036164688427306</v>
      </c>
      <c r="Q1354" s="35">
        <f>('Batt Capacity and Sys Weight'!$I$2) + (B1354*$T$2)</f>
        <v>40.433</v>
      </c>
      <c r="R1354" s="35">
        <f>'Batt Capacity and Sys Weight'!$H$2</f>
        <v>99.9</v>
      </c>
    </row>
    <row r="1355" spans="1:18" x14ac:dyDescent="0.3">
      <c r="A1355" s="35" t="s">
        <v>213</v>
      </c>
      <c r="B1355" s="35">
        <v>4.8</v>
      </c>
      <c r="C1355" s="35">
        <v>840</v>
      </c>
      <c r="D1355" s="35" t="s">
        <v>72</v>
      </c>
      <c r="E1355" s="36" t="str" cm="1">
        <f t="array" ref="E1355">GetNumber(D1355,1)</f>
        <v>11</v>
      </c>
      <c r="F1355" s="36" t="str" cm="1">
        <f t="array" ref="F1355">GetNumber(D1355,2)</f>
        <v>8</v>
      </c>
      <c r="G1355" s="35">
        <v>11.1</v>
      </c>
      <c r="H1355" s="35">
        <v>7658</v>
      </c>
      <c r="I1355" s="35">
        <f>26.4*($T$2)</f>
        <v>52.8</v>
      </c>
      <c r="J1355" s="35">
        <f>293.1*($T$2)</f>
        <v>586.20000000000005</v>
      </c>
      <c r="K1355" s="35">
        <f t="shared" si="100"/>
        <v>10.225179119754349</v>
      </c>
      <c r="L1355" s="35">
        <f t="shared" si="101"/>
        <v>10.227272727272728</v>
      </c>
      <c r="M1355" s="35">
        <f>3.12625*($T$2)</f>
        <v>6.2525000000000004</v>
      </c>
      <c r="N1355" s="35">
        <f>58*(5280/3600)</f>
        <v>85.066666666666663</v>
      </c>
      <c r="O1355" s="35">
        <f t="shared" si="99"/>
        <v>1.0666154895939952</v>
      </c>
      <c r="P1355" s="35">
        <f t="shared" si="98"/>
        <v>63.932932446264076</v>
      </c>
      <c r="Q1355" s="35">
        <f>('Batt Capacity and Sys Weight'!$I$2) + (B1355*$T$2)</f>
        <v>40.433</v>
      </c>
      <c r="R1355" s="35">
        <f>'Batt Capacity and Sys Weight'!$H$2</f>
        <v>99.9</v>
      </c>
    </row>
    <row r="1356" spans="1:18" x14ac:dyDescent="0.3">
      <c r="A1356" s="35" t="s">
        <v>213</v>
      </c>
      <c r="B1356" s="35">
        <v>4.8</v>
      </c>
      <c r="C1356" s="35">
        <v>840</v>
      </c>
      <c r="D1356" s="35" t="s">
        <v>132</v>
      </c>
      <c r="E1356" s="36" t="str" cm="1">
        <f t="array" ref="E1356">GetNumber(D1356,1)</f>
        <v>11</v>
      </c>
      <c r="F1356" s="36" t="str" cm="1">
        <f t="array" ref="F1356">GetNumber(D1356,2)</f>
        <v>8</v>
      </c>
      <c r="G1356" s="35">
        <v>11.1</v>
      </c>
      <c r="H1356" s="35">
        <v>7920</v>
      </c>
      <c r="I1356" s="35">
        <f>22.8*($T$2)</f>
        <v>45.6</v>
      </c>
      <c r="J1356" s="35">
        <f>253.1*($T$2)</f>
        <v>506.2</v>
      </c>
      <c r="K1356" s="35">
        <f t="shared" si="100"/>
        <v>11.841169498222047</v>
      </c>
      <c r="L1356" s="35">
        <f t="shared" si="101"/>
        <v>11.842105263157896</v>
      </c>
      <c r="M1356" s="35">
        <f>2.9675*($T$2)</f>
        <v>5.9349999999999996</v>
      </c>
      <c r="N1356" s="35">
        <f>60*(5280/3600)</f>
        <v>88</v>
      </c>
      <c r="O1356" s="35">
        <f t="shared" si="99"/>
        <v>1.1724614776768074</v>
      </c>
      <c r="P1356" s="35">
        <f t="shared" si="98"/>
        <v>70.277340971947851</v>
      </c>
      <c r="Q1356" s="35">
        <f>('Batt Capacity and Sys Weight'!$I$2) + (B1356*$T$2)</f>
        <v>40.433</v>
      </c>
      <c r="R1356" s="35">
        <f>'Batt Capacity and Sys Weight'!$H$2</f>
        <v>99.9</v>
      </c>
    </row>
    <row r="1357" spans="1:18" x14ac:dyDescent="0.3">
      <c r="A1357" s="35" t="s">
        <v>213</v>
      </c>
      <c r="B1357" s="35">
        <v>4.8</v>
      </c>
      <c r="C1357" s="35">
        <v>840</v>
      </c>
      <c r="D1357" s="35" t="s">
        <v>56</v>
      </c>
      <c r="E1357" s="36" t="str" cm="1">
        <f t="array" ref="E1357">GetNumber(D1357,1)</f>
        <v>11</v>
      </c>
      <c r="F1357" s="36" cm="1">
        <f t="array" ref="F1357">GetNumber(D1357,2)+(GetNumber(D1357,3)/10)</f>
        <v>8.5</v>
      </c>
      <c r="G1357" s="35">
        <v>11.1</v>
      </c>
      <c r="H1357" s="35">
        <v>7500</v>
      </c>
      <c r="I1357" s="35">
        <f>28.33*($T$2)</f>
        <v>56.66</v>
      </c>
      <c r="J1357" s="35">
        <f>314.4*($T$2)</f>
        <v>628.79999999999995</v>
      </c>
      <c r="K1357" s="35">
        <f t="shared" si="100"/>
        <v>9.5324427480916043</v>
      </c>
      <c r="L1357" s="35">
        <f t="shared" si="101"/>
        <v>9.5305330038828089</v>
      </c>
      <c r="M1357" s="35">
        <f>3.113125*($T$2)</f>
        <v>6.2262500000000003</v>
      </c>
      <c r="N1357" s="35">
        <f>60.4*(5280/3600)</f>
        <v>88.586666666666659</v>
      </c>
      <c r="O1357" s="35">
        <f t="shared" si="99"/>
        <v>0.99017970737913497</v>
      </c>
      <c r="P1357" s="35">
        <f t="shared" si="98"/>
        <v>59.351371660305354</v>
      </c>
      <c r="Q1357" s="35">
        <f>('Batt Capacity and Sys Weight'!$I$2) + (B1357*$T$2)</f>
        <v>40.433</v>
      </c>
      <c r="R1357" s="35">
        <f>'Batt Capacity and Sys Weight'!$H$2</f>
        <v>99.9</v>
      </c>
    </row>
    <row r="1358" spans="1:18" x14ac:dyDescent="0.3">
      <c r="A1358" s="35" t="s">
        <v>213</v>
      </c>
      <c r="B1358" s="35">
        <v>4.8</v>
      </c>
      <c r="C1358" s="35">
        <v>840</v>
      </c>
      <c r="D1358" s="35" t="s">
        <v>57</v>
      </c>
      <c r="E1358" s="36" t="str" cm="1">
        <f t="array" ref="E1358">GetNumber(D1358,1)</f>
        <v>11</v>
      </c>
      <c r="F1358" s="36" t="str" cm="1">
        <f t="array" ref="F1358">GetNumber(D1358,2)</f>
        <v>10</v>
      </c>
      <c r="G1358" s="35">
        <v>11.1</v>
      </c>
      <c r="H1358" s="35">
        <v>7140</v>
      </c>
      <c r="I1358" s="35">
        <f>32.11*($T$2)</f>
        <v>64.22</v>
      </c>
      <c r="J1358" s="35">
        <f>356.5*($T$2)</f>
        <v>713</v>
      </c>
      <c r="K1358" s="35">
        <f t="shared" si="100"/>
        <v>8.4067321178120622</v>
      </c>
      <c r="L1358" s="35">
        <f t="shared" si="101"/>
        <v>8.4085954531298661</v>
      </c>
      <c r="M1358" s="35">
        <f>2.680625*($T$2)</f>
        <v>5.3612500000000001</v>
      </c>
      <c r="N1358" s="35">
        <f>67.6*(5280/3600)</f>
        <v>99.146666666666647</v>
      </c>
      <c r="O1358" s="35">
        <f t="shared" si="99"/>
        <v>0.7519284712482468</v>
      </c>
      <c r="P1358" s="35">
        <f t="shared" si="98"/>
        <v>45.070592566619922</v>
      </c>
      <c r="Q1358" s="35">
        <f>('Batt Capacity and Sys Weight'!$I$2) + (B1358*$T$2)</f>
        <v>40.433</v>
      </c>
      <c r="R1358" s="35">
        <f>'Batt Capacity and Sys Weight'!$H$2</f>
        <v>99.9</v>
      </c>
    </row>
    <row r="1359" spans="1:18" x14ac:dyDescent="0.3">
      <c r="A1359" s="35" t="s">
        <v>213</v>
      </c>
      <c r="B1359" s="35">
        <v>4.8</v>
      </c>
      <c r="C1359" s="35">
        <v>840</v>
      </c>
      <c r="D1359" s="35" t="s">
        <v>58</v>
      </c>
      <c r="E1359" s="36" t="str" cm="1">
        <f t="array" ref="E1359">GetNumber(D1359,1)</f>
        <v>12</v>
      </c>
      <c r="F1359" s="36" t="str" cm="1">
        <f t="array" ref="F1359">GetNumber(D1359,2)</f>
        <v>6</v>
      </c>
      <c r="G1359" s="35">
        <v>11.1</v>
      </c>
      <c r="H1359" s="35">
        <v>7625</v>
      </c>
      <c r="I1359" s="35">
        <f>26.95*($T$2)</f>
        <v>53.9</v>
      </c>
      <c r="J1359" s="35">
        <f>299.2*($T$2)</f>
        <v>598.4</v>
      </c>
      <c r="K1359" s="35">
        <f t="shared" si="100"/>
        <v>10.016711229946525</v>
      </c>
      <c r="L1359" s="35">
        <f t="shared" si="101"/>
        <v>10.018552875695732</v>
      </c>
      <c r="M1359" s="35">
        <f>3.681875*($T$2)</f>
        <v>7.3637499999999996</v>
      </c>
      <c r="N1359" s="35">
        <f>43.3*(5280/3600)</f>
        <v>63.506666666666661</v>
      </c>
      <c r="O1359" s="35">
        <f t="shared" si="99"/>
        <v>1.2305731951871659</v>
      </c>
      <c r="P1359" s="35">
        <f t="shared" si="98"/>
        <v>73.760557319518725</v>
      </c>
      <c r="Q1359" s="35">
        <f>('Batt Capacity and Sys Weight'!$I$2) + (B1359*$T$2)</f>
        <v>40.433</v>
      </c>
      <c r="R1359" s="35">
        <f>'Batt Capacity and Sys Weight'!$H$2</f>
        <v>99.9</v>
      </c>
    </row>
    <row r="1360" spans="1:18" x14ac:dyDescent="0.3">
      <c r="A1360" s="35" t="s">
        <v>213</v>
      </c>
      <c r="B1360" s="35">
        <v>4.8</v>
      </c>
      <c r="C1360" s="35">
        <v>840</v>
      </c>
      <c r="D1360" s="35" t="s">
        <v>32</v>
      </c>
      <c r="E1360" s="36" t="str" cm="1">
        <f t="array" ref="E1360">GetNumber(D1360,1)</f>
        <v>12</v>
      </c>
      <c r="F1360" s="36" t="str" cm="1">
        <f t="array" ref="F1360">GetNumber(D1360,2)</f>
        <v>8</v>
      </c>
      <c r="G1360" s="35">
        <v>11.1</v>
      </c>
      <c r="H1360" s="35">
        <v>7177</v>
      </c>
      <c r="I1360" s="35">
        <f>32.06*($T$2)</f>
        <v>64.12</v>
      </c>
      <c r="J1360" s="35">
        <f>355.8*($T$2)</f>
        <v>711.6</v>
      </c>
      <c r="K1360" s="35">
        <f t="shared" si="100"/>
        <v>8.4232715008431711</v>
      </c>
      <c r="L1360" s="35">
        <f t="shared" si="101"/>
        <v>8.4217092950717412</v>
      </c>
      <c r="M1360" s="35">
        <f>3.27625*($T$2)</f>
        <v>6.5525000000000002</v>
      </c>
      <c r="N1360" s="35">
        <f>54.4*(5280/3600)</f>
        <v>79.786666666666662</v>
      </c>
      <c r="O1360" s="35">
        <f t="shared" si="99"/>
        <v>0.9208122540753233</v>
      </c>
      <c r="P1360" s="35">
        <f t="shared" si="98"/>
        <v>55.193486509274884</v>
      </c>
      <c r="Q1360" s="35">
        <f>('Batt Capacity and Sys Weight'!$I$2) + (B1360*$T$2)</f>
        <v>40.433</v>
      </c>
      <c r="R1360" s="35">
        <f>'Batt Capacity and Sys Weight'!$H$2</f>
        <v>99.9</v>
      </c>
    </row>
    <row r="1361" spans="1:18" x14ac:dyDescent="0.3">
      <c r="A1361" s="35" t="s">
        <v>213</v>
      </c>
      <c r="B1361" s="35">
        <v>4.8</v>
      </c>
      <c r="C1361" s="35">
        <v>840</v>
      </c>
      <c r="D1361" s="35" t="s">
        <v>118</v>
      </c>
      <c r="E1361" s="36" t="str" cm="1">
        <f t="array" ref="E1361">GetNumber(D1361,1)</f>
        <v>12</v>
      </c>
      <c r="F1361" s="36" cm="1">
        <f t="array" ref="F1361">GetNumber(D1361,2)+(GetNumber(D1361,3)/10)</f>
        <v>8.5</v>
      </c>
      <c r="G1361" s="35">
        <v>11.1</v>
      </c>
      <c r="H1361" s="35">
        <v>7490</v>
      </c>
      <c r="I1361" s="35">
        <f>28.38*($T$2)</f>
        <v>56.76</v>
      </c>
      <c r="J1361" s="35">
        <f>315*($T$2)</f>
        <v>630</v>
      </c>
      <c r="K1361" s="35">
        <f t="shared" si="100"/>
        <v>9.514285714285716</v>
      </c>
      <c r="L1361" s="35">
        <f t="shared" si="101"/>
        <v>9.5137420718816088</v>
      </c>
      <c r="M1361" s="35">
        <f>3.615625*($T$2)</f>
        <v>7.2312500000000002</v>
      </c>
      <c r="N1361" s="35">
        <f>60.3*(5280/3600)</f>
        <v>88.439999999999984</v>
      </c>
      <c r="O1361" s="35">
        <f t="shared" si="99"/>
        <v>1.1478174603174602</v>
      </c>
      <c r="P1361" s="35">
        <f t="shared" ref="P1361:P1424" si="102">M1361*K1361</f>
        <v>68.800178571428589</v>
      </c>
      <c r="Q1361" s="35">
        <f>('Batt Capacity and Sys Weight'!$I$2) + (B1361*$T$2)</f>
        <v>40.433</v>
      </c>
      <c r="R1361" s="35">
        <f>'Batt Capacity and Sys Weight'!$H$2</f>
        <v>99.9</v>
      </c>
    </row>
    <row r="1362" spans="1:18" x14ac:dyDescent="0.3">
      <c r="A1362" s="35" t="s">
        <v>213</v>
      </c>
      <c r="B1362" s="35">
        <v>4.8</v>
      </c>
      <c r="C1362" s="35">
        <v>840</v>
      </c>
      <c r="D1362" s="35" t="s">
        <v>98</v>
      </c>
      <c r="E1362" s="36" t="str" cm="1">
        <f t="array" ref="E1362">GetNumber(D1362,1)</f>
        <v>13</v>
      </c>
      <c r="F1362" s="36" t="str" cm="1">
        <f t="array" ref="F1362">GetNumber(D1362,2)</f>
        <v>4</v>
      </c>
      <c r="G1362" s="35">
        <v>11.1</v>
      </c>
      <c r="H1362" s="35">
        <v>7870</v>
      </c>
      <c r="I1362" s="35">
        <f>23.64*($T$2)</f>
        <v>47.28</v>
      </c>
      <c r="J1362" s="35">
        <f>262.4*($T$2)</f>
        <v>524.79999999999995</v>
      </c>
      <c r="K1362" s="35">
        <f t="shared" si="100"/>
        <v>11.421493902439027</v>
      </c>
      <c r="L1362" s="35">
        <f t="shared" si="101"/>
        <v>11.421319796954315</v>
      </c>
      <c r="M1362" s="35">
        <f>3.690625*($T$2)</f>
        <v>7.3812499999999996</v>
      </c>
      <c r="N1362" s="35">
        <f>29.8*(5280/3600)</f>
        <v>43.706666666666663</v>
      </c>
      <c r="O1362" s="35">
        <f t="shared" si="99"/>
        <v>1.4064881859756098</v>
      </c>
      <c r="P1362" s="35">
        <f t="shared" si="102"/>
        <v>84.304901867378064</v>
      </c>
      <c r="Q1362" s="35">
        <f>('Batt Capacity and Sys Weight'!$I$2) + (B1362*$T$2)</f>
        <v>40.433</v>
      </c>
      <c r="R1362" s="35">
        <f>'Batt Capacity and Sys Weight'!$H$2</f>
        <v>99.9</v>
      </c>
    </row>
    <row r="1363" spans="1:18" x14ac:dyDescent="0.3">
      <c r="A1363" s="35" t="s">
        <v>213</v>
      </c>
      <c r="B1363" s="35">
        <v>4.8</v>
      </c>
      <c r="C1363" s="35">
        <v>840</v>
      </c>
      <c r="D1363" s="35" t="s">
        <v>59</v>
      </c>
      <c r="E1363" s="36" t="str" cm="1">
        <f t="array" ref="E1363">GetNumber(D1363,1)</f>
        <v>13</v>
      </c>
      <c r="F1363" s="36" cm="1">
        <f t="array" ref="F1363">GetNumber(D1363,2)+(GetNumber(D1363,3)/10)</f>
        <v>5.5</v>
      </c>
      <c r="G1363" s="35">
        <v>11.1</v>
      </c>
      <c r="H1363" s="35">
        <v>7455</v>
      </c>
      <c r="I1363" s="35">
        <f>28.83*($T$2)</f>
        <v>57.66</v>
      </c>
      <c r="J1363" s="35">
        <f>320*($T$2)</f>
        <v>640</v>
      </c>
      <c r="K1363" s="35">
        <f t="shared" si="100"/>
        <v>9.3656249999999996</v>
      </c>
      <c r="L1363" s="35">
        <f t="shared" si="101"/>
        <v>9.365244536940688</v>
      </c>
      <c r="M1363" s="35">
        <f>4.07*($T$2)</f>
        <v>8.14</v>
      </c>
      <c r="N1363" s="35">
        <f>38.8*(5280/3600)</f>
        <v>56.906666666666659</v>
      </c>
      <c r="O1363" s="35">
        <f t="shared" si="99"/>
        <v>1.2718750000000001</v>
      </c>
      <c r="P1363" s="35">
        <f t="shared" si="102"/>
        <v>76.2361875</v>
      </c>
      <c r="Q1363" s="35">
        <f>('Batt Capacity and Sys Weight'!$I$2) + (B1363*$T$2)</f>
        <v>40.433</v>
      </c>
      <c r="R1363" s="35">
        <f>'Batt Capacity and Sys Weight'!$H$2</f>
        <v>99.9</v>
      </c>
    </row>
    <row r="1364" spans="1:18" x14ac:dyDescent="0.3">
      <c r="A1364" s="35" t="s">
        <v>213</v>
      </c>
      <c r="B1364" s="35">
        <v>4.8</v>
      </c>
      <c r="C1364" s="35">
        <v>840</v>
      </c>
      <c r="D1364" s="35" t="s">
        <v>35</v>
      </c>
      <c r="E1364" s="36" t="str" cm="1">
        <f t="array" ref="E1364">GetNumber(D1364,1)</f>
        <v>13</v>
      </c>
      <c r="F1364" s="36" cm="1">
        <f t="array" ref="F1364">GetNumber(D1364,2)+(GetNumber(D1364,3)/10)</f>
        <v>6.5</v>
      </c>
      <c r="G1364" s="35">
        <v>11.1</v>
      </c>
      <c r="H1364" s="35">
        <v>6950</v>
      </c>
      <c r="I1364" s="35">
        <f>34.53*($T$2)</f>
        <v>69.06</v>
      </c>
      <c r="J1364" s="35">
        <f>383.2*($T$2)</f>
        <v>766.4</v>
      </c>
      <c r="K1364" s="35">
        <f t="shared" si="100"/>
        <v>7.8209812108559511</v>
      </c>
      <c r="L1364" s="35">
        <f t="shared" si="101"/>
        <v>7.8192875760208516</v>
      </c>
      <c r="M1364" s="35">
        <f>4.265625*($T$2)</f>
        <v>8.53125</v>
      </c>
      <c r="N1364" s="35">
        <f>42.8*(5280/3600)</f>
        <v>62.773333333333326</v>
      </c>
      <c r="O1364" s="35">
        <f t="shared" si="99"/>
        <v>1.1131589248434237</v>
      </c>
      <c r="P1364" s="35">
        <f t="shared" si="102"/>
        <v>66.722745955114831</v>
      </c>
      <c r="Q1364" s="35">
        <f>('Batt Capacity and Sys Weight'!$I$2) + (B1364*$T$2)</f>
        <v>40.433</v>
      </c>
      <c r="R1364" s="35">
        <f>'Batt Capacity and Sys Weight'!$H$2</f>
        <v>99.9</v>
      </c>
    </row>
    <row r="1365" spans="1:18" x14ac:dyDescent="0.3">
      <c r="A1365" s="35" t="s">
        <v>213</v>
      </c>
      <c r="B1365" s="35">
        <v>4.8</v>
      </c>
      <c r="C1365" s="35">
        <v>840</v>
      </c>
      <c r="D1365" s="35" t="s">
        <v>119</v>
      </c>
      <c r="E1365" s="36" t="str" cm="1">
        <f t="array" ref="E1365">GetNumber(D1365,1)</f>
        <v>13</v>
      </c>
      <c r="F1365" s="36" t="str" cm="1">
        <f t="array" ref="F1365">GetNumber(D1365,2)</f>
        <v>7</v>
      </c>
      <c r="G1365" s="35">
        <v>11.1</v>
      </c>
      <c r="H1365" s="35">
        <v>7275</v>
      </c>
      <c r="I1365" s="35">
        <f>31.09*($T$2)</f>
        <v>62.18</v>
      </c>
      <c r="J1365" s="35">
        <f>345*($T$2)</f>
        <v>690</v>
      </c>
      <c r="K1365" s="35">
        <f t="shared" si="100"/>
        <v>8.6869565217391305</v>
      </c>
      <c r="L1365" s="35">
        <f t="shared" si="101"/>
        <v>8.6844644580250883</v>
      </c>
      <c r="M1365" s="35">
        <f>4.155625*($T$2)</f>
        <v>8.3112499999999994</v>
      </c>
      <c r="N1365" s="35">
        <f>48.2*(5280/3600)</f>
        <v>70.693333333333328</v>
      </c>
      <c r="O1365" s="35">
        <f t="shared" si="99"/>
        <v>1.2045289855072463</v>
      </c>
      <c r="P1365" s="35">
        <f t="shared" si="102"/>
        <v>72.199467391304339</v>
      </c>
      <c r="Q1365" s="35">
        <f>('Batt Capacity and Sys Weight'!$I$2) + (B1365*$T$2)</f>
        <v>40.433</v>
      </c>
      <c r="R1365" s="35">
        <f>'Batt Capacity and Sys Weight'!$H$2</f>
        <v>99.9</v>
      </c>
    </row>
    <row r="1366" spans="1:18" x14ac:dyDescent="0.3">
      <c r="A1366" s="35" t="s">
        <v>213</v>
      </c>
      <c r="B1366" s="35">
        <v>4.8</v>
      </c>
      <c r="C1366" s="35">
        <v>840</v>
      </c>
      <c r="D1366" s="35" t="s">
        <v>38</v>
      </c>
      <c r="E1366" s="36" t="str" cm="1">
        <f t="array" ref="E1366">GetNumber(D1366,1)</f>
        <v>14</v>
      </c>
      <c r="F1366" s="36" t="str" cm="1">
        <f t="array" ref="F1366">GetNumber(D1366,2)</f>
        <v>6</v>
      </c>
      <c r="G1366" s="35">
        <v>11.1</v>
      </c>
      <c r="H1366" s="35">
        <v>7094</v>
      </c>
      <c r="I1366" s="35">
        <f>33.16*($T$2)</f>
        <v>66.319999999999993</v>
      </c>
      <c r="J1366" s="35">
        <f>368.1*($T$2)</f>
        <v>736.2</v>
      </c>
      <c r="K1366" s="35">
        <f t="shared" si="100"/>
        <v>8.1418092909535442</v>
      </c>
      <c r="L1366" s="35">
        <f t="shared" si="101"/>
        <v>8.1423401688781674</v>
      </c>
      <c r="M1366" s="35">
        <f>4.603125*($T$2)</f>
        <v>9.2062500000000007</v>
      </c>
      <c r="N1366" s="35">
        <f>40.3*(5280/3600)</f>
        <v>59.106666666666655</v>
      </c>
      <c r="O1366" s="35">
        <f t="shared" si="99"/>
        <v>1.2505093724531378</v>
      </c>
      <c r="P1366" s="35">
        <f t="shared" si="102"/>
        <v>74.955531784841071</v>
      </c>
      <c r="Q1366" s="35">
        <f>('Batt Capacity and Sys Weight'!$I$2) + (B1366*$T$2)</f>
        <v>40.433</v>
      </c>
      <c r="R1366" s="35">
        <f>'Batt Capacity and Sys Weight'!$H$2</f>
        <v>99.9</v>
      </c>
    </row>
    <row r="1367" spans="1:18" x14ac:dyDescent="0.3">
      <c r="A1367" s="35" t="s">
        <v>213</v>
      </c>
      <c r="B1367" s="35">
        <v>4.8</v>
      </c>
      <c r="C1367" s="35">
        <v>840</v>
      </c>
      <c r="D1367" s="35" t="s">
        <v>60</v>
      </c>
      <c r="E1367" s="36" t="str" cm="1">
        <f t="array" ref="E1367">GetNumber(D1367,1)</f>
        <v>15</v>
      </c>
      <c r="F1367" s="36" t="str" cm="1">
        <f t="array" ref="F1367">GetNumber(D1367,2)</f>
        <v>4</v>
      </c>
      <c r="G1367" s="35">
        <v>11.1</v>
      </c>
      <c r="H1367" s="35">
        <v>6967</v>
      </c>
      <c r="I1367" s="35">
        <f>34.5*($T$2)</f>
        <v>69</v>
      </c>
      <c r="J1367" s="35">
        <f>382.9*($T$2)</f>
        <v>765.8</v>
      </c>
      <c r="K1367" s="35">
        <f t="shared" si="100"/>
        <v>7.82710890571951</v>
      </c>
      <c r="L1367" s="35">
        <f t="shared" si="101"/>
        <v>7.8260869565217392</v>
      </c>
      <c r="M1367" s="35">
        <f>4.921875*($T$2)</f>
        <v>9.84375</v>
      </c>
      <c r="N1367" s="35">
        <f>26.4*(5280/3600)</f>
        <v>38.719999999999992</v>
      </c>
      <c r="O1367" s="35">
        <f t="shared" si="99"/>
        <v>1.285420475319927</v>
      </c>
      <c r="P1367" s="35">
        <f t="shared" si="102"/>
        <v>77.048103290676423</v>
      </c>
      <c r="Q1367" s="35">
        <f>('Batt Capacity and Sys Weight'!$I$2) + (B1367*$T$2)</f>
        <v>40.433</v>
      </c>
      <c r="R1367" s="35">
        <f>'Batt Capacity and Sys Weight'!$H$2</f>
        <v>99.9</v>
      </c>
    </row>
    <row r="1368" spans="1:18" x14ac:dyDescent="0.3">
      <c r="A1368" s="35" t="s">
        <v>213</v>
      </c>
      <c r="B1368" s="35">
        <v>4.8</v>
      </c>
      <c r="C1368" s="35">
        <v>840</v>
      </c>
      <c r="D1368" s="35" t="s">
        <v>140</v>
      </c>
      <c r="E1368" s="36" t="str" cm="1">
        <f t="array" ref="E1368">GetNumber(D1368,1)</f>
        <v>11</v>
      </c>
      <c r="F1368" s="36" t="str" cm="1">
        <f t="array" ref="F1368">GetNumber(D1368,2)</f>
        <v>8</v>
      </c>
      <c r="G1368" s="35">
        <v>11.1</v>
      </c>
      <c r="H1368" s="35">
        <v>7630</v>
      </c>
      <c r="I1368" s="35">
        <f>27.04*($T$2)</f>
        <v>54.08</v>
      </c>
      <c r="J1368" s="35">
        <f>300.1*($T$2)</f>
        <v>600.20000000000005</v>
      </c>
      <c r="K1368" s="35">
        <f t="shared" si="100"/>
        <v>9.9866711096301231</v>
      </c>
      <c r="L1368" s="35">
        <f t="shared" si="101"/>
        <v>9.9852071005917171</v>
      </c>
      <c r="M1368" s="35">
        <f>2.50875*($T$2)</f>
        <v>5.0175000000000001</v>
      </c>
      <c r="N1368" s="35">
        <f>57.8*(5280/3600)</f>
        <v>84.773333333333326</v>
      </c>
      <c r="O1368" s="35">
        <f t="shared" si="99"/>
        <v>0.83597134288570463</v>
      </c>
      <c r="P1368" s="35">
        <f t="shared" si="102"/>
        <v>50.108122292569142</v>
      </c>
      <c r="Q1368" s="35">
        <f>('Batt Capacity and Sys Weight'!$I$2) + (B1368*$T$2)</f>
        <v>40.433</v>
      </c>
      <c r="R1368" s="35">
        <f>'Batt Capacity and Sys Weight'!$H$2</f>
        <v>99.9</v>
      </c>
    </row>
    <row r="1369" spans="1:18" x14ac:dyDescent="0.3">
      <c r="A1369" s="35" t="s">
        <v>213</v>
      </c>
      <c r="B1369" s="35">
        <v>4.8</v>
      </c>
      <c r="C1369" s="35">
        <v>840</v>
      </c>
      <c r="D1369" s="35" t="s">
        <v>155</v>
      </c>
      <c r="E1369" s="36" t="str" cm="1">
        <f t="array" ref="E1369">GetNumber(D1369,1)</f>
        <v>12</v>
      </c>
      <c r="F1369" s="36" t="str" cm="1">
        <f t="array" ref="F1369">GetNumber(D1369,2)</f>
        <v>6</v>
      </c>
      <c r="G1369" s="35">
        <v>11.1</v>
      </c>
      <c r="H1369" s="35">
        <v>7790</v>
      </c>
      <c r="I1369" s="35">
        <f>25.03*($T$2)</f>
        <v>50.06</v>
      </c>
      <c r="J1369" s="35">
        <f>277.8*($T$2)</f>
        <v>555.6</v>
      </c>
      <c r="K1369" s="35">
        <f t="shared" si="100"/>
        <v>10.788336933045356</v>
      </c>
      <c r="L1369" s="35">
        <f t="shared" si="101"/>
        <v>10.787055533359968</v>
      </c>
      <c r="M1369" s="35">
        <f>3.2825*($T$2)</f>
        <v>6.5650000000000004</v>
      </c>
      <c r="N1369" s="35">
        <f>44.3*(5280/3600)</f>
        <v>64.973333333333329</v>
      </c>
      <c r="O1369" s="35">
        <f t="shared" si="99"/>
        <v>1.181605471562275</v>
      </c>
      <c r="P1369" s="35">
        <f t="shared" si="102"/>
        <v>70.82543196544276</v>
      </c>
      <c r="Q1369" s="35">
        <f>('Batt Capacity and Sys Weight'!$I$2) + (B1369*$T$2)</f>
        <v>40.433</v>
      </c>
      <c r="R1369" s="35">
        <f>'Batt Capacity and Sys Weight'!$H$2</f>
        <v>99.9</v>
      </c>
    </row>
    <row r="1370" spans="1:18" x14ac:dyDescent="0.3">
      <c r="A1370" s="35" t="s">
        <v>213</v>
      </c>
      <c r="B1370" s="35">
        <v>4.8</v>
      </c>
      <c r="C1370" s="35">
        <v>840</v>
      </c>
      <c r="D1370" s="35" t="s">
        <v>156</v>
      </c>
      <c r="E1370" s="36" t="str" cm="1">
        <f t="array" ref="E1370">GetNumber(D1370,1)</f>
        <v>12</v>
      </c>
      <c r="F1370" s="36" t="str" cm="1">
        <f t="array" ref="F1370">GetNumber(D1370,2)</f>
        <v>7</v>
      </c>
      <c r="G1370" s="35">
        <v>11.1</v>
      </c>
      <c r="H1370" s="35">
        <v>7468</v>
      </c>
      <c r="I1370" s="35">
        <f>29.05*($T$2)</f>
        <v>58.1</v>
      </c>
      <c r="J1370" s="35">
        <f>322.5*($T$2)</f>
        <v>645</v>
      </c>
      <c r="K1370" s="35">
        <f t="shared" si="100"/>
        <v>9.2930232558139529</v>
      </c>
      <c r="L1370" s="35">
        <f t="shared" si="101"/>
        <v>9.2943201376936315</v>
      </c>
      <c r="M1370" s="35">
        <f>3.58*($T$2)</f>
        <v>7.16</v>
      </c>
      <c r="N1370" s="35">
        <f>49.5*(5280/3600)</f>
        <v>72.599999999999994</v>
      </c>
      <c r="O1370" s="35">
        <f t="shared" si="99"/>
        <v>1.1100775193798449</v>
      </c>
      <c r="P1370" s="35">
        <f t="shared" si="102"/>
        <v>66.538046511627911</v>
      </c>
      <c r="Q1370" s="35">
        <f>('Batt Capacity and Sys Weight'!$I$2) + (B1370*$T$2)</f>
        <v>40.433</v>
      </c>
      <c r="R1370" s="35">
        <f>'Batt Capacity and Sys Weight'!$H$2</f>
        <v>99.9</v>
      </c>
    </row>
    <row r="1371" spans="1:18" x14ac:dyDescent="0.3">
      <c r="A1371" s="35" t="s">
        <v>213</v>
      </c>
      <c r="B1371" s="35">
        <v>4.8</v>
      </c>
      <c r="C1371" s="35">
        <v>840</v>
      </c>
      <c r="D1371" s="35" t="s">
        <v>157</v>
      </c>
      <c r="E1371" s="36" t="str" cm="1">
        <f t="array" ref="E1371">GetNumber(D1371,1)</f>
        <v>12</v>
      </c>
      <c r="F1371" s="36" t="str" cm="1">
        <f t="array" ref="F1371">GetNumber(D1371,2)</f>
        <v>8</v>
      </c>
      <c r="G1371" s="35">
        <v>11.1</v>
      </c>
      <c r="H1371" s="35">
        <v>7029</v>
      </c>
      <c r="I1371" s="35">
        <f>33.7*($T$2)</f>
        <v>67.400000000000006</v>
      </c>
      <c r="J1371" s="35">
        <f>374.1*($T$2)</f>
        <v>748.2</v>
      </c>
      <c r="K1371" s="35">
        <f t="shared" si="100"/>
        <v>8.0112269446672002</v>
      </c>
      <c r="L1371" s="35">
        <f t="shared" si="101"/>
        <v>8.0118694362017795</v>
      </c>
      <c r="M1371" s="35">
        <f>2.888125*($T$2)</f>
        <v>5.7762500000000001</v>
      </c>
      <c r="N1371" s="35">
        <f>53.3*(5280/3600)</f>
        <v>78.173333333333318</v>
      </c>
      <c r="O1371" s="35">
        <f t="shared" si="99"/>
        <v>0.77201951349906439</v>
      </c>
      <c r="P1371" s="35">
        <f t="shared" si="102"/>
        <v>46.274849639133919</v>
      </c>
      <c r="Q1371" s="35">
        <f>('Batt Capacity and Sys Weight'!$I$2) + (B1371*$T$2)</f>
        <v>40.433</v>
      </c>
      <c r="R1371" s="35">
        <f>'Batt Capacity and Sys Weight'!$H$2</f>
        <v>99.9</v>
      </c>
    </row>
    <row r="1372" spans="1:18" x14ac:dyDescent="0.3">
      <c r="A1372" s="35" t="s">
        <v>213</v>
      </c>
      <c r="B1372" s="35">
        <v>4.8</v>
      </c>
      <c r="C1372" s="35">
        <v>840</v>
      </c>
      <c r="D1372" s="35" t="s">
        <v>208</v>
      </c>
      <c r="E1372" s="36" t="str" cm="1">
        <f t="array" ref="E1372">GetNumber(D1372,1)</f>
        <v>13</v>
      </c>
      <c r="F1372" s="36" t="str" cm="1">
        <f t="array" ref="F1372">GetNumber(D1372,2)</f>
        <v>6</v>
      </c>
      <c r="G1372" s="35">
        <v>11.1</v>
      </c>
      <c r="H1372" s="35">
        <v>7405</v>
      </c>
      <c r="I1372" s="35">
        <f>29.48*($T$2)</f>
        <v>58.96</v>
      </c>
      <c r="J1372" s="35">
        <f>327.2*($T$2)</f>
        <v>654.4</v>
      </c>
      <c r="K1372" s="35">
        <f t="shared" si="100"/>
        <v>9.1595354523227392</v>
      </c>
      <c r="L1372" s="35">
        <f t="shared" si="101"/>
        <v>9.1587516960651296</v>
      </c>
      <c r="M1372" s="35">
        <f>3.88875*($T$2)</f>
        <v>7.7774999999999999</v>
      </c>
      <c r="N1372" s="35">
        <f>42.1*(5280/3600)</f>
        <v>61.746666666666663</v>
      </c>
      <c r="O1372" s="35">
        <f t="shared" si="99"/>
        <v>1.1884932762836187</v>
      </c>
      <c r="P1372" s="35">
        <f t="shared" si="102"/>
        <v>71.238286980440108</v>
      </c>
      <c r="Q1372" s="35">
        <f>('Batt Capacity and Sys Weight'!$I$2) + (B1372*$T$2)</f>
        <v>40.433</v>
      </c>
      <c r="R1372" s="35">
        <f>'Batt Capacity and Sys Weight'!$H$2</f>
        <v>99.9</v>
      </c>
    </row>
    <row r="1373" spans="1:18" x14ac:dyDescent="0.3">
      <c r="A1373" s="35" t="s">
        <v>213</v>
      </c>
      <c r="B1373" s="35">
        <v>4.8</v>
      </c>
      <c r="C1373" s="35">
        <v>840</v>
      </c>
      <c r="D1373" s="35" t="s">
        <v>214</v>
      </c>
      <c r="E1373" s="36" t="str" cm="1">
        <f t="array" ref="E1373">GetNumber(D1373,1)</f>
        <v>14</v>
      </c>
      <c r="F1373" s="36" t="str" cm="1">
        <f t="array" ref="F1373">GetNumber(D1373,2)</f>
        <v>6</v>
      </c>
      <c r="G1373" s="35">
        <v>11.1</v>
      </c>
      <c r="H1373" s="35">
        <v>6843</v>
      </c>
      <c r="I1373" s="35">
        <f>35.84*($T$2)</f>
        <v>71.680000000000007</v>
      </c>
      <c r="J1373" s="35">
        <f>397.8*($T$2)</f>
        <v>795.6</v>
      </c>
      <c r="K1373" s="35">
        <f t="shared" si="100"/>
        <v>7.5339366515837103</v>
      </c>
      <c r="L1373" s="35">
        <f t="shared" si="101"/>
        <v>7.5334821428571423</v>
      </c>
      <c r="M1373" s="35">
        <f>4.33*($T$2)</f>
        <v>8.66</v>
      </c>
      <c r="N1373" s="35">
        <f>38.9*(5280/3600)</f>
        <v>57.053333333333327</v>
      </c>
      <c r="O1373" s="35">
        <f t="shared" si="99"/>
        <v>1.0884866767219707</v>
      </c>
      <c r="P1373" s="35">
        <f t="shared" si="102"/>
        <v>65.243891402714937</v>
      </c>
      <c r="Q1373" s="35">
        <f>('Batt Capacity and Sys Weight'!$I$2) + (B1373*$T$2)</f>
        <v>40.433</v>
      </c>
      <c r="R1373" s="35">
        <f>'Batt Capacity and Sys Weight'!$H$2</f>
        <v>99.9</v>
      </c>
    </row>
    <row r="1374" spans="1:18" x14ac:dyDescent="0.3">
      <c r="A1374" s="35" t="s">
        <v>213</v>
      </c>
      <c r="B1374" s="35">
        <v>4.8</v>
      </c>
      <c r="C1374" s="35">
        <v>840</v>
      </c>
      <c r="D1374" s="35" t="s">
        <v>132</v>
      </c>
      <c r="E1374" s="36" t="str" cm="1">
        <f t="array" ref="E1374">GetNumber(D1374,1)</f>
        <v>11</v>
      </c>
      <c r="F1374" s="36" t="str" cm="1">
        <f t="array" ref="F1374">GetNumber(D1374,2)</f>
        <v>8</v>
      </c>
      <c r="G1374" s="35">
        <v>11.1</v>
      </c>
      <c r="H1374" s="35">
        <v>7580</v>
      </c>
      <c r="I1374" s="35">
        <f>27.42*($T$2)</f>
        <v>54.84</v>
      </c>
      <c r="J1374" s="35">
        <f>304.4*($T$2)</f>
        <v>608.79999999999995</v>
      </c>
      <c r="K1374" s="35">
        <f t="shared" si="100"/>
        <v>9.8455978975032874</v>
      </c>
      <c r="L1374" s="35">
        <f t="shared" si="101"/>
        <v>9.846827133479211</v>
      </c>
      <c r="M1374" s="35">
        <f>2.810625*($T$2)</f>
        <v>5.6212499999999999</v>
      </c>
      <c r="N1374" s="35">
        <f>57.4*(5280/3600)</f>
        <v>84.186666666666653</v>
      </c>
      <c r="O1374" s="35">
        <f t="shared" si="99"/>
        <v>0.92333278580814715</v>
      </c>
      <c r="P1374" s="35">
        <f t="shared" si="102"/>
        <v>55.344567181340352</v>
      </c>
      <c r="Q1374" s="35">
        <f>('Batt Capacity and Sys Weight'!$I$2) + (B1374*$T$2)</f>
        <v>40.433</v>
      </c>
      <c r="R1374" s="35">
        <f>'Batt Capacity and Sys Weight'!$H$2</f>
        <v>99.9</v>
      </c>
    </row>
    <row r="1375" spans="1:18" x14ac:dyDescent="0.3">
      <c r="A1375" s="35" t="s">
        <v>213</v>
      </c>
      <c r="B1375" s="35">
        <v>4.8</v>
      </c>
      <c r="C1375" s="35">
        <v>840</v>
      </c>
      <c r="D1375" s="35" t="s">
        <v>158</v>
      </c>
      <c r="E1375" s="36" t="str" cm="1">
        <f t="array" ref="E1375">GetNumber(D1375,1)</f>
        <v>12</v>
      </c>
      <c r="F1375" s="36" t="str" cm="1">
        <f t="array" ref="F1375">GetNumber(D1375,2)</f>
        <v>8</v>
      </c>
      <c r="G1375" s="35">
        <v>11.1</v>
      </c>
      <c r="H1375" s="35">
        <v>7151</v>
      </c>
      <c r="I1375" s="35">
        <f>32.73*($T$2)</f>
        <v>65.459999999999994</v>
      </c>
      <c r="J1375" s="35">
        <f>363.3*($T$2)</f>
        <v>726.6</v>
      </c>
      <c r="K1375" s="35">
        <f t="shared" si="100"/>
        <v>8.2493806771263429</v>
      </c>
      <c r="L1375" s="35">
        <f t="shared" si="101"/>
        <v>8.2493125572868937</v>
      </c>
      <c r="M1375" s="35">
        <f>3.3975*($T$2)</f>
        <v>6.7949999999999999</v>
      </c>
      <c r="N1375" s="35">
        <f>54.2*(5280/3600)</f>
        <v>79.493333333333325</v>
      </c>
      <c r="O1375" s="35">
        <f t="shared" si="99"/>
        <v>0.935177539223782</v>
      </c>
      <c r="P1375" s="35">
        <f t="shared" si="102"/>
        <v>56.054541701073497</v>
      </c>
      <c r="Q1375" s="35">
        <f>('Batt Capacity and Sys Weight'!$I$2) + (B1375*$T$2)</f>
        <v>40.433</v>
      </c>
      <c r="R1375" s="35">
        <f>'Batt Capacity and Sys Weight'!$H$2</f>
        <v>99.9</v>
      </c>
    </row>
    <row r="1376" spans="1:18" x14ac:dyDescent="0.3">
      <c r="A1376" s="35" t="s">
        <v>213</v>
      </c>
      <c r="B1376" s="35">
        <v>4.8</v>
      </c>
      <c r="C1376" s="35">
        <v>840</v>
      </c>
      <c r="D1376" s="35" t="s">
        <v>215</v>
      </c>
      <c r="E1376" s="36" t="str" cm="1">
        <f t="array" ref="E1376">GetNumber(D1376,1)</f>
        <v>13</v>
      </c>
      <c r="F1376" s="36" t="str" cm="1">
        <f t="array" ref="F1376">GetNumber(D1376,2)</f>
        <v>8</v>
      </c>
      <c r="G1376" s="35">
        <v>11.1</v>
      </c>
      <c r="H1376" s="35">
        <v>7086</v>
      </c>
      <c r="I1376" s="35">
        <f>33.39*($T$2)</f>
        <v>66.78</v>
      </c>
      <c r="J1376" s="35">
        <f>370.6*($T$2)</f>
        <v>741.2</v>
      </c>
      <c r="K1376" s="35">
        <f t="shared" si="100"/>
        <v>8.0868861305990283</v>
      </c>
      <c r="L1376" s="35">
        <f t="shared" si="101"/>
        <v>8.0862533692722369</v>
      </c>
      <c r="M1376" s="35">
        <f>4.014375*($T$2)</f>
        <v>8.0287500000000005</v>
      </c>
      <c r="N1376" s="35">
        <f>53.7*(5280/3600)</f>
        <v>78.760000000000005</v>
      </c>
      <c r="O1376" s="35">
        <f t="shared" si="99"/>
        <v>1.0832096600107932</v>
      </c>
      <c r="P1376" s="35">
        <f t="shared" si="102"/>
        <v>64.927587021046946</v>
      </c>
      <c r="Q1376" s="35">
        <f>('Batt Capacity and Sys Weight'!$I$2) + (B1376*$T$2)</f>
        <v>40.433</v>
      </c>
      <c r="R1376" s="35">
        <f>'Batt Capacity and Sys Weight'!$H$2</f>
        <v>99.9</v>
      </c>
    </row>
    <row r="1377" spans="1:18" x14ac:dyDescent="0.3">
      <c r="A1377" s="35" t="s">
        <v>213</v>
      </c>
      <c r="B1377" s="35">
        <v>4.8</v>
      </c>
      <c r="C1377" s="35">
        <v>840</v>
      </c>
      <c r="D1377" s="35" t="s">
        <v>80</v>
      </c>
      <c r="E1377" s="36" t="str" cm="1">
        <f t="array" ref="E1377">GetNumber(D1377,1)</f>
        <v>10</v>
      </c>
      <c r="F1377" s="36" t="str" cm="1">
        <f t="array" ref="F1377">GetNumber(D1377,2)</f>
        <v>7</v>
      </c>
      <c r="G1377" s="35">
        <v>11.1</v>
      </c>
      <c r="H1377" s="35">
        <v>7954</v>
      </c>
      <c r="I1377" s="35">
        <f>22.56*($T$2)</f>
        <v>45.12</v>
      </c>
      <c r="J1377" s="35">
        <f>250.4*($T$2)</f>
        <v>500.8</v>
      </c>
      <c r="K1377" s="35">
        <f t="shared" si="100"/>
        <v>11.968849840255592</v>
      </c>
      <c r="L1377" s="35">
        <f t="shared" si="101"/>
        <v>11.968085106382981</v>
      </c>
      <c r="M1377" s="35">
        <f>2.916875*($T$2)</f>
        <v>5.8337500000000002</v>
      </c>
      <c r="N1377" s="35">
        <f>52.7*(5280/3600)</f>
        <v>77.293333333333337</v>
      </c>
      <c r="O1377" s="35">
        <f t="shared" si="99"/>
        <v>1.164886182108626</v>
      </c>
      <c r="P1377" s="35">
        <f t="shared" si="102"/>
        <v>69.823277755591064</v>
      </c>
      <c r="Q1377" s="35">
        <f>('Batt Capacity and Sys Weight'!$I$2) + (B1377*$T$2)</f>
        <v>40.433</v>
      </c>
      <c r="R1377" s="35">
        <f>'Batt Capacity and Sys Weight'!$H$2</f>
        <v>99.9</v>
      </c>
    </row>
    <row r="1378" spans="1:18" x14ac:dyDescent="0.3">
      <c r="A1378" s="35" t="s">
        <v>213</v>
      </c>
      <c r="B1378" s="35">
        <v>4.8</v>
      </c>
      <c r="C1378" s="35">
        <v>840</v>
      </c>
      <c r="D1378" s="35" t="s">
        <v>81</v>
      </c>
      <c r="E1378" s="36" t="str" cm="1">
        <f t="array" ref="E1378">GetNumber(D1378,1)</f>
        <v>11</v>
      </c>
      <c r="F1378" s="36" t="str" cm="1">
        <f t="array" ref="F1378">GetNumber(D1378,2)</f>
        <v>7</v>
      </c>
      <c r="G1378" s="35">
        <v>11.1</v>
      </c>
      <c r="H1378" s="35">
        <v>7629</v>
      </c>
      <c r="I1378" s="35">
        <f>26.81*($T$2)</f>
        <v>53.62</v>
      </c>
      <c r="J1378" s="35">
        <f>297.6*($T$2)</f>
        <v>595.20000000000005</v>
      </c>
      <c r="K1378" s="35">
        <f t="shared" si="100"/>
        <v>10.070564516129032</v>
      </c>
      <c r="L1378" s="35">
        <f t="shared" si="101"/>
        <v>10.070869078701977</v>
      </c>
      <c r="M1378" s="35">
        <f>3.408125*($T$2)</f>
        <v>6.8162500000000001</v>
      </c>
      <c r="N1378" s="35">
        <f>50.6*(5280/3600)</f>
        <v>74.213333333333324</v>
      </c>
      <c r="O1378" s="35">
        <f t="shared" si="99"/>
        <v>1.1452032930107527</v>
      </c>
      <c r="P1378" s="35">
        <f t="shared" si="102"/>
        <v>68.643485383064515</v>
      </c>
      <c r="Q1378" s="35">
        <f>('Batt Capacity and Sys Weight'!$I$2) + (B1378*$T$2)</f>
        <v>40.433</v>
      </c>
      <c r="R1378" s="35">
        <f>'Batt Capacity and Sys Weight'!$H$2</f>
        <v>99.9</v>
      </c>
    </row>
    <row r="1379" spans="1:18" x14ac:dyDescent="0.3">
      <c r="A1379" s="35" t="s">
        <v>213</v>
      </c>
      <c r="B1379" s="35">
        <v>4.8</v>
      </c>
      <c r="C1379" s="35">
        <v>840</v>
      </c>
      <c r="D1379" s="35" t="s">
        <v>66</v>
      </c>
      <c r="E1379" s="36" t="str" cm="1">
        <f t="array" ref="E1379">GetNumber(D1379,1)</f>
        <v>11</v>
      </c>
      <c r="F1379" s="36" t="str" cm="1">
        <f t="array" ref="F1379">GetNumber(D1379,2)</f>
        <v>8</v>
      </c>
      <c r="G1379" s="35">
        <v>11.1</v>
      </c>
      <c r="H1379" s="35">
        <v>7463</v>
      </c>
      <c r="I1379" s="35">
        <f>28.76*($T$2)</f>
        <v>57.52</v>
      </c>
      <c r="J1379" s="35">
        <f>319.3*($T$2)</f>
        <v>638.6</v>
      </c>
      <c r="K1379" s="35">
        <f t="shared" si="100"/>
        <v>9.3861572189163791</v>
      </c>
      <c r="L1379" s="35">
        <f t="shared" si="101"/>
        <v>9.3880389429763547</v>
      </c>
      <c r="M1379" s="35">
        <f>3.483125*($T$2)</f>
        <v>6.9662499999999996</v>
      </c>
      <c r="N1379" s="35">
        <f>56.5*(5280/3600)</f>
        <v>82.86666666666666</v>
      </c>
      <c r="O1379" s="35">
        <f t="shared" si="99"/>
        <v>1.0908628249295333</v>
      </c>
      <c r="P1379" s="35">
        <f t="shared" si="102"/>
        <v>65.386317726276218</v>
      </c>
      <c r="Q1379" s="35">
        <f>('Batt Capacity and Sys Weight'!$I$2) + (B1379*$T$2)</f>
        <v>40.433</v>
      </c>
      <c r="R1379" s="35">
        <f>'Batt Capacity and Sys Weight'!$H$2</f>
        <v>99.9</v>
      </c>
    </row>
    <row r="1380" spans="1:18" x14ac:dyDescent="0.3">
      <c r="A1380" s="35" t="s">
        <v>213</v>
      </c>
      <c r="B1380" s="35">
        <v>4.8</v>
      </c>
      <c r="C1380" s="35">
        <v>840</v>
      </c>
      <c r="D1380" s="35" t="s">
        <v>53</v>
      </c>
      <c r="E1380" s="36" t="str" cm="1">
        <f t="array" ref="E1380">GetNumber(D1380,1)</f>
        <v>12</v>
      </c>
      <c r="F1380" s="36" t="str" cm="1">
        <f t="array" ref="F1380">GetNumber(D1380,2)</f>
        <v>6</v>
      </c>
      <c r="G1380" s="35">
        <v>11.1</v>
      </c>
      <c r="H1380" s="35">
        <v>7396</v>
      </c>
      <c r="I1380" s="35">
        <f>29.48*($T$2)</f>
        <v>58.96</v>
      </c>
      <c r="J1380" s="35">
        <f>327.2*($T$2)</f>
        <v>654.4</v>
      </c>
      <c r="K1380" s="35">
        <f t="shared" si="100"/>
        <v>9.1595354523227392</v>
      </c>
      <c r="L1380" s="35">
        <f t="shared" si="101"/>
        <v>9.1587516960651296</v>
      </c>
      <c r="M1380" s="35">
        <f>3.794375*($T$2)</f>
        <v>7.5887500000000001</v>
      </c>
      <c r="N1380" s="35">
        <f>42*(5280/3600)</f>
        <v>61.599999999999994</v>
      </c>
      <c r="O1380" s="35">
        <f t="shared" si="99"/>
        <v>1.1596500611246945</v>
      </c>
      <c r="P1380" s="35">
        <f t="shared" si="102"/>
        <v>69.509424663814187</v>
      </c>
      <c r="Q1380" s="35">
        <f>('Batt Capacity and Sys Weight'!$I$2) + (B1380*$T$2)</f>
        <v>40.433</v>
      </c>
      <c r="R1380" s="35">
        <f>'Batt Capacity and Sys Weight'!$H$2</f>
        <v>99.9</v>
      </c>
    </row>
    <row r="1381" spans="1:18" x14ac:dyDescent="0.3">
      <c r="A1381" s="35" t="s">
        <v>213</v>
      </c>
      <c r="B1381" s="35">
        <v>4.8</v>
      </c>
      <c r="C1381" s="35">
        <v>840</v>
      </c>
      <c r="D1381" s="35" t="s">
        <v>104</v>
      </c>
      <c r="E1381" s="36" t="str" cm="1">
        <f t="array" ref="E1381">GetNumber(D1381,1)</f>
        <v>9</v>
      </c>
      <c r="F1381" s="36" cm="1">
        <f t="array" ref="F1381">GetNumber(D1381,2)+(GetNumber(D1381,3)/10)</f>
        <v>7.5</v>
      </c>
      <c r="G1381" s="35">
        <v>14.8</v>
      </c>
      <c r="H1381" s="35">
        <v>10175</v>
      </c>
      <c r="I1381" s="35">
        <f>31.18*($T$2)</f>
        <v>62.36</v>
      </c>
      <c r="J1381" s="35">
        <f>461.5*($T$2)</f>
        <v>923</v>
      </c>
      <c r="K1381" s="35">
        <f t="shared" si="100"/>
        <v>6.3497291440953418</v>
      </c>
      <c r="L1381" s="35">
        <f t="shared" si="101"/>
        <v>6.3502245028864666</v>
      </c>
      <c r="M1381" s="35">
        <f>3.029375*($T$2)</f>
        <v>6.0587499999999999</v>
      </c>
      <c r="N1381" s="35">
        <f>72.3*(5280/3600)</f>
        <v>106.03999999999999</v>
      </c>
      <c r="O1381" s="35">
        <f t="shared" si="99"/>
        <v>0.65641928494041168</v>
      </c>
      <c r="P1381" s="35">
        <f t="shared" si="102"/>
        <v>38.471421451787648</v>
      </c>
      <c r="Q1381" s="35">
        <f>('Batt Capacity and Sys Weight'!$I$3) + (B1381*$T$2)</f>
        <v>35.988475000000001</v>
      </c>
      <c r="R1381" s="35">
        <f>'Batt Capacity and Sys Weight'!$H$3</f>
        <v>97.68</v>
      </c>
    </row>
    <row r="1382" spans="1:18" x14ac:dyDescent="0.3">
      <c r="A1382" s="35" t="s">
        <v>213</v>
      </c>
      <c r="B1382" s="35">
        <v>4.8</v>
      </c>
      <c r="C1382" s="35">
        <v>840</v>
      </c>
      <c r="D1382" s="35" t="s">
        <v>210</v>
      </c>
      <c r="E1382" s="36" t="str" cm="1">
        <f t="array" ref="E1382">GetNumber(D1382,1)</f>
        <v>9</v>
      </c>
      <c r="F1382" s="36" t="str" cm="1">
        <f t="array" ref="F1382">GetNumber(D1382,2)</f>
        <v>8</v>
      </c>
      <c r="G1382" s="35">
        <v>14.8</v>
      </c>
      <c r="H1382" s="35">
        <v>10225</v>
      </c>
      <c r="I1382" s="35">
        <f>31.16*($T$2)</f>
        <v>62.32</v>
      </c>
      <c r="J1382" s="35">
        <f>461.2*($T$2)</f>
        <v>922.4</v>
      </c>
      <c r="K1382" s="35">
        <f t="shared" si="100"/>
        <v>6.3538594969644411</v>
      </c>
      <c r="L1382" s="35">
        <f t="shared" si="101"/>
        <v>6.3543003851091147</v>
      </c>
      <c r="M1382" s="35">
        <f>4.031875*($T$2)</f>
        <v>8.0637500000000006</v>
      </c>
      <c r="N1382" s="35">
        <f>77.5*(5280/3600)</f>
        <v>113.66666666666666</v>
      </c>
      <c r="O1382" s="35">
        <f t="shared" si="99"/>
        <v>0.87421400693842166</v>
      </c>
      <c r="P1382" s="35">
        <f t="shared" si="102"/>
        <v>51.235934518647014</v>
      </c>
      <c r="Q1382" s="35">
        <f>('Batt Capacity and Sys Weight'!$I$3) + (B1382*$T$2)</f>
        <v>35.988475000000001</v>
      </c>
      <c r="R1382" s="35">
        <f>'Batt Capacity and Sys Weight'!$H$3</f>
        <v>97.68</v>
      </c>
    </row>
    <row r="1383" spans="1:18" x14ac:dyDescent="0.3">
      <c r="A1383" s="35" t="s">
        <v>213</v>
      </c>
      <c r="B1383" s="35">
        <v>4.8</v>
      </c>
      <c r="C1383" s="35">
        <v>840</v>
      </c>
      <c r="D1383" s="35" t="s">
        <v>103</v>
      </c>
      <c r="E1383" s="36" t="str" cm="1">
        <f t="array" ref="E1383">GetNumber(D1383,1)</f>
        <v>9</v>
      </c>
      <c r="F1383" s="36" t="str" cm="1">
        <f t="array" ref="F1383">GetNumber(D1383,2)</f>
        <v>9</v>
      </c>
      <c r="G1383" s="35">
        <v>14.8</v>
      </c>
      <c r="H1383" s="35">
        <v>9918</v>
      </c>
      <c r="I1383" s="35">
        <f>34.38*($T$2)</f>
        <v>68.760000000000005</v>
      </c>
      <c r="J1383" s="35">
        <f>508.8*($T$2)</f>
        <v>1017.6</v>
      </c>
      <c r="K1383" s="35">
        <f t="shared" si="100"/>
        <v>5.7594339622641515</v>
      </c>
      <c r="L1383" s="35">
        <f t="shared" si="101"/>
        <v>5.7591623036649215</v>
      </c>
      <c r="M1383" s="35">
        <f>2.978125*($T$2)</f>
        <v>5.9562499999999998</v>
      </c>
      <c r="N1383" s="35">
        <f>84.5*(5280/3600)</f>
        <v>123.93333333333332</v>
      </c>
      <c r="O1383" s="35">
        <f t="shared" si="99"/>
        <v>0.58532330974842761</v>
      </c>
      <c r="P1383" s="35">
        <f t="shared" si="102"/>
        <v>34.304628537735852</v>
      </c>
      <c r="Q1383" s="35">
        <f>('Batt Capacity and Sys Weight'!$I$3) + (B1383*$T$2)</f>
        <v>35.988475000000001</v>
      </c>
      <c r="R1383" s="35">
        <f>'Batt Capacity and Sys Weight'!$H$3</f>
        <v>97.68</v>
      </c>
    </row>
    <row r="1384" spans="1:18" x14ac:dyDescent="0.3">
      <c r="A1384" s="35" t="s">
        <v>213</v>
      </c>
      <c r="B1384" s="35">
        <v>4.8</v>
      </c>
      <c r="C1384" s="35">
        <v>840</v>
      </c>
      <c r="D1384" s="35" t="s">
        <v>99</v>
      </c>
      <c r="E1384" s="36" t="str" cm="1">
        <f t="array" ref="E1384">GetNumber(D1384,1)</f>
        <v>10</v>
      </c>
      <c r="F1384" s="36" t="str" cm="1">
        <f t="array" ref="F1384">GetNumber(D1384,2)</f>
        <v>5</v>
      </c>
      <c r="G1384" s="35">
        <v>14.8</v>
      </c>
      <c r="H1384" s="35">
        <v>10768</v>
      </c>
      <c r="I1384" s="35">
        <f>24.39*($T$2)</f>
        <v>48.78</v>
      </c>
      <c r="J1384" s="35">
        <f>361*($T$2)</f>
        <v>722</v>
      </c>
      <c r="K1384" s="35">
        <f t="shared" si="100"/>
        <v>8.1174515235457054</v>
      </c>
      <c r="L1384" s="35">
        <f t="shared" si="101"/>
        <v>8.1180811808118083</v>
      </c>
      <c r="M1384" s="35">
        <f>3.675*($T$2)</f>
        <v>7.35</v>
      </c>
      <c r="N1384" s="35">
        <f>51*(5280/3600)</f>
        <v>74.8</v>
      </c>
      <c r="O1384" s="35">
        <f t="shared" si="99"/>
        <v>1.0180055401662049</v>
      </c>
      <c r="P1384" s="35">
        <f t="shared" si="102"/>
        <v>59.663268698060932</v>
      </c>
      <c r="Q1384" s="35">
        <f>('Batt Capacity and Sys Weight'!$I$3) + (B1384*$T$2)</f>
        <v>35.988475000000001</v>
      </c>
      <c r="R1384" s="35">
        <f>'Batt Capacity and Sys Weight'!$H$3</f>
        <v>97.68</v>
      </c>
    </row>
    <row r="1385" spans="1:18" x14ac:dyDescent="0.3">
      <c r="A1385" s="35" t="s">
        <v>213</v>
      </c>
      <c r="B1385" s="35">
        <v>4.8</v>
      </c>
      <c r="C1385" s="35">
        <v>840</v>
      </c>
      <c r="D1385" s="35" t="s">
        <v>67</v>
      </c>
      <c r="E1385" s="36" t="str" cm="1">
        <f t="array" ref="E1385">GetNumber(D1385,1)</f>
        <v>10</v>
      </c>
      <c r="F1385" s="36" t="str" cm="1">
        <f t="array" ref="F1385">GetNumber(D1385,2)</f>
        <v>6</v>
      </c>
      <c r="G1385" s="35">
        <v>14.8</v>
      </c>
      <c r="H1385" s="35">
        <v>10548</v>
      </c>
      <c r="I1385" s="35">
        <f>27.11*($T$2)</f>
        <v>54.22</v>
      </c>
      <c r="J1385" s="35">
        <f>401.3*($T$2)</f>
        <v>802.6</v>
      </c>
      <c r="K1385" s="35">
        <f t="shared" si="100"/>
        <v>7.3022676302018441</v>
      </c>
      <c r="L1385" s="35">
        <f t="shared" si="101"/>
        <v>7.3035780154924383</v>
      </c>
      <c r="M1385" s="35">
        <f>3.829375*($T$2)</f>
        <v>7.6587500000000004</v>
      </c>
      <c r="N1385" s="35">
        <f>59.9*(5280/3600)</f>
        <v>87.853333333333325</v>
      </c>
      <c r="O1385" s="35">
        <f t="shared" si="99"/>
        <v>0.95424246199850482</v>
      </c>
      <c r="P1385" s="35">
        <f t="shared" si="102"/>
        <v>55.926242212808376</v>
      </c>
      <c r="Q1385" s="35">
        <f>('Batt Capacity and Sys Weight'!$I$3) + (B1385*$T$2)</f>
        <v>35.988475000000001</v>
      </c>
      <c r="R1385" s="35">
        <f>'Batt Capacity and Sys Weight'!$H$3</f>
        <v>97.68</v>
      </c>
    </row>
    <row r="1386" spans="1:18" x14ac:dyDescent="0.3">
      <c r="A1386" s="35" t="s">
        <v>213</v>
      </c>
      <c r="B1386" s="35">
        <v>4.8</v>
      </c>
      <c r="C1386" s="35">
        <v>840</v>
      </c>
      <c r="D1386" s="35" t="s">
        <v>68</v>
      </c>
      <c r="E1386" s="36" t="str" cm="1">
        <f t="array" ref="E1386">GetNumber(D1386,1)</f>
        <v>10</v>
      </c>
      <c r="F1386" s="36" t="str" cm="1">
        <f t="array" ref="F1386">GetNumber(D1386,2)</f>
        <v>7</v>
      </c>
      <c r="G1386" s="35">
        <v>14.8</v>
      </c>
      <c r="H1386" s="35">
        <v>10146</v>
      </c>
      <c r="I1386" s="35">
        <f>31.79*($T$2)</f>
        <v>63.58</v>
      </c>
      <c r="J1386" s="35">
        <f>470.5*($T$2)</f>
        <v>941</v>
      </c>
      <c r="K1386" s="35">
        <f t="shared" si="100"/>
        <v>6.2282678002125396</v>
      </c>
      <c r="L1386" s="35">
        <f t="shared" si="101"/>
        <v>6.2283737024221457</v>
      </c>
      <c r="M1386" s="35">
        <f>3.9*($T$2)</f>
        <v>7.8</v>
      </c>
      <c r="N1386" s="35">
        <f>67.3*(5280/3600)</f>
        <v>98.706666666666649</v>
      </c>
      <c r="O1386" s="35">
        <f t="shared" si="99"/>
        <v>0.82890541976620613</v>
      </c>
      <c r="P1386" s="35">
        <f t="shared" si="102"/>
        <v>48.580488841657811</v>
      </c>
      <c r="Q1386" s="35">
        <f>('Batt Capacity and Sys Weight'!$I$3) + (B1386*$T$2)</f>
        <v>35.988475000000001</v>
      </c>
      <c r="R1386" s="35">
        <f>'Batt Capacity and Sys Weight'!$H$3</f>
        <v>97.68</v>
      </c>
    </row>
    <row r="1387" spans="1:18" x14ac:dyDescent="0.3">
      <c r="A1387" s="35" t="s">
        <v>213</v>
      </c>
      <c r="B1387" s="35">
        <v>4.8</v>
      </c>
      <c r="C1387" s="35">
        <v>840</v>
      </c>
      <c r="D1387" s="35" t="s">
        <v>69</v>
      </c>
      <c r="E1387" s="36" t="str" cm="1">
        <f t="array" ref="E1387">GetNumber(D1387,1)</f>
        <v>10</v>
      </c>
      <c r="F1387" s="36" t="str" cm="1">
        <f t="array" ref="F1387">GetNumber(D1387,2)</f>
        <v>8</v>
      </c>
      <c r="G1387" s="35">
        <v>14.8</v>
      </c>
      <c r="H1387" s="35">
        <v>9883</v>
      </c>
      <c r="I1387" s="35">
        <f>34.73*($T$2)</f>
        <v>69.459999999999994</v>
      </c>
      <c r="J1387" s="35">
        <f>514*($T$2)</f>
        <v>1028</v>
      </c>
      <c r="K1387" s="35">
        <f t="shared" si="100"/>
        <v>5.7011673151750983</v>
      </c>
      <c r="L1387" s="35">
        <f t="shared" si="101"/>
        <v>5.7011229484595454</v>
      </c>
      <c r="M1387" s="35">
        <f>3.840625*($T$2)</f>
        <v>7.6812500000000004</v>
      </c>
      <c r="N1387" s="35">
        <f>74.9*(5280/3600)</f>
        <v>109.85333333333334</v>
      </c>
      <c r="O1387" s="35">
        <f t="shared" si="99"/>
        <v>0.74720330739299612</v>
      </c>
      <c r="P1387" s="35">
        <f t="shared" si="102"/>
        <v>43.792091439688726</v>
      </c>
      <c r="Q1387" s="35">
        <f>('Batt Capacity and Sys Weight'!$I$3) + (B1387*$T$2)</f>
        <v>35.988475000000001</v>
      </c>
      <c r="R1387" s="35">
        <f>'Batt Capacity and Sys Weight'!$H$3</f>
        <v>97.68</v>
      </c>
    </row>
    <row r="1388" spans="1:18" x14ac:dyDescent="0.3">
      <c r="A1388" s="35" t="s">
        <v>213</v>
      </c>
      <c r="B1388" s="35">
        <v>4.8</v>
      </c>
      <c r="C1388" s="35">
        <v>840</v>
      </c>
      <c r="D1388" s="35" t="s">
        <v>70</v>
      </c>
      <c r="E1388" s="36" t="str" cm="1">
        <f t="array" ref="E1388">GetNumber(D1388,1)</f>
        <v>11</v>
      </c>
      <c r="F1388" s="36" cm="1">
        <f t="array" ref="F1388">GetNumber(D1388,2)+(GetNumber(D1388,3)/10)</f>
        <v>5.5</v>
      </c>
      <c r="G1388" s="35">
        <v>14.8</v>
      </c>
      <c r="H1388" s="35">
        <v>9965</v>
      </c>
      <c r="I1388" s="35">
        <f>33.84*($T$2)</f>
        <v>67.680000000000007</v>
      </c>
      <c r="J1388" s="35">
        <f>500.8*($T$2)</f>
        <v>1001.6</v>
      </c>
      <c r="K1388" s="35">
        <f t="shared" si="100"/>
        <v>5.8514376996805115</v>
      </c>
      <c r="L1388" s="35">
        <f t="shared" si="101"/>
        <v>5.8510638297872344</v>
      </c>
      <c r="M1388" s="35">
        <f>4.863125*($T$2)</f>
        <v>9.7262500000000003</v>
      </c>
      <c r="N1388" s="35">
        <f>51.9*(5280/3600)</f>
        <v>76.11999999999999</v>
      </c>
      <c r="O1388" s="35">
        <f t="shared" si="99"/>
        <v>0.97107128594249204</v>
      </c>
      <c r="P1388" s="35">
        <f t="shared" si="102"/>
        <v>56.912545926517573</v>
      </c>
      <c r="Q1388" s="35">
        <f>('Batt Capacity and Sys Weight'!$I$3) + (B1388*$T$2)</f>
        <v>35.988475000000001</v>
      </c>
      <c r="R1388" s="35">
        <f>'Batt Capacity and Sys Weight'!$H$3</f>
        <v>97.68</v>
      </c>
    </row>
    <row r="1389" spans="1:18" x14ac:dyDescent="0.3">
      <c r="A1389" s="35" t="s">
        <v>213</v>
      </c>
      <c r="B1389" s="35">
        <v>4.8</v>
      </c>
      <c r="C1389" s="35">
        <v>840</v>
      </c>
      <c r="D1389" s="35" t="s">
        <v>132</v>
      </c>
      <c r="E1389" s="36" t="str" cm="1">
        <f t="array" ref="E1389">GetNumber(D1389,1)</f>
        <v>11</v>
      </c>
      <c r="F1389" s="36" t="str" cm="1">
        <f t="array" ref="F1389">GetNumber(D1389,2)</f>
        <v>8</v>
      </c>
      <c r="G1389" s="35">
        <v>14.8</v>
      </c>
      <c r="H1389" s="35">
        <v>9808</v>
      </c>
      <c r="I1389" s="35">
        <f>35.28*($T$2)</f>
        <v>70.56</v>
      </c>
      <c r="J1389" s="35">
        <f>522.1*($T$2)</f>
        <v>1044.2</v>
      </c>
      <c r="K1389" s="35">
        <f t="shared" si="100"/>
        <v>5.6127178701398197</v>
      </c>
      <c r="L1389" s="35">
        <f t="shared" si="101"/>
        <v>5.6122448979591839</v>
      </c>
      <c r="M1389" s="35">
        <f>4.666875*($T$2)</f>
        <v>9.3337500000000002</v>
      </c>
      <c r="N1389" s="35">
        <f>74.3*(5280/3600)</f>
        <v>108.97333333333331</v>
      </c>
      <c r="O1389" s="35">
        <f t="shared" si="99"/>
        <v>0.89386611760199197</v>
      </c>
      <c r="P1389" s="35">
        <f t="shared" si="102"/>
        <v>52.387705420417547</v>
      </c>
      <c r="Q1389" s="35">
        <f>('Batt Capacity and Sys Weight'!$I$3) + (B1389*$T$2)</f>
        <v>35.988475000000001</v>
      </c>
      <c r="R1389" s="35">
        <f>'Batt Capacity and Sys Weight'!$H$3</f>
        <v>97.68</v>
      </c>
    </row>
    <row r="1390" spans="1:18" x14ac:dyDescent="0.3">
      <c r="A1390" s="35" t="s">
        <v>213</v>
      </c>
      <c r="B1390" s="35">
        <v>4.8</v>
      </c>
      <c r="C1390" s="35">
        <v>840</v>
      </c>
      <c r="D1390" s="35" t="s">
        <v>134</v>
      </c>
      <c r="E1390" s="36" t="str" cm="1">
        <f t="array" ref="E1390">GetNumber(D1390,1)</f>
        <v>10</v>
      </c>
      <c r="F1390" s="36" t="str" cm="1">
        <f t="array" ref="F1390">GetNumber(D1390,2)</f>
        <v>6</v>
      </c>
      <c r="G1390" s="35">
        <v>14.8</v>
      </c>
      <c r="H1390" s="35">
        <v>10391</v>
      </c>
      <c r="I1390" s="35">
        <f>28.77*($T$2)</f>
        <v>57.54</v>
      </c>
      <c r="J1390" s="35">
        <f>425.8*($T$2)</f>
        <v>851.6</v>
      </c>
      <c r="K1390" s="35">
        <f t="shared" si="100"/>
        <v>6.8821042743071867</v>
      </c>
      <c r="L1390" s="35">
        <f t="shared" si="101"/>
        <v>6.8821689259645469</v>
      </c>
      <c r="M1390" s="35">
        <f>3.19875*($T$2)</f>
        <v>6.3975</v>
      </c>
      <c r="N1390" s="35">
        <f>59*(5280/3600)</f>
        <v>86.533333333333331</v>
      </c>
      <c r="O1390" s="35">
        <f t="shared" si="99"/>
        <v>0.75123297322686711</v>
      </c>
      <c r="P1390" s="35">
        <f t="shared" si="102"/>
        <v>44.028262094880226</v>
      </c>
      <c r="Q1390" s="35">
        <f>('Batt Capacity and Sys Weight'!$I$3) + (B1390*$T$2)</f>
        <v>35.988475000000001</v>
      </c>
      <c r="R1390" s="35">
        <f>'Batt Capacity and Sys Weight'!$H$3</f>
        <v>97.68</v>
      </c>
    </row>
    <row r="1391" spans="1:18" x14ac:dyDescent="0.3">
      <c r="A1391" s="35" t="s">
        <v>213</v>
      </c>
      <c r="B1391" s="35">
        <v>4.8</v>
      </c>
      <c r="C1391" s="35">
        <v>840</v>
      </c>
      <c r="D1391" s="35" t="s">
        <v>135</v>
      </c>
      <c r="E1391" s="36" t="str" cm="1">
        <f t="array" ref="E1391">GetNumber(D1391,1)</f>
        <v>10</v>
      </c>
      <c r="F1391" s="36" t="str" cm="1">
        <f t="array" ref="F1391">GetNumber(D1391,2)</f>
        <v>7</v>
      </c>
      <c r="G1391" s="35">
        <v>14.8</v>
      </c>
      <c r="H1391" s="35">
        <v>10205</v>
      </c>
      <c r="I1391" s="35">
        <f>30.97*($T$2)</f>
        <v>61.94</v>
      </c>
      <c r="J1391" s="35">
        <f>458.4*($T$2)</f>
        <v>916.8</v>
      </c>
      <c r="K1391" s="35">
        <f t="shared" si="100"/>
        <v>6.3926701570680633</v>
      </c>
      <c r="L1391" s="35">
        <f t="shared" si="101"/>
        <v>6.3932838230545697</v>
      </c>
      <c r="M1391" s="35">
        <f>3.04875*($T$2)</f>
        <v>6.0975000000000001</v>
      </c>
      <c r="N1391" s="35">
        <f>67.6*(5280/3600)</f>
        <v>99.146666666666647</v>
      </c>
      <c r="O1391" s="35">
        <f t="shared" si="99"/>
        <v>0.66508507853403143</v>
      </c>
      <c r="P1391" s="35">
        <f t="shared" si="102"/>
        <v>38.979306282722519</v>
      </c>
      <c r="Q1391" s="35">
        <f>('Batt Capacity and Sys Weight'!$I$3) + (B1391*$T$2)</f>
        <v>35.988475000000001</v>
      </c>
      <c r="R1391" s="35">
        <f>'Batt Capacity and Sys Weight'!$H$3</f>
        <v>97.68</v>
      </c>
    </row>
    <row r="1392" spans="1:18" x14ac:dyDescent="0.3">
      <c r="A1392" s="35" t="s">
        <v>213</v>
      </c>
      <c r="B1392" s="35">
        <v>4.8</v>
      </c>
      <c r="C1392" s="35">
        <v>840</v>
      </c>
      <c r="D1392" s="35" t="s">
        <v>136</v>
      </c>
      <c r="E1392" s="36" t="str" cm="1">
        <f t="array" ref="E1392">GetNumber(D1392,1)</f>
        <v>10</v>
      </c>
      <c r="F1392" s="36" t="str" cm="1">
        <f t="array" ref="F1392">GetNumber(D1392,2)</f>
        <v>8</v>
      </c>
      <c r="G1392" s="35">
        <v>14.8</v>
      </c>
      <c r="H1392" s="35">
        <v>9930</v>
      </c>
      <c r="I1392" s="35">
        <f>34.21*($T$2)</f>
        <v>68.42</v>
      </c>
      <c r="J1392" s="35">
        <f>506.3*($T$2)</f>
        <v>1012.6</v>
      </c>
      <c r="K1392" s="35">
        <f t="shared" si="100"/>
        <v>5.7878728026861541</v>
      </c>
      <c r="L1392" s="35">
        <f t="shared" si="101"/>
        <v>5.7877813504823159</v>
      </c>
      <c r="M1392" s="35">
        <f>3.324375*($T$2)</f>
        <v>6.6487499999999997</v>
      </c>
      <c r="N1392" s="35">
        <f>75.2*(5280/3600)</f>
        <v>110.29333333333334</v>
      </c>
      <c r="O1392" s="35">
        <f t="shared" si="99"/>
        <v>0.6566018171044834</v>
      </c>
      <c r="P1392" s="35">
        <f t="shared" si="102"/>
        <v>38.482119296859565</v>
      </c>
      <c r="Q1392" s="35">
        <f>('Batt Capacity and Sys Weight'!$I$3) + (B1392*$T$2)</f>
        <v>35.988475000000001</v>
      </c>
      <c r="R1392" s="35">
        <f>'Batt Capacity and Sys Weight'!$H$3</f>
        <v>97.68</v>
      </c>
    </row>
    <row r="1393" spans="1:18" x14ac:dyDescent="0.3">
      <c r="A1393" s="35" t="s">
        <v>213</v>
      </c>
      <c r="B1393" s="35">
        <v>4.8</v>
      </c>
      <c r="C1393" s="35">
        <v>840</v>
      </c>
      <c r="D1393" s="35" t="s">
        <v>137</v>
      </c>
      <c r="E1393" s="36" t="str" cm="1">
        <f t="array" ref="E1393">GetNumber(D1393,1)</f>
        <v>11</v>
      </c>
      <c r="F1393" s="36" t="str" cm="1">
        <f t="array" ref="F1393">GetNumber(D1393,2)</f>
        <v>5</v>
      </c>
      <c r="G1393" s="35">
        <v>14.8</v>
      </c>
      <c r="H1393" s="35">
        <v>10446</v>
      </c>
      <c r="I1393" s="35">
        <f>28.19*($T$2)</f>
        <v>56.38</v>
      </c>
      <c r="J1393" s="35">
        <f>417.2*($T$2)</f>
        <v>834.4</v>
      </c>
      <c r="K1393" s="35">
        <f t="shared" si="100"/>
        <v>7.0239693192713331</v>
      </c>
      <c r="L1393" s="35">
        <f t="shared" si="101"/>
        <v>7.0237672933664426</v>
      </c>
      <c r="M1393" s="35">
        <f>4.074375*($T$2)</f>
        <v>8.1487499999999997</v>
      </c>
      <c r="N1393" s="35">
        <f>49.5*(5280/3600)</f>
        <v>72.599999999999994</v>
      </c>
      <c r="O1393" s="35">
        <f t="shared" si="99"/>
        <v>0.97659995206136141</v>
      </c>
      <c r="P1393" s="35">
        <f t="shared" si="102"/>
        <v>57.236569990412271</v>
      </c>
      <c r="Q1393" s="35">
        <f>('Batt Capacity and Sys Weight'!$I$3) + (B1393*$T$2)</f>
        <v>35.988475000000001</v>
      </c>
      <c r="R1393" s="35">
        <f>'Batt Capacity and Sys Weight'!$H$3</f>
        <v>97.68</v>
      </c>
    </row>
    <row r="1394" spans="1:18" x14ac:dyDescent="0.3">
      <c r="A1394" s="35" t="s">
        <v>213</v>
      </c>
      <c r="B1394" s="35">
        <v>4.8</v>
      </c>
      <c r="C1394" s="35">
        <v>840</v>
      </c>
      <c r="D1394" s="35" t="s">
        <v>138</v>
      </c>
      <c r="E1394" s="36" t="str" cm="1">
        <f t="array" ref="E1394">GetNumber(D1394,1)</f>
        <v>11</v>
      </c>
      <c r="F1394" s="36" t="str" cm="1">
        <f t="array" ref="F1394">GetNumber(D1394,2)</f>
        <v>6</v>
      </c>
      <c r="G1394" s="35">
        <v>14.8</v>
      </c>
      <c r="H1394" s="35">
        <v>10081</v>
      </c>
      <c r="I1394" s="35">
        <f>32.45*($T$2)</f>
        <v>64.900000000000006</v>
      </c>
      <c r="J1394" s="35">
        <f>480.2*($T$2)</f>
        <v>960.4</v>
      </c>
      <c r="K1394" s="35">
        <f t="shared" si="100"/>
        <v>6.1024573094543948</v>
      </c>
      <c r="L1394" s="35">
        <f t="shared" si="101"/>
        <v>6.101694915254237</v>
      </c>
      <c r="M1394" s="35">
        <f>4.539375*($T$2)</f>
        <v>9.0787499999999994</v>
      </c>
      <c r="N1394" s="35">
        <f>57.3*(5280/3600)</f>
        <v>84.039999999999992</v>
      </c>
      <c r="O1394" s="35">
        <f t="shared" si="99"/>
        <v>0.9453092461474385</v>
      </c>
      <c r="P1394" s="35">
        <f t="shared" si="102"/>
        <v>55.402684298209081</v>
      </c>
      <c r="Q1394" s="35">
        <f>('Batt Capacity and Sys Weight'!$I$3) + (B1394*$T$2)</f>
        <v>35.988475000000001</v>
      </c>
      <c r="R1394" s="35">
        <f>'Batt Capacity and Sys Weight'!$H$3</f>
        <v>97.68</v>
      </c>
    </row>
    <row r="1395" spans="1:18" x14ac:dyDescent="0.3">
      <c r="A1395" s="35" t="s">
        <v>213</v>
      </c>
      <c r="B1395" s="35">
        <v>4.8</v>
      </c>
      <c r="C1395" s="35">
        <v>840</v>
      </c>
      <c r="D1395" s="35" t="s">
        <v>139</v>
      </c>
      <c r="E1395" s="36" t="str" cm="1">
        <f t="array" ref="E1395">GetNumber(D1395,1)</f>
        <v>11</v>
      </c>
      <c r="F1395" s="36" t="str" cm="1">
        <f t="array" ref="F1395">GetNumber(D1395,2)</f>
        <v>7</v>
      </c>
      <c r="G1395" s="35">
        <v>14.8</v>
      </c>
      <c r="H1395" s="35">
        <v>10053</v>
      </c>
      <c r="I1395" s="35">
        <f>32.75*($T$2)</f>
        <v>65.5</v>
      </c>
      <c r="J1395" s="35">
        <f>484.6*($T$2)</f>
        <v>969.2</v>
      </c>
      <c r="K1395" s="35">
        <f t="shared" si="100"/>
        <v>6.0470491126702433</v>
      </c>
      <c r="L1395" s="35">
        <f t="shared" si="101"/>
        <v>6.0458015267175576</v>
      </c>
      <c r="M1395" s="35">
        <f>4.4575*($T$2)</f>
        <v>8.9149999999999991</v>
      </c>
      <c r="N1395" s="35">
        <f>66.6*(5280/3600)</f>
        <v>97.679999999999978</v>
      </c>
      <c r="O1395" s="35">
        <f t="shared" si="99"/>
        <v>0.91983078827899289</v>
      </c>
      <c r="P1395" s="35">
        <f t="shared" si="102"/>
        <v>53.909442839455217</v>
      </c>
      <c r="Q1395" s="35">
        <f>('Batt Capacity and Sys Weight'!$I$3) + (B1395*$T$2)</f>
        <v>35.988475000000001</v>
      </c>
      <c r="R1395" s="35">
        <f>'Batt Capacity and Sys Weight'!$H$3</f>
        <v>97.68</v>
      </c>
    </row>
    <row r="1396" spans="1:18" x14ac:dyDescent="0.3">
      <c r="A1396" s="35" t="s">
        <v>213</v>
      </c>
      <c r="B1396" s="35">
        <v>4.8</v>
      </c>
      <c r="C1396" s="35">
        <v>840</v>
      </c>
      <c r="D1396" s="35" t="s">
        <v>131</v>
      </c>
      <c r="E1396" s="36" t="str" cm="1">
        <f t="array" ref="E1396">GetNumber(D1396,1)</f>
        <v>10</v>
      </c>
      <c r="F1396" s="36" t="str" cm="1">
        <f t="array" ref="F1396">GetNumber(D1396,2)</f>
        <v>6</v>
      </c>
      <c r="G1396" s="35">
        <v>14.8</v>
      </c>
      <c r="H1396" s="35">
        <v>10800</v>
      </c>
      <c r="I1396" s="35">
        <f>24.04*($T$2)</f>
        <v>48.08</v>
      </c>
      <c r="J1396" s="35">
        <f>355.8*($T$2)</f>
        <v>711.6</v>
      </c>
      <c r="K1396" s="35">
        <f t="shared" si="100"/>
        <v>8.2360876897133224</v>
      </c>
      <c r="L1396" s="35">
        <f t="shared" si="101"/>
        <v>8.2362728785357753</v>
      </c>
      <c r="M1396" s="35">
        <f>3.644375*($T$2)</f>
        <v>7.2887500000000003</v>
      </c>
      <c r="N1396" s="35">
        <f>61.4*(5280/3600)</f>
        <v>90.053333333333327</v>
      </c>
      <c r="O1396" s="35">
        <f t="shared" si="99"/>
        <v>1.0242762788083193</v>
      </c>
      <c r="P1396" s="35">
        <f t="shared" si="102"/>
        <v>60.030784148397984</v>
      </c>
      <c r="Q1396" s="35">
        <f>('Batt Capacity and Sys Weight'!$I$3) + (B1396*$T$2)</f>
        <v>35.988475000000001</v>
      </c>
      <c r="R1396" s="35">
        <f>'Batt Capacity and Sys Weight'!$H$3</f>
        <v>97.68</v>
      </c>
    </row>
    <row r="1397" spans="1:18" x14ac:dyDescent="0.3">
      <c r="A1397" s="35" t="s">
        <v>213</v>
      </c>
      <c r="B1397" s="35">
        <v>4.8</v>
      </c>
      <c r="C1397" s="35">
        <v>840</v>
      </c>
      <c r="D1397" s="35" t="s">
        <v>101</v>
      </c>
      <c r="E1397" s="36" t="str" cm="1">
        <f t="array" ref="E1397">GetNumber(D1397,1)</f>
        <v>9</v>
      </c>
      <c r="F1397" s="36" t="str" cm="1">
        <f t="array" ref="F1397">GetNumber(D1397,2)</f>
        <v>7</v>
      </c>
      <c r="G1397" s="35">
        <v>14.8</v>
      </c>
      <c r="H1397" s="35">
        <v>10539</v>
      </c>
      <c r="I1397" s="35">
        <f>27.21*($T$2)</f>
        <v>54.42</v>
      </c>
      <c r="J1397" s="35">
        <f>402.7*($T$2)</f>
        <v>805.4</v>
      </c>
      <c r="K1397" s="35">
        <f t="shared" si="100"/>
        <v>7.276881052892973</v>
      </c>
      <c r="L1397" s="35">
        <f t="shared" si="101"/>
        <v>7.2767364939360535</v>
      </c>
      <c r="M1397" s="35">
        <f>3.7325*($T$2)</f>
        <v>7.4649999999999999</v>
      </c>
      <c r="N1397" s="35">
        <f>69.9*(5280/3600)</f>
        <v>102.52</v>
      </c>
      <c r="O1397" s="35">
        <f t="shared" si="99"/>
        <v>0.92686863670225983</v>
      </c>
      <c r="P1397" s="35">
        <f t="shared" si="102"/>
        <v>54.321917059846044</v>
      </c>
      <c r="Q1397" s="35">
        <f>('Batt Capacity and Sys Weight'!$I$3) + (B1397*$T$2)</f>
        <v>35.988475000000001</v>
      </c>
      <c r="R1397" s="35">
        <f>'Batt Capacity and Sys Weight'!$H$3</f>
        <v>97.68</v>
      </c>
    </row>
    <row r="1398" spans="1:18" x14ac:dyDescent="0.3">
      <c r="A1398" s="35" t="s">
        <v>213</v>
      </c>
      <c r="B1398" s="35">
        <v>4.8</v>
      </c>
      <c r="C1398" s="35">
        <v>840</v>
      </c>
      <c r="D1398" s="35" t="s">
        <v>79</v>
      </c>
      <c r="E1398" s="36" t="str" cm="1">
        <f t="array" ref="E1398">GetNumber(D1398,1)</f>
        <v>10</v>
      </c>
      <c r="F1398" s="36" t="str" cm="1">
        <f t="array" ref="F1398">GetNumber(D1398,2)</f>
        <v>5</v>
      </c>
      <c r="G1398" s="35">
        <v>14.8</v>
      </c>
      <c r="H1398" s="35">
        <v>10734</v>
      </c>
      <c r="I1398" s="35">
        <f>24.82*($T$2)</f>
        <v>49.64</v>
      </c>
      <c r="J1398" s="35">
        <f>367.3*($T$2)</f>
        <v>734.6</v>
      </c>
      <c r="K1398" s="35">
        <f t="shared" si="100"/>
        <v>7.9782194391505579</v>
      </c>
      <c r="L1398" s="35">
        <f t="shared" si="101"/>
        <v>7.9774375503626107</v>
      </c>
      <c r="M1398" s="35">
        <f>3.849375*($T$2)</f>
        <v>7.6987500000000004</v>
      </c>
      <c r="N1398" s="35">
        <f>50.8*(5280/3600)</f>
        <v>74.506666666666661</v>
      </c>
      <c r="O1398" s="35">
        <f t="shared" si="99"/>
        <v>1.0480193302477538</v>
      </c>
      <c r="P1398" s="35">
        <f t="shared" si="102"/>
        <v>61.422316907160358</v>
      </c>
      <c r="Q1398" s="35">
        <f>('Batt Capacity and Sys Weight'!$I$3) + (B1398*$T$2)</f>
        <v>35.988475000000001</v>
      </c>
      <c r="R1398" s="35">
        <f>'Batt Capacity and Sys Weight'!$H$3</f>
        <v>97.68</v>
      </c>
    </row>
    <row r="1399" spans="1:18" x14ac:dyDescent="0.3">
      <c r="A1399" s="35" t="s">
        <v>213</v>
      </c>
      <c r="B1399" s="35">
        <v>4.8</v>
      </c>
      <c r="C1399" s="35">
        <v>840</v>
      </c>
      <c r="D1399" s="35" t="s">
        <v>80</v>
      </c>
      <c r="E1399" s="36" t="str" cm="1">
        <f t="array" ref="E1399">GetNumber(D1399,1)</f>
        <v>10</v>
      </c>
      <c r="F1399" s="36" t="str" cm="1">
        <f t="array" ref="F1399">GetNumber(D1399,2)</f>
        <v>7</v>
      </c>
      <c r="G1399" s="35">
        <v>14.8</v>
      </c>
      <c r="H1399" s="35">
        <v>9906</v>
      </c>
      <c r="I1399" s="35">
        <f>34.4*($T$2)</f>
        <v>68.8</v>
      </c>
      <c r="J1399" s="35">
        <f>509.1*($T$2)</f>
        <v>1018.2</v>
      </c>
      <c r="K1399" s="35">
        <f t="shared" si="100"/>
        <v>5.7560400707130235</v>
      </c>
      <c r="L1399" s="35">
        <f t="shared" si="101"/>
        <v>5.7558139534883734</v>
      </c>
      <c r="M1399" s="35">
        <f>4.61875*($T$2)</f>
        <v>9.2375000000000007</v>
      </c>
      <c r="N1399" s="35">
        <f>65.7*(5280/3600)</f>
        <v>96.36</v>
      </c>
      <c r="O1399" s="35">
        <f t="shared" si="99"/>
        <v>0.90723826360243565</v>
      </c>
      <c r="P1399" s="35">
        <f t="shared" si="102"/>
        <v>53.171420153211557</v>
      </c>
      <c r="Q1399" s="35">
        <f>('Batt Capacity and Sys Weight'!$I$3) + (B1399*$T$2)</f>
        <v>35.988475000000001</v>
      </c>
      <c r="R1399" s="35">
        <f>'Batt Capacity and Sys Weight'!$H$3</f>
        <v>97.68</v>
      </c>
    </row>
    <row r="1400" spans="1:18" x14ac:dyDescent="0.3">
      <c r="A1400" s="35" t="s">
        <v>213</v>
      </c>
      <c r="B1400" s="35">
        <v>4.8</v>
      </c>
      <c r="C1400" s="35">
        <v>840</v>
      </c>
      <c r="D1400" s="35" t="s">
        <v>127</v>
      </c>
      <c r="E1400" s="36" t="str" cm="1">
        <f t="array" ref="E1400">GetNumber(D1400,1)</f>
        <v>8</v>
      </c>
      <c r="F1400" s="36" t="str" cm="1">
        <f t="array" ref="F1400">GetNumber(D1400,2)</f>
        <v>6</v>
      </c>
      <c r="G1400" s="35">
        <v>18.5</v>
      </c>
      <c r="H1400" s="35">
        <v>13585</v>
      </c>
      <c r="I1400" s="35">
        <f>26.04*($T$2)</f>
        <v>52.08</v>
      </c>
      <c r="J1400" s="35">
        <f>481.8*($T$2)</f>
        <v>963.6</v>
      </c>
      <c r="K1400" s="35">
        <f t="shared" si="100"/>
        <v>5.7596513075965134</v>
      </c>
      <c r="L1400" s="35">
        <f t="shared" si="101"/>
        <v>5.7603686635944706</v>
      </c>
      <c r="M1400" s="35">
        <f>3.48125*($T$2)</f>
        <v>6.9625000000000004</v>
      </c>
      <c r="N1400" s="35">
        <f>77.2*(5280/3600)</f>
        <v>113.22666666666666</v>
      </c>
      <c r="O1400" s="35">
        <f t="shared" si="99"/>
        <v>0.72255085097550853</v>
      </c>
      <c r="P1400" s="35">
        <f t="shared" si="102"/>
        <v>40.101572229140729</v>
      </c>
      <c r="Q1400" s="35">
        <f>('Batt Capacity and Sys Weight'!$I$4) + (B1400*$T$2)</f>
        <v>36.764502999999998</v>
      </c>
      <c r="R1400" s="35">
        <f>'Batt Capacity and Sys Weight'!$H$4</f>
        <v>92.5</v>
      </c>
    </row>
    <row r="1401" spans="1:18" x14ac:dyDescent="0.3">
      <c r="A1401" s="35" t="s">
        <v>213</v>
      </c>
      <c r="B1401" s="35">
        <v>4.8</v>
      </c>
      <c r="C1401" s="35">
        <v>840</v>
      </c>
      <c r="D1401" s="35" t="s">
        <v>128</v>
      </c>
      <c r="E1401" s="36" t="str" cm="1">
        <f t="array" ref="E1401">GetNumber(D1401,1)</f>
        <v>8</v>
      </c>
      <c r="F1401" s="36" t="str" cm="1">
        <f t="array" ref="F1401">GetNumber(D1401,2)</f>
        <v>8</v>
      </c>
      <c r="G1401" s="35">
        <v>18.5</v>
      </c>
      <c r="H1401" s="35">
        <v>13064</v>
      </c>
      <c r="I1401" s="35">
        <f>31.75*($T$2)</f>
        <v>63.5</v>
      </c>
      <c r="J1401" s="35">
        <f>587.4*($T$2)</f>
        <v>1174.8</v>
      </c>
      <c r="K1401" s="35">
        <f t="shared" si="100"/>
        <v>4.7242083758937694</v>
      </c>
      <c r="L1401" s="35">
        <f t="shared" si="101"/>
        <v>4.7244094488188972</v>
      </c>
      <c r="M1401" s="35">
        <f>3.305*($T$2)</f>
        <v>6.61</v>
      </c>
      <c r="N1401" s="35">
        <f>99*(5280/3600)</f>
        <v>145.19999999999999</v>
      </c>
      <c r="O1401" s="35">
        <f t="shared" si="99"/>
        <v>0.56264896152536603</v>
      </c>
      <c r="P1401" s="35">
        <f t="shared" si="102"/>
        <v>31.227017364657819</v>
      </c>
      <c r="Q1401" s="35">
        <f>('Batt Capacity and Sys Weight'!$I$4) + (B1401*$T$2)</f>
        <v>36.764502999999998</v>
      </c>
      <c r="R1401" s="35">
        <f>'Batt Capacity and Sys Weight'!$H$4</f>
        <v>92.5</v>
      </c>
    </row>
    <row r="1402" spans="1:18" x14ac:dyDescent="0.3">
      <c r="A1402" s="35" t="s">
        <v>213</v>
      </c>
      <c r="B1402" s="35">
        <v>4.8</v>
      </c>
      <c r="C1402" s="35">
        <v>840</v>
      </c>
      <c r="D1402" s="35" t="s">
        <v>129</v>
      </c>
      <c r="E1402" s="36" t="str" cm="1">
        <f t="array" ref="E1402">GetNumber(D1402,1)</f>
        <v>9</v>
      </c>
      <c r="F1402" s="36" cm="1">
        <f t="array" ref="F1402">GetNumber(D1402,2)+(GetNumber(D1402,3)/10)</f>
        <v>4.5</v>
      </c>
      <c r="G1402" s="35">
        <v>18.5</v>
      </c>
      <c r="H1402" s="35">
        <v>13561</v>
      </c>
      <c r="I1402" s="35">
        <f>26.22*($T$2)</f>
        <v>52.44</v>
      </c>
      <c r="J1402" s="35">
        <f>485.1*($T$2)</f>
        <v>970.2</v>
      </c>
      <c r="K1402" s="35">
        <f t="shared" si="100"/>
        <v>5.7204700061842919</v>
      </c>
      <c r="L1402" s="35">
        <f t="shared" si="101"/>
        <v>5.7208237986270021</v>
      </c>
      <c r="M1402" s="35">
        <f>4.345*($T$2)</f>
        <v>8.69</v>
      </c>
      <c r="N1402" s="35">
        <f>57.8*(5280/3600)</f>
        <v>84.773333333333326</v>
      </c>
      <c r="O1402" s="35">
        <f t="shared" si="99"/>
        <v>0.89569160997732422</v>
      </c>
      <c r="P1402" s="35">
        <f t="shared" si="102"/>
        <v>49.710884353741491</v>
      </c>
      <c r="Q1402" s="35">
        <f>('Batt Capacity and Sys Weight'!$I$4) + (B1402*$T$2)</f>
        <v>36.764502999999998</v>
      </c>
      <c r="R1402" s="35">
        <f>'Batt Capacity and Sys Weight'!$H$4</f>
        <v>92.5</v>
      </c>
    </row>
    <row r="1403" spans="1:18" x14ac:dyDescent="0.3">
      <c r="A1403" s="35" t="s">
        <v>213</v>
      </c>
      <c r="B1403" s="35">
        <v>4.8</v>
      </c>
      <c r="C1403" s="35">
        <v>840</v>
      </c>
      <c r="D1403" s="35" t="s">
        <v>107</v>
      </c>
      <c r="E1403" s="36" t="str" cm="1">
        <f t="array" ref="E1403">GetNumber(D1403,1)</f>
        <v>9</v>
      </c>
      <c r="F1403" s="36" t="str" cm="1">
        <f t="array" ref="F1403">GetNumber(D1403,2)</f>
        <v>6</v>
      </c>
      <c r="G1403" s="35">
        <v>18.5</v>
      </c>
      <c r="H1403" s="35">
        <v>13195</v>
      </c>
      <c r="I1403" s="35">
        <f>30.49*($T$2)</f>
        <v>60.98</v>
      </c>
      <c r="J1403" s="35">
        <f>564*($T$2)</f>
        <v>1128</v>
      </c>
      <c r="K1403" s="35">
        <f t="shared" si="100"/>
        <v>4.9202127659574471</v>
      </c>
      <c r="L1403" s="35">
        <f t="shared" si="101"/>
        <v>4.9196457855034437</v>
      </c>
      <c r="M1403" s="35">
        <f>4.166875*($T$2)</f>
        <v>8.3337500000000002</v>
      </c>
      <c r="N1403" s="35">
        <f>75*(5280/3600)</f>
        <v>109.99999999999999</v>
      </c>
      <c r="O1403" s="35">
        <f t="shared" si="99"/>
        <v>0.73880762411347523</v>
      </c>
      <c r="P1403" s="35">
        <f t="shared" si="102"/>
        <v>41.003823138297875</v>
      </c>
      <c r="Q1403" s="35">
        <f>('Batt Capacity and Sys Weight'!$I$4) + (B1403*$T$2)</f>
        <v>36.764502999999998</v>
      </c>
      <c r="R1403" s="35">
        <f>'Batt Capacity and Sys Weight'!$H$4</f>
        <v>92.5</v>
      </c>
    </row>
    <row r="1404" spans="1:18" x14ac:dyDescent="0.3">
      <c r="A1404" s="35" t="s">
        <v>213</v>
      </c>
      <c r="B1404" s="35">
        <v>4.8</v>
      </c>
      <c r="C1404" s="35">
        <v>840</v>
      </c>
      <c r="D1404" s="35" t="s">
        <v>133</v>
      </c>
      <c r="E1404" s="36" t="str" cm="1">
        <f t="array" ref="E1404">GetNumber(D1404,1)</f>
        <v>10</v>
      </c>
      <c r="F1404" s="36" t="str" cm="1">
        <f t="array" ref="F1404">GetNumber(D1404,2)</f>
        <v>5</v>
      </c>
      <c r="G1404" s="35">
        <v>18.5</v>
      </c>
      <c r="H1404" s="35">
        <v>13130</v>
      </c>
      <c r="I1404" s="35">
        <f>31.15*($T$2)</f>
        <v>62.3</v>
      </c>
      <c r="J1404" s="35">
        <f>576.2*($T$2)</f>
        <v>1152.4000000000001</v>
      </c>
      <c r="K1404" s="35">
        <f t="shared" si="100"/>
        <v>4.8160360985768831</v>
      </c>
      <c r="L1404" s="35">
        <f t="shared" si="101"/>
        <v>4.815409309791332</v>
      </c>
      <c r="M1404" s="35">
        <f>4.65375*($T$2)</f>
        <v>9.3074999999999992</v>
      </c>
      <c r="N1404" s="35">
        <f>62.2*(5280/3600)</f>
        <v>91.226666666666659</v>
      </c>
      <c r="O1404" s="35">
        <f t="shared" si="99"/>
        <v>0.80766227004512303</v>
      </c>
      <c r="P1404" s="35">
        <f t="shared" si="102"/>
        <v>44.825255987504335</v>
      </c>
      <c r="Q1404" s="35">
        <f>('Batt Capacity and Sys Weight'!$I$4) + (B1404*$T$2)</f>
        <v>36.764502999999998</v>
      </c>
      <c r="R1404" s="35">
        <f>'Batt Capacity and Sys Weight'!$H$4</f>
        <v>92.5</v>
      </c>
    </row>
    <row r="1405" spans="1:18" x14ac:dyDescent="0.3">
      <c r="A1405" s="35" t="s">
        <v>213</v>
      </c>
      <c r="B1405" s="35">
        <v>4.8</v>
      </c>
      <c r="C1405" s="35">
        <v>840</v>
      </c>
      <c r="D1405" s="35" t="s">
        <v>130</v>
      </c>
      <c r="E1405" s="36" t="str" cm="1">
        <f t="array" ref="E1405">GetNumber(D1405,1)</f>
        <v>9</v>
      </c>
      <c r="F1405" s="36" t="str" cm="1">
        <f t="array" ref="F1405">GetNumber(D1405,2)</f>
        <v>5</v>
      </c>
      <c r="G1405" s="35">
        <v>18.5</v>
      </c>
      <c r="H1405" s="35">
        <v>13809</v>
      </c>
      <c r="I1405" s="35">
        <f>23.64*($T$2)</f>
        <v>47.28</v>
      </c>
      <c r="J1405" s="35">
        <f>437.4*($T$2)</f>
        <v>874.8</v>
      </c>
      <c r="K1405" s="35">
        <f t="shared" si="100"/>
        <v>6.3443072702331964</v>
      </c>
      <c r="L1405" s="35">
        <f t="shared" si="101"/>
        <v>6.345177664974619</v>
      </c>
      <c r="M1405" s="35">
        <f>3.961875*($T$2)</f>
        <v>7.9237500000000001</v>
      </c>
      <c r="N1405" s="35">
        <f>65.4*(5280/3600)</f>
        <v>95.92</v>
      </c>
      <c r="O1405" s="35">
        <f t="shared" si="99"/>
        <v>0.90577846364883408</v>
      </c>
      <c r="P1405" s="35">
        <f t="shared" si="102"/>
        <v>50.270704732510289</v>
      </c>
      <c r="Q1405" s="35">
        <f>('Batt Capacity and Sys Weight'!$I$4) + (B1405*$T$2)</f>
        <v>36.764502999999998</v>
      </c>
      <c r="R1405" s="35">
        <f>'Batt Capacity and Sys Weight'!$H$4</f>
        <v>92.5</v>
      </c>
    </row>
    <row r="1406" spans="1:18" x14ac:dyDescent="0.3">
      <c r="A1406" s="35" t="s">
        <v>213</v>
      </c>
      <c r="B1406" s="35">
        <v>4.8</v>
      </c>
      <c r="C1406" s="35">
        <v>840</v>
      </c>
      <c r="D1406" s="35" t="s">
        <v>131</v>
      </c>
      <c r="E1406" s="36" t="str" cm="1">
        <f t="array" ref="E1406">GetNumber(D1406,1)</f>
        <v>10</v>
      </c>
      <c r="F1406" s="36" t="str" cm="1">
        <f t="array" ref="F1406">GetNumber(D1406,2)</f>
        <v>6</v>
      </c>
      <c r="G1406" s="35">
        <v>18.5</v>
      </c>
      <c r="H1406" s="35">
        <v>12864</v>
      </c>
      <c r="I1406" s="35">
        <f>33.99*($T$2)</f>
        <v>67.98</v>
      </c>
      <c r="J1406" s="35">
        <f>628.8*($T$2)</f>
        <v>1257.5999999999999</v>
      </c>
      <c r="K1406" s="35">
        <f t="shared" si="100"/>
        <v>4.4131679389312986</v>
      </c>
      <c r="L1406" s="35">
        <f t="shared" si="101"/>
        <v>4.4130626654898499</v>
      </c>
      <c r="M1406" s="35">
        <f>5.218125*($T$2)</f>
        <v>10.436249999999999</v>
      </c>
      <c r="N1406" s="35">
        <f>73.1*(5280/3600)</f>
        <v>107.21333333333332</v>
      </c>
      <c r="O1406" s="35">
        <f t="shared" si="99"/>
        <v>0.82985448473282442</v>
      </c>
      <c r="P1406" s="35">
        <f t="shared" si="102"/>
        <v>46.056923902671763</v>
      </c>
      <c r="Q1406" s="35">
        <f>('Batt Capacity and Sys Weight'!$I$4) + (B1406*$T$2)</f>
        <v>36.764502999999998</v>
      </c>
      <c r="R1406" s="35">
        <f>'Batt Capacity and Sys Weight'!$H$4</f>
        <v>92.5</v>
      </c>
    </row>
    <row r="1407" spans="1:18" x14ac:dyDescent="0.3">
      <c r="A1407" s="35" t="s">
        <v>213</v>
      </c>
      <c r="B1407" s="35">
        <v>4.8</v>
      </c>
      <c r="C1407" s="35">
        <v>840</v>
      </c>
      <c r="D1407" s="35" t="s">
        <v>145</v>
      </c>
      <c r="E1407" s="36" t="str" cm="1">
        <f t="array" ref="E1407">GetNumber(D1407,1)</f>
        <v>8</v>
      </c>
      <c r="F1407" s="36" t="str" cm="1">
        <f t="array" ref="F1407">GetNumber(D1407,2)</f>
        <v>6</v>
      </c>
      <c r="G1407" s="35">
        <v>18.5</v>
      </c>
      <c r="H1407" s="35">
        <v>13665</v>
      </c>
      <c r="I1407" s="35">
        <f>25.29*($T$2)</f>
        <v>50.58</v>
      </c>
      <c r="J1407" s="35">
        <f>467.9*($T$2)</f>
        <v>935.8</v>
      </c>
      <c r="K1407" s="35">
        <f t="shared" si="100"/>
        <v>5.9307544347082715</v>
      </c>
      <c r="L1407" s="35">
        <f t="shared" si="101"/>
        <v>5.9311981020166078</v>
      </c>
      <c r="M1407" s="35">
        <f>3.849375*($T$2)</f>
        <v>7.6987500000000004</v>
      </c>
      <c r="N1407" s="35">
        <f>77.6*(5280/3600)</f>
        <v>113.81333333333332</v>
      </c>
      <c r="O1407" s="35">
        <f t="shared" si="99"/>
        <v>0.82269181449027584</v>
      </c>
      <c r="P1407" s="35">
        <f t="shared" si="102"/>
        <v>45.659395704210304</v>
      </c>
      <c r="Q1407" s="35">
        <f>('Batt Capacity and Sys Weight'!$I$4) + (B1407*$T$2)</f>
        <v>36.764502999999998</v>
      </c>
      <c r="R1407" s="35">
        <f>'Batt Capacity and Sys Weight'!$H$4</f>
        <v>92.5</v>
      </c>
    </row>
    <row r="1408" spans="1:18" x14ac:dyDescent="0.3">
      <c r="A1408" s="35" t="s">
        <v>213</v>
      </c>
      <c r="B1408" s="35">
        <v>4.8</v>
      </c>
      <c r="C1408" s="35">
        <v>840</v>
      </c>
      <c r="D1408" s="35" t="s">
        <v>79</v>
      </c>
      <c r="E1408" s="36" t="str" cm="1">
        <f t="array" ref="E1408">GetNumber(D1408,1)</f>
        <v>10</v>
      </c>
      <c r="F1408" s="36" t="str" cm="1">
        <f t="array" ref="F1408">GetNumber(D1408,2)</f>
        <v>5</v>
      </c>
      <c r="G1408" s="35">
        <v>18.5</v>
      </c>
      <c r="H1408" s="35">
        <v>12757</v>
      </c>
      <c r="I1408" s="35">
        <f>35.1*($T$2)</f>
        <v>70.2</v>
      </c>
      <c r="J1408" s="35">
        <f>649.4*($T$2)</f>
        <v>1298.8</v>
      </c>
      <c r="K1408" s="35">
        <f t="shared" si="100"/>
        <v>4.2731752386818602</v>
      </c>
      <c r="L1408" s="35">
        <f t="shared" si="101"/>
        <v>4.2735042735042734</v>
      </c>
      <c r="M1408" s="35">
        <f>5.590625*($T$2)</f>
        <v>11.18125</v>
      </c>
      <c r="N1408" s="35">
        <f>60.4*(5280/3600)</f>
        <v>88.586666666666659</v>
      </c>
      <c r="O1408" s="35">
        <f t="shared" si="99"/>
        <v>0.86089082229750558</v>
      </c>
      <c r="P1408" s="35">
        <f t="shared" si="102"/>
        <v>47.779440637511549</v>
      </c>
      <c r="Q1408" s="35">
        <f>('Batt Capacity and Sys Weight'!$I$4) + (B1408*$T$2)</f>
        <v>36.764502999999998</v>
      </c>
      <c r="R1408" s="35">
        <f>'Batt Capacity and Sys Weight'!$H$4</f>
        <v>92.5</v>
      </c>
    </row>
    <row r="1409" spans="1:18" x14ac:dyDescent="0.3">
      <c r="A1409" s="35" t="s">
        <v>213</v>
      </c>
      <c r="B1409" s="35">
        <v>4.8</v>
      </c>
      <c r="C1409" s="35">
        <v>840</v>
      </c>
      <c r="D1409" s="35" t="s">
        <v>125</v>
      </c>
      <c r="E1409" s="36" t="str" cm="1">
        <f t="array" ref="E1409">GetNumber(D1409,1)</f>
        <v>7</v>
      </c>
      <c r="F1409" s="36" t="str" cm="1">
        <f t="array" ref="F1409">GetNumber(D1409,2)</f>
        <v>7</v>
      </c>
      <c r="G1409" s="35">
        <v>22.2</v>
      </c>
      <c r="H1409" s="35">
        <v>16346</v>
      </c>
      <c r="I1409" s="35">
        <f>27.53*($T$2)</f>
        <v>55.06</v>
      </c>
      <c r="J1409" s="35">
        <f>611.2*($T$2)</f>
        <v>1222.4000000000001</v>
      </c>
      <c r="K1409" s="35">
        <f t="shared" si="100"/>
        <v>4.9034685863874339</v>
      </c>
      <c r="L1409" s="35">
        <f t="shared" si="101"/>
        <v>4.903741373047585</v>
      </c>
      <c r="M1409" s="35">
        <f>3.155*($T$2)</f>
        <v>6.31</v>
      </c>
      <c r="N1409" s="35">
        <f>108.4*(5280/3600)</f>
        <v>158.98666666666665</v>
      </c>
      <c r="O1409" s="35">
        <f t="shared" si="99"/>
        <v>0.51619764397905754</v>
      </c>
      <c r="P1409" s="35">
        <f t="shared" si="102"/>
        <v>30.940886780104705</v>
      </c>
      <c r="Q1409" s="35">
        <f>('Batt Capacity and Sys Weight'!$I$5) + (B1409*$T$2)</f>
        <v>41.173752999999998</v>
      </c>
      <c r="R1409" s="35">
        <f>'Batt Capacity and Sys Weight'!$H$5</f>
        <v>99.9</v>
      </c>
    </row>
    <row r="1410" spans="1:18" x14ac:dyDescent="0.3">
      <c r="A1410" s="35" t="s">
        <v>213</v>
      </c>
      <c r="B1410" s="35">
        <v>4.8</v>
      </c>
      <c r="C1410" s="35">
        <v>840</v>
      </c>
      <c r="D1410" s="35" t="s">
        <v>126</v>
      </c>
      <c r="E1410" s="36" t="str" cm="1">
        <f t="array" ref="E1410">GetNumber(D1410,1)</f>
        <v>8</v>
      </c>
      <c r="F1410" s="36" t="str" cm="1">
        <f t="array" ref="F1410">GetNumber(D1410,2)</f>
        <v>4</v>
      </c>
      <c r="G1410" s="35">
        <v>22.2</v>
      </c>
      <c r="H1410" s="35">
        <v>16515</v>
      </c>
      <c r="I1410" s="35">
        <f>25.74*($T$2)</f>
        <v>51.48</v>
      </c>
      <c r="J1410" s="35">
        <f>571.4*($T$2)</f>
        <v>1142.8</v>
      </c>
      <c r="K1410" s="35">
        <f t="shared" si="100"/>
        <v>5.2450122506125316</v>
      </c>
      <c r="L1410" s="35">
        <f t="shared" si="101"/>
        <v>5.244755244755245</v>
      </c>
      <c r="M1410" s="35">
        <f>4.0475*($T$2)</f>
        <v>8.0950000000000006</v>
      </c>
      <c r="N1410" s="35">
        <f>62.6*(5280/3600)</f>
        <v>91.813333333333333</v>
      </c>
      <c r="O1410" s="35">
        <f t="shared" ref="O1410:O1473" si="103" xml:space="preserve"> (M1410/J1410)*100</f>
        <v>0.70834791739586989</v>
      </c>
      <c r="P1410" s="35">
        <f t="shared" si="102"/>
        <v>42.458374168708445</v>
      </c>
      <c r="Q1410" s="35">
        <f>('Batt Capacity and Sys Weight'!$I$5) + (B1410*$T$2)</f>
        <v>41.173752999999998</v>
      </c>
      <c r="R1410" s="35">
        <f>'Batt Capacity and Sys Weight'!$H$5</f>
        <v>99.9</v>
      </c>
    </row>
    <row r="1411" spans="1:18" x14ac:dyDescent="0.3">
      <c r="A1411" s="35" t="s">
        <v>213</v>
      </c>
      <c r="B1411" s="35">
        <v>4.8</v>
      </c>
      <c r="C1411" s="35">
        <v>840</v>
      </c>
      <c r="D1411" s="35" t="s">
        <v>145</v>
      </c>
      <c r="E1411" s="36" t="str" cm="1">
        <f t="array" ref="E1411">GetNumber(D1411,1)</f>
        <v>8</v>
      </c>
      <c r="F1411" s="36" t="str" cm="1">
        <f t="array" ref="F1411">GetNumber(D1411,2)</f>
        <v>6</v>
      </c>
      <c r="G1411" s="35">
        <v>22.2</v>
      </c>
      <c r="H1411" s="35">
        <v>15832</v>
      </c>
      <c r="I1411" s="35">
        <f>33.79*($T$2)</f>
        <v>67.58</v>
      </c>
      <c r="J1411" s="35">
        <f>750.2*($T$2)</f>
        <v>1500.4</v>
      </c>
      <c r="K1411" s="35">
        <f t="shared" ref="K1411:K1474" si="104" xml:space="preserve"> (R1411/J1411)*60</f>
        <v>3.9949346840842446</v>
      </c>
      <c r="L1411" s="35">
        <f t="shared" ref="L1411:L1474" si="105">( (R1411/G1411)/I1411)*60</f>
        <v>3.9952648712636876</v>
      </c>
      <c r="M1411" s="35">
        <f>5.249375*($T$2)</f>
        <v>10.498749999999999</v>
      </c>
      <c r="N1411" s="35">
        <f>90*(5280/3600)</f>
        <v>132</v>
      </c>
      <c r="O1411" s="35">
        <f t="shared" si="103"/>
        <v>0.69973007198080506</v>
      </c>
      <c r="P1411" s="35">
        <f t="shared" si="102"/>
        <v>41.941820514529461</v>
      </c>
      <c r="Q1411" s="35">
        <f>('Batt Capacity and Sys Weight'!$I$5) + (B1411*$T$2)</f>
        <v>41.173752999999998</v>
      </c>
      <c r="R1411" s="35">
        <f>'Batt Capacity and Sys Weight'!$H$5</f>
        <v>99.9</v>
      </c>
    </row>
    <row r="1412" spans="1:18" x14ac:dyDescent="0.3">
      <c r="A1412" s="35" t="s">
        <v>216</v>
      </c>
      <c r="B1412" s="35">
        <v>4.8</v>
      </c>
      <c r="C1412" s="35">
        <v>970</v>
      </c>
      <c r="D1412" s="35" t="s">
        <v>104</v>
      </c>
      <c r="E1412" s="36" t="str" cm="1">
        <f t="array" ref="E1412">GetNumber(D1412,1)</f>
        <v>9</v>
      </c>
      <c r="F1412" s="36" cm="1">
        <f t="array" ref="F1412">GetNumber(D1412,2)+(GetNumber(D1412,3)/10)</f>
        <v>7.5</v>
      </c>
      <c r="G1412" s="35">
        <v>11.1</v>
      </c>
      <c r="H1412" s="35">
        <v>8980</v>
      </c>
      <c r="I1412" s="35">
        <f>26.27*($T$2)</f>
        <v>52.54</v>
      </c>
      <c r="J1412" s="35">
        <f>291.6*($T$2)</f>
        <v>583.20000000000005</v>
      </c>
      <c r="K1412" s="35">
        <f t="shared" si="104"/>
        <v>10.277777777777777</v>
      </c>
      <c r="L1412" s="35">
        <f t="shared" si="105"/>
        <v>10.277883517320138</v>
      </c>
      <c r="M1412" s="35">
        <f>2.30625*($T$2)</f>
        <v>4.6124999999999998</v>
      </c>
      <c r="N1412" s="35">
        <f>63.8*(5280/3600)</f>
        <v>93.573333333333323</v>
      </c>
      <c r="O1412" s="35">
        <f t="shared" si="103"/>
        <v>0.79089506172839497</v>
      </c>
      <c r="P1412" s="35">
        <f t="shared" si="102"/>
        <v>47.406249999999993</v>
      </c>
      <c r="Q1412" s="35">
        <f>('Batt Capacity and Sys Weight'!$I$2) + (B1412*$T$2)</f>
        <v>40.433</v>
      </c>
      <c r="R1412" s="35">
        <f>'Batt Capacity and Sys Weight'!$H$2</f>
        <v>99.9</v>
      </c>
    </row>
    <row r="1413" spans="1:18" x14ac:dyDescent="0.3">
      <c r="A1413" s="35" t="s">
        <v>216</v>
      </c>
      <c r="B1413" s="35">
        <v>4.8</v>
      </c>
      <c r="C1413" s="35">
        <v>970</v>
      </c>
      <c r="D1413" s="35" t="s">
        <v>210</v>
      </c>
      <c r="E1413" s="36" t="str" cm="1">
        <f t="array" ref="E1413">GetNumber(D1413,1)</f>
        <v>9</v>
      </c>
      <c r="F1413" s="36" t="str" cm="1">
        <f t="array" ref="F1413">GetNumber(D1413,2)</f>
        <v>8</v>
      </c>
      <c r="G1413" s="35">
        <v>11.1</v>
      </c>
      <c r="H1413" s="35">
        <v>8877</v>
      </c>
      <c r="I1413" s="35">
        <f>26.41*($T$2)</f>
        <v>52.82</v>
      </c>
      <c r="J1413" s="35">
        <f>293.2*($T$2)</f>
        <v>586.4</v>
      </c>
      <c r="K1413" s="35">
        <f t="shared" si="104"/>
        <v>10.221691678035473</v>
      </c>
      <c r="L1413" s="35">
        <f t="shared" si="105"/>
        <v>10.223400227186673</v>
      </c>
      <c r="M1413" s="35">
        <f>2.951875*($T$2)</f>
        <v>5.9037499999999996</v>
      </c>
      <c r="N1413" s="35">
        <f>67.3*(5280/3600)</f>
        <v>98.706666666666649</v>
      </c>
      <c r="O1413" s="35">
        <f t="shared" si="103"/>
        <v>1.0067786493860844</v>
      </c>
      <c r="P1413" s="35">
        <f t="shared" si="102"/>
        <v>60.346312244201918</v>
      </c>
      <c r="Q1413" s="35">
        <f>('Batt Capacity and Sys Weight'!$I$2) + (B1413*$T$2)</f>
        <v>40.433</v>
      </c>
      <c r="R1413" s="35">
        <f>'Batt Capacity and Sys Weight'!$H$2</f>
        <v>99.9</v>
      </c>
    </row>
    <row r="1414" spans="1:18" x14ac:dyDescent="0.3">
      <c r="A1414" s="35" t="s">
        <v>216</v>
      </c>
      <c r="B1414" s="35">
        <v>4.8</v>
      </c>
      <c r="C1414" s="35">
        <v>970</v>
      </c>
      <c r="D1414" s="35" t="s">
        <v>103</v>
      </c>
      <c r="E1414" s="36" t="str" cm="1">
        <f t="array" ref="E1414">GetNumber(D1414,1)</f>
        <v>9</v>
      </c>
      <c r="F1414" s="36" t="str" cm="1">
        <f t="array" ref="F1414">GetNumber(D1414,2)</f>
        <v>9</v>
      </c>
      <c r="G1414" s="35">
        <v>11.1</v>
      </c>
      <c r="H1414" s="35">
        <v>8703</v>
      </c>
      <c r="I1414" s="35">
        <f>29.8*($T$2)</f>
        <v>59.6</v>
      </c>
      <c r="J1414" s="35">
        <f>330.7*($T$2)</f>
        <v>661.4</v>
      </c>
      <c r="K1414" s="35">
        <f t="shared" si="104"/>
        <v>9.0625944965225287</v>
      </c>
      <c r="L1414" s="35">
        <f t="shared" si="105"/>
        <v>9.0604026845637584</v>
      </c>
      <c r="M1414" s="35">
        <f>2.235625*($T$2)</f>
        <v>4.4712500000000004</v>
      </c>
      <c r="N1414" s="35">
        <f>74.2*(5280/3600)</f>
        <v>108.82666666666667</v>
      </c>
      <c r="O1414" s="35">
        <f t="shared" si="103"/>
        <v>0.67602812216510433</v>
      </c>
      <c r="P1414" s="35">
        <f t="shared" si="102"/>
        <v>40.521125642576358</v>
      </c>
      <c r="Q1414" s="35">
        <f>('Batt Capacity and Sys Weight'!$I$2) + (B1414*$T$2)</f>
        <v>40.433</v>
      </c>
      <c r="R1414" s="35">
        <f>'Batt Capacity and Sys Weight'!$H$2</f>
        <v>99.9</v>
      </c>
    </row>
    <row r="1415" spans="1:18" x14ac:dyDescent="0.3">
      <c r="A1415" s="35" t="s">
        <v>216</v>
      </c>
      <c r="B1415" s="35">
        <v>4.8</v>
      </c>
      <c r="C1415" s="35">
        <v>970</v>
      </c>
      <c r="D1415" s="35" t="s">
        <v>68</v>
      </c>
      <c r="E1415" s="36" t="str" cm="1">
        <f t="array" ref="E1415">GetNumber(D1415,1)</f>
        <v>10</v>
      </c>
      <c r="F1415" s="36" t="str" cm="1">
        <f t="array" ref="F1415">GetNumber(D1415,2)</f>
        <v>7</v>
      </c>
      <c r="G1415" s="35">
        <v>11.1</v>
      </c>
      <c r="H1415" s="35">
        <v>8900</v>
      </c>
      <c r="I1415" s="35">
        <f>27.13*($T$2)</f>
        <v>54.26</v>
      </c>
      <c r="J1415" s="35">
        <f>301.2*($T$2)</f>
        <v>602.4</v>
      </c>
      <c r="K1415" s="35">
        <f t="shared" si="104"/>
        <v>9.9501992031872515</v>
      </c>
      <c r="L1415" s="35">
        <f t="shared" si="105"/>
        <v>9.9520825654257283</v>
      </c>
      <c r="M1415" s="35">
        <f>2.960625*($T$2)</f>
        <v>5.9212499999999997</v>
      </c>
      <c r="N1415" s="35">
        <f>59*(5280/3600)</f>
        <v>86.533333333333331</v>
      </c>
      <c r="O1415" s="35">
        <f t="shared" si="103"/>
        <v>0.98294322709163351</v>
      </c>
      <c r="P1415" s="35">
        <f t="shared" si="102"/>
        <v>58.91761703187251</v>
      </c>
      <c r="Q1415" s="35">
        <f>('Batt Capacity and Sys Weight'!$I$2) + (B1415*$T$2)</f>
        <v>40.433</v>
      </c>
      <c r="R1415" s="35">
        <f>'Batt Capacity and Sys Weight'!$H$2</f>
        <v>99.9</v>
      </c>
    </row>
    <row r="1416" spans="1:18" x14ac:dyDescent="0.3">
      <c r="A1416" s="35" t="s">
        <v>216</v>
      </c>
      <c r="B1416" s="35">
        <v>4.8</v>
      </c>
      <c r="C1416" s="35">
        <v>970</v>
      </c>
      <c r="D1416" s="35" t="s">
        <v>69</v>
      </c>
      <c r="E1416" s="36" t="str" cm="1">
        <f t="array" ref="E1416">GetNumber(D1416,1)</f>
        <v>10</v>
      </c>
      <c r="F1416" s="36" t="str" cm="1">
        <f t="array" ref="F1416">GetNumber(D1416,2)</f>
        <v>8</v>
      </c>
      <c r="G1416" s="35">
        <v>11.1</v>
      </c>
      <c r="H1416" s="35">
        <v>8683</v>
      </c>
      <c r="I1416" s="35">
        <f>29.85*($T$2)</f>
        <v>59.7</v>
      </c>
      <c r="J1416" s="35">
        <f>331.3*($T$2)</f>
        <v>662.6</v>
      </c>
      <c r="K1416" s="35">
        <f t="shared" si="104"/>
        <v>9.0461817084213703</v>
      </c>
      <c r="L1416" s="35">
        <f t="shared" si="105"/>
        <v>9.0452261306532655</v>
      </c>
      <c r="M1416" s="35">
        <f>2.969375*($T$2)</f>
        <v>5.9387499999999998</v>
      </c>
      <c r="N1416" s="35">
        <f>65.8*(5280/3600)</f>
        <v>96.506666666666661</v>
      </c>
      <c r="O1416" s="35">
        <f t="shared" si="103"/>
        <v>0.89627980682161179</v>
      </c>
      <c r="P1416" s="35">
        <f t="shared" si="102"/>
        <v>53.723011620887412</v>
      </c>
      <c r="Q1416" s="35">
        <f>('Batt Capacity and Sys Weight'!$I$2) + (B1416*$T$2)</f>
        <v>40.433</v>
      </c>
      <c r="R1416" s="35">
        <f>'Batt Capacity and Sys Weight'!$H$2</f>
        <v>99.9</v>
      </c>
    </row>
    <row r="1417" spans="1:18" x14ac:dyDescent="0.3">
      <c r="A1417" s="35" t="s">
        <v>216</v>
      </c>
      <c r="B1417" s="35">
        <v>4.8</v>
      </c>
      <c r="C1417" s="35">
        <v>970</v>
      </c>
      <c r="D1417" s="35" t="s">
        <v>55</v>
      </c>
      <c r="E1417" s="36" t="str" cm="1">
        <f t="array" ref="E1417">GetNumber(D1417,1)</f>
        <v>10</v>
      </c>
      <c r="F1417" s="36" t="str" cm="1">
        <f t="array" ref="F1417">GetNumber(D1417,2)</f>
        <v>10</v>
      </c>
      <c r="G1417" s="35">
        <v>11.1</v>
      </c>
      <c r="H1417" s="35">
        <v>8015</v>
      </c>
      <c r="I1417" s="35">
        <f>37.66*($T$2)</f>
        <v>75.319999999999993</v>
      </c>
      <c r="J1417" s="35">
        <f>418.1*($T$2)</f>
        <v>836.2</v>
      </c>
      <c r="K1417" s="35">
        <f t="shared" si="104"/>
        <v>7.168141592920354</v>
      </c>
      <c r="L1417" s="35">
        <f t="shared" si="105"/>
        <v>7.1694105151354233</v>
      </c>
      <c r="M1417" s="35">
        <f>2.4625*($T$2)</f>
        <v>4.9249999999999998</v>
      </c>
      <c r="N1417" s="35">
        <f>75.9*(5280/3600)</f>
        <v>111.32000000000001</v>
      </c>
      <c r="O1417" s="35">
        <f t="shared" si="103"/>
        <v>0.58897392968189421</v>
      </c>
      <c r="P1417" s="35">
        <f t="shared" si="102"/>
        <v>35.303097345132741</v>
      </c>
      <c r="Q1417" s="35">
        <f>('Batt Capacity and Sys Weight'!$I$2) + (B1417*$T$2)</f>
        <v>40.433</v>
      </c>
      <c r="R1417" s="35">
        <f>'Batt Capacity and Sys Weight'!$H$2</f>
        <v>99.9</v>
      </c>
    </row>
    <row r="1418" spans="1:18" x14ac:dyDescent="0.3">
      <c r="A1418" s="35" t="s">
        <v>216</v>
      </c>
      <c r="B1418" s="35">
        <v>4.8</v>
      </c>
      <c r="C1418" s="35">
        <v>970</v>
      </c>
      <c r="D1418" s="35" t="s">
        <v>70</v>
      </c>
      <c r="E1418" s="36" t="str" cm="1">
        <f t="array" ref="E1418">GetNumber(D1418,1)</f>
        <v>11</v>
      </c>
      <c r="F1418" s="36" cm="1">
        <f t="array" ref="F1418">GetNumber(D1418,2)+(GetNumber(D1418,3)/10)</f>
        <v>5.5</v>
      </c>
      <c r="G1418" s="35">
        <v>11.1</v>
      </c>
      <c r="H1418" s="35">
        <v>8756</v>
      </c>
      <c r="I1418" s="35">
        <f>28.88*($T$2)</f>
        <v>57.76</v>
      </c>
      <c r="J1418" s="35">
        <f>320.6*($T$2)</f>
        <v>641.20000000000005</v>
      </c>
      <c r="K1418" s="35">
        <f t="shared" si="104"/>
        <v>9.348097317529632</v>
      </c>
      <c r="L1418" s="35">
        <f t="shared" si="105"/>
        <v>9.3490304709141281</v>
      </c>
      <c r="M1418" s="35">
        <f>3.644375*($T$2)</f>
        <v>7.2887500000000003</v>
      </c>
      <c r="N1418" s="35">
        <f>45.6*(5280/3600)</f>
        <v>66.88</v>
      </c>
      <c r="O1418" s="35">
        <f t="shared" si="103"/>
        <v>1.1367358078602621</v>
      </c>
      <c r="P1418" s="35">
        <f t="shared" si="102"/>
        <v>68.135944323144102</v>
      </c>
      <c r="Q1418" s="35">
        <f>('Batt Capacity and Sys Weight'!$I$2) + (B1418*$T$2)</f>
        <v>40.433</v>
      </c>
      <c r="R1418" s="35">
        <f>'Batt Capacity and Sys Weight'!$H$2</f>
        <v>99.9</v>
      </c>
    </row>
    <row r="1419" spans="1:18" x14ac:dyDescent="0.3">
      <c r="A1419" s="35" t="s">
        <v>216</v>
      </c>
      <c r="B1419" s="35">
        <v>4.8</v>
      </c>
      <c r="C1419" s="35">
        <v>970</v>
      </c>
      <c r="D1419" s="35" t="s">
        <v>71</v>
      </c>
      <c r="E1419" s="36" t="str" cm="1">
        <f t="array" ref="E1419">GetNumber(D1419,1)</f>
        <v>11</v>
      </c>
      <c r="F1419" s="36" t="str" cm="1">
        <f t="array" ref="F1419">GetNumber(D1419,2)</f>
        <v>7</v>
      </c>
      <c r="G1419" s="35">
        <v>11.1</v>
      </c>
      <c r="H1419" s="35">
        <v>8425</v>
      </c>
      <c r="I1419" s="35">
        <f>33.13*($T$2)</f>
        <v>66.260000000000005</v>
      </c>
      <c r="J1419" s="35">
        <f>367.8*($T$2)</f>
        <v>735.6</v>
      </c>
      <c r="K1419" s="35">
        <f t="shared" si="104"/>
        <v>8.148450244698207</v>
      </c>
      <c r="L1419" s="35">
        <f t="shared" si="105"/>
        <v>8.1497132508300627</v>
      </c>
      <c r="M1419" s="35">
        <f>3.76125*($T$2)</f>
        <v>7.5225</v>
      </c>
      <c r="N1419" s="35">
        <f>55.8*(5280/3600)</f>
        <v>81.839999999999989</v>
      </c>
      <c r="O1419" s="35">
        <f t="shared" si="103"/>
        <v>1.0226345840130504</v>
      </c>
      <c r="P1419" s="35">
        <f t="shared" si="102"/>
        <v>61.296716965742263</v>
      </c>
      <c r="Q1419" s="35">
        <f>('Batt Capacity and Sys Weight'!$I$2) + (B1419*$T$2)</f>
        <v>40.433</v>
      </c>
      <c r="R1419" s="35">
        <f>'Batt Capacity and Sys Weight'!$H$2</f>
        <v>99.9</v>
      </c>
    </row>
    <row r="1420" spans="1:18" x14ac:dyDescent="0.3">
      <c r="A1420" s="35" t="s">
        <v>216</v>
      </c>
      <c r="B1420" s="35">
        <v>4.8</v>
      </c>
      <c r="C1420" s="35">
        <v>970</v>
      </c>
      <c r="D1420" s="35" t="s">
        <v>211</v>
      </c>
      <c r="E1420" s="36" t="str" cm="1">
        <f t="array" ref="E1420">GetNumber(D1420,1)</f>
        <v>11</v>
      </c>
      <c r="F1420" s="36" t="str" cm="1">
        <f t="array" ref="F1420">GetNumber(D1420,2)</f>
        <v>7</v>
      </c>
      <c r="G1420" s="35">
        <v>11.1</v>
      </c>
      <c r="H1420" s="35">
        <v>8457</v>
      </c>
      <c r="I1420" s="35">
        <f>32.58*($T$2)</f>
        <v>65.16</v>
      </c>
      <c r="J1420" s="35">
        <f>361.6*($T$2)</f>
        <v>723.2</v>
      </c>
      <c r="K1420" s="35">
        <f t="shared" si="104"/>
        <v>8.2881637168141591</v>
      </c>
      <c r="L1420" s="35">
        <f t="shared" si="105"/>
        <v>8.2872928176795586</v>
      </c>
      <c r="M1420" s="35">
        <f>4.00125*($T$2)</f>
        <v>8.0024999999999995</v>
      </c>
      <c r="N1420" s="35">
        <f>56.1*(5280/3600)</f>
        <v>82.28</v>
      </c>
      <c r="O1420" s="35">
        <f t="shared" si="103"/>
        <v>1.1065403761061945</v>
      </c>
      <c r="P1420" s="35">
        <f t="shared" si="102"/>
        <v>66.326030143805298</v>
      </c>
      <c r="Q1420" s="35">
        <f>('Batt Capacity and Sys Weight'!$I$2) + (B1420*$T$2)</f>
        <v>40.433</v>
      </c>
      <c r="R1420" s="35">
        <f>'Batt Capacity and Sys Weight'!$H$2</f>
        <v>99.9</v>
      </c>
    </row>
    <row r="1421" spans="1:18" x14ac:dyDescent="0.3">
      <c r="A1421" s="35" t="s">
        <v>216</v>
      </c>
      <c r="B1421" s="35">
        <v>4.8</v>
      </c>
      <c r="C1421" s="35">
        <v>970</v>
      </c>
      <c r="D1421" s="35" t="s">
        <v>72</v>
      </c>
      <c r="E1421" s="36" t="str" cm="1">
        <f t="array" ref="E1421">GetNumber(D1421,1)</f>
        <v>11</v>
      </c>
      <c r="F1421" s="36" t="str" cm="1">
        <f t="array" ref="F1421">GetNumber(D1421,2)</f>
        <v>8</v>
      </c>
      <c r="G1421" s="35">
        <v>11.1</v>
      </c>
      <c r="H1421" s="35">
        <v>8219</v>
      </c>
      <c r="I1421" s="35">
        <f>35.33*($T$2)</f>
        <v>70.66</v>
      </c>
      <c r="J1421" s="35">
        <f>392.2*($T$2)</f>
        <v>784.4</v>
      </c>
      <c r="K1421" s="35">
        <f t="shared" si="104"/>
        <v>7.6415094339622645</v>
      </c>
      <c r="L1421" s="35">
        <f t="shared" si="105"/>
        <v>7.6422303990942542</v>
      </c>
      <c r="M1421" s="35">
        <f>3.635625*($T$2)</f>
        <v>7.2712500000000002</v>
      </c>
      <c r="N1421" s="35">
        <f>62.3*(5280/3600)</f>
        <v>91.373333333333321</v>
      </c>
      <c r="O1421" s="35">
        <f t="shared" si="103"/>
        <v>0.92698240693523726</v>
      </c>
      <c r="P1421" s="35">
        <f t="shared" si="102"/>
        <v>55.563325471698114</v>
      </c>
      <c r="Q1421" s="35">
        <f>('Batt Capacity and Sys Weight'!$I$2) + (B1421*$T$2)</f>
        <v>40.433</v>
      </c>
      <c r="R1421" s="35">
        <f>'Batt Capacity and Sys Weight'!$H$2</f>
        <v>99.9</v>
      </c>
    </row>
    <row r="1422" spans="1:18" x14ac:dyDescent="0.3">
      <c r="A1422" s="35" t="s">
        <v>216</v>
      </c>
      <c r="B1422" s="35">
        <v>4.8</v>
      </c>
      <c r="C1422" s="35">
        <v>970</v>
      </c>
      <c r="D1422" s="35" t="s">
        <v>132</v>
      </c>
      <c r="E1422" s="36" t="str" cm="1">
        <f t="array" ref="E1422">GetNumber(D1422,1)</f>
        <v>11</v>
      </c>
      <c r="F1422" s="36" t="str" cm="1">
        <f t="array" ref="F1422">GetNumber(D1422,2)</f>
        <v>8</v>
      </c>
      <c r="G1422" s="35">
        <v>11.1</v>
      </c>
      <c r="H1422" s="35">
        <v>8630</v>
      </c>
      <c r="I1422" s="35">
        <f>31.01*($T$2)</f>
        <v>62.02</v>
      </c>
      <c r="J1422" s="35">
        <f>344.2*($T$2)</f>
        <v>688.4</v>
      </c>
      <c r="K1422" s="35">
        <f t="shared" si="104"/>
        <v>8.7071470075537487</v>
      </c>
      <c r="L1422" s="35">
        <f t="shared" si="105"/>
        <v>8.7068687520154775</v>
      </c>
      <c r="M1422" s="35">
        <f>3.5625*($T$2)</f>
        <v>7.125</v>
      </c>
      <c r="N1422" s="35">
        <f>65.4*(5280/3600)</f>
        <v>95.92</v>
      </c>
      <c r="O1422" s="35">
        <f t="shared" si="103"/>
        <v>1.0350087158628705</v>
      </c>
      <c r="P1422" s="35">
        <f t="shared" si="102"/>
        <v>62.038422428820461</v>
      </c>
      <c r="Q1422" s="35">
        <f>('Batt Capacity and Sys Weight'!$I$2) + (B1422*$T$2)</f>
        <v>40.433</v>
      </c>
      <c r="R1422" s="35">
        <f>'Batt Capacity and Sys Weight'!$H$2</f>
        <v>99.9</v>
      </c>
    </row>
    <row r="1423" spans="1:18" x14ac:dyDescent="0.3">
      <c r="A1423" s="35" t="s">
        <v>216</v>
      </c>
      <c r="B1423" s="35">
        <v>4.8</v>
      </c>
      <c r="C1423" s="35">
        <v>970</v>
      </c>
      <c r="D1423" s="35" t="s">
        <v>56</v>
      </c>
      <c r="E1423" s="36" t="str" cm="1">
        <f t="array" ref="E1423">GetNumber(D1423,1)</f>
        <v>11</v>
      </c>
      <c r="F1423" s="36" cm="1">
        <f t="array" ref="F1423">GetNumber(D1423,2)+(GetNumber(D1423,3)/10)</f>
        <v>8.5</v>
      </c>
      <c r="G1423" s="35">
        <v>11.1</v>
      </c>
      <c r="H1423" s="35">
        <v>8029</v>
      </c>
      <c r="I1423" s="35">
        <f>37.72*($T$2)</f>
        <v>75.44</v>
      </c>
      <c r="J1423" s="35">
        <f>418.7*($T$2)</f>
        <v>837.4</v>
      </c>
      <c r="K1423" s="35">
        <f t="shared" si="104"/>
        <v>7.1578695963697161</v>
      </c>
      <c r="L1423" s="35">
        <f t="shared" si="105"/>
        <v>7.1580063626723227</v>
      </c>
      <c r="M1423" s="35">
        <f>3.61125*($T$2)</f>
        <v>7.2225000000000001</v>
      </c>
      <c r="N1423" s="35">
        <f>64.6*(5280/3600)</f>
        <v>94.746666666666655</v>
      </c>
      <c r="O1423" s="35">
        <f t="shared" si="103"/>
        <v>0.86249104370671126</v>
      </c>
      <c r="P1423" s="35">
        <f t="shared" si="102"/>
        <v>51.697713159780278</v>
      </c>
      <c r="Q1423" s="35">
        <f>('Batt Capacity and Sys Weight'!$I$2) + (B1423*$T$2)</f>
        <v>40.433</v>
      </c>
      <c r="R1423" s="35">
        <f>'Batt Capacity and Sys Weight'!$H$2</f>
        <v>99.9</v>
      </c>
    </row>
    <row r="1424" spans="1:18" x14ac:dyDescent="0.3">
      <c r="A1424" s="35" t="s">
        <v>216</v>
      </c>
      <c r="B1424" s="35">
        <v>4.8</v>
      </c>
      <c r="C1424" s="35">
        <v>970</v>
      </c>
      <c r="D1424" s="35" t="s">
        <v>58</v>
      </c>
      <c r="E1424" s="36" t="str" cm="1">
        <f t="array" ref="E1424">GetNumber(D1424,1)</f>
        <v>12</v>
      </c>
      <c r="F1424" s="36" t="str" cm="1">
        <f t="array" ref="F1424">GetNumber(D1424,2)</f>
        <v>6</v>
      </c>
      <c r="G1424" s="35">
        <v>11.1</v>
      </c>
      <c r="H1424" s="35">
        <v>8184</v>
      </c>
      <c r="I1424" s="35">
        <f>36.03*($T$2)</f>
        <v>72.06</v>
      </c>
      <c r="J1424" s="35">
        <f>400*($T$2)</f>
        <v>800</v>
      </c>
      <c r="K1424" s="35">
        <f t="shared" si="104"/>
        <v>7.4925000000000006</v>
      </c>
      <c r="L1424" s="35">
        <f t="shared" si="105"/>
        <v>7.4937552039966695</v>
      </c>
      <c r="M1424" s="35">
        <f>4.32125*($T$2)</f>
        <v>8.6425000000000001</v>
      </c>
      <c r="N1424" s="35">
        <f>46.5*(5280/3600)</f>
        <v>68.199999999999989</v>
      </c>
      <c r="O1424" s="35">
        <f t="shared" si="103"/>
        <v>1.0803125</v>
      </c>
      <c r="P1424" s="35">
        <f t="shared" si="102"/>
        <v>64.753931250000008</v>
      </c>
      <c r="Q1424" s="35">
        <f>('Batt Capacity and Sys Weight'!$I$2) + (B1424*$T$2)</f>
        <v>40.433</v>
      </c>
      <c r="R1424" s="35">
        <f>'Batt Capacity and Sys Weight'!$H$2</f>
        <v>99.9</v>
      </c>
    </row>
    <row r="1425" spans="1:18" x14ac:dyDescent="0.3">
      <c r="A1425" s="35" t="s">
        <v>216</v>
      </c>
      <c r="B1425" s="35">
        <v>4.8</v>
      </c>
      <c r="C1425" s="35">
        <v>970</v>
      </c>
      <c r="D1425" s="35" t="s">
        <v>118</v>
      </c>
      <c r="E1425" s="36" t="str" cm="1">
        <f t="array" ref="E1425">GetNumber(D1425,1)</f>
        <v>12</v>
      </c>
      <c r="F1425" s="36" cm="1">
        <f t="array" ref="F1425">GetNumber(D1425,2)+(GetNumber(D1425,3)/10)</f>
        <v>8.5</v>
      </c>
      <c r="G1425" s="35">
        <v>11.1</v>
      </c>
      <c r="H1425" s="35">
        <v>8077</v>
      </c>
      <c r="I1425" s="35">
        <f>37.71*($T$2)</f>
        <v>75.42</v>
      </c>
      <c r="J1425" s="35">
        <f>418.6*($T$2)</f>
        <v>837.2</v>
      </c>
      <c r="K1425" s="35">
        <f t="shared" si="104"/>
        <v>7.1595795508838984</v>
      </c>
      <c r="L1425" s="35">
        <f t="shared" si="105"/>
        <v>7.1599045346062047</v>
      </c>
      <c r="M1425" s="35">
        <f>4.248125*($T$2)</f>
        <v>8.4962499999999999</v>
      </c>
      <c r="N1425" s="35">
        <f>65*(5280/3600)</f>
        <v>95.333333333333329</v>
      </c>
      <c r="O1425" s="35">
        <f t="shared" si="103"/>
        <v>1.0148411371237458</v>
      </c>
      <c r="P1425" s="35">
        <f t="shared" ref="P1425:P1488" si="106">M1425*K1425</f>
        <v>60.829577759197321</v>
      </c>
      <c r="Q1425" s="35">
        <f>('Batt Capacity and Sys Weight'!$I$2) + (B1425*$T$2)</f>
        <v>40.433</v>
      </c>
      <c r="R1425" s="35">
        <f>'Batt Capacity and Sys Weight'!$H$2</f>
        <v>99.9</v>
      </c>
    </row>
    <row r="1426" spans="1:18" x14ac:dyDescent="0.3">
      <c r="A1426" s="35" t="s">
        <v>216</v>
      </c>
      <c r="B1426" s="35">
        <v>4.8</v>
      </c>
      <c r="C1426" s="35">
        <v>970</v>
      </c>
      <c r="D1426" s="35" t="s">
        <v>98</v>
      </c>
      <c r="E1426" s="36" t="str" cm="1">
        <f t="array" ref="E1426">GetNumber(D1426,1)</f>
        <v>13</v>
      </c>
      <c r="F1426" s="36" t="str" cm="1">
        <f t="array" ref="F1426">GetNumber(D1426,2)</f>
        <v>4</v>
      </c>
      <c r="G1426" s="35">
        <v>11.1</v>
      </c>
      <c r="H1426" s="35">
        <v>8516</v>
      </c>
      <c r="I1426" s="35">
        <f>31.88*($T$2)</f>
        <v>63.76</v>
      </c>
      <c r="J1426" s="35">
        <f>353.9*($T$2)</f>
        <v>707.8</v>
      </c>
      <c r="K1426" s="35">
        <f t="shared" si="104"/>
        <v>8.4684939248375244</v>
      </c>
      <c r="L1426" s="35">
        <f t="shared" si="105"/>
        <v>8.4692597239648677</v>
      </c>
      <c r="M1426" s="35">
        <f>4.39375*($T$2)</f>
        <v>8.7874999999999996</v>
      </c>
      <c r="N1426" s="35">
        <f>32.3*(5280/3600)</f>
        <v>47.373333333333328</v>
      </c>
      <c r="O1426" s="35">
        <f t="shared" si="103"/>
        <v>1.2415230291042669</v>
      </c>
      <c r="P1426" s="35">
        <f t="shared" si="106"/>
        <v>74.41689036450974</v>
      </c>
      <c r="Q1426" s="35">
        <f>('Batt Capacity and Sys Weight'!$I$2) + (B1426*$T$2)</f>
        <v>40.433</v>
      </c>
      <c r="R1426" s="35">
        <f>'Batt Capacity and Sys Weight'!$H$2</f>
        <v>99.9</v>
      </c>
    </row>
    <row r="1427" spans="1:18" x14ac:dyDescent="0.3">
      <c r="A1427" s="35" t="s">
        <v>216</v>
      </c>
      <c r="B1427" s="35">
        <v>4.8</v>
      </c>
      <c r="C1427" s="35">
        <v>970</v>
      </c>
      <c r="D1427" s="35" t="s">
        <v>59</v>
      </c>
      <c r="E1427" s="36" t="str" cm="1">
        <f t="array" ref="E1427">GetNumber(D1427,1)</f>
        <v>13</v>
      </c>
      <c r="F1427" s="36" cm="1">
        <f t="array" ref="F1427">GetNumber(D1427,2)+(GetNumber(D1427,3)/10)</f>
        <v>5.5</v>
      </c>
      <c r="G1427" s="35">
        <v>11.1</v>
      </c>
      <c r="H1427" s="35">
        <v>8003</v>
      </c>
      <c r="I1427" s="35">
        <f>38.11*($T$2)</f>
        <v>76.22</v>
      </c>
      <c r="J1427" s="35">
        <f>423*($T$2)</f>
        <v>846</v>
      </c>
      <c r="K1427" s="35">
        <f t="shared" si="104"/>
        <v>7.085106382978724</v>
      </c>
      <c r="L1427" s="35">
        <f t="shared" si="105"/>
        <v>7.0847546575701923</v>
      </c>
      <c r="M1427" s="35">
        <f>4.733125*($T$2)</f>
        <v>9.4662500000000005</v>
      </c>
      <c r="N1427" s="35">
        <f>41.7*(5280/3600)</f>
        <v>61.16</v>
      </c>
      <c r="O1427" s="35">
        <f t="shared" si="103"/>
        <v>1.1189420803782506</v>
      </c>
      <c r="P1427" s="35">
        <f t="shared" si="106"/>
        <v>67.069388297872351</v>
      </c>
      <c r="Q1427" s="35">
        <f>('Batt Capacity and Sys Weight'!$I$2) + (B1427*$T$2)</f>
        <v>40.433</v>
      </c>
      <c r="R1427" s="35">
        <f>'Batt Capacity and Sys Weight'!$H$2</f>
        <v>99.9</v>
      </c>
    </row>
    <row r="1428" spans="1:18" x14ac:dyDescent="0.3">
      <c r="A1428" s="35" t="s">
        <v>216</v>
      </c>
      <c r="B1428" s="35">
        <v>4.8</v>
      </c>
      <c r="C1428" s="35">
        <v>970</v>
      </c>
      <c r="D1428" s="35" t="s">
        <v>134</v>
      </c>
      <c r="E1428" s="36" t="str" cm="1">
        <f t="array" ref="E1428">GetNumber(D1428,1)</f>
        <v>10</v>
      </c>
      <c r="F1428" s="36" t="str" cm="1">
        <f t="array" ref="F1428">GetNumber(D1428,2)</f>
        <v>6</v>
      </c>
      <c r="G1428" s="35">
        <v>11.1</v>
      </c>
      <c r="H1428" s="35">
        <v>9066</v>
      </c>
      <c r="I1428" s="35">
        <f>25.18*($T$2)</f>
        <v>50.36</v>
      </c>
      <c r="J1428" s="35">
        <f>279.5*($T$2)</f>
        <v>559</v>
      </c>
      <c r="K1428" s="35">
        <f t="shared" si="104"/>
        <v>10.722719141323793</v>
      </c>
      <c r="L1428" s="35">
        <f t="shared" si="105"/>
        <v>10.722795869737888</v>
      </c>
      <c r="M1428" s="35">
        <f>2.409375*($T$2)</f>
        <v>4.8187499999999996</v>
      </c>
      <c r="N1428" s="35">
        <f>51.5*(5280/3600)</f>
        <v>75.533333333333331</v>
      </c>
      <c r="O1428" s="35">
        <f t="shared" si="103"/>
        <v>0.86203041144901604</v>
      </c>
      <c r="P1428" s="35">
        <f t="shared" si="106"/>
        <v>51.670102862254026</v>
      </c>
      <c r="Q1428" s="35">
        <f>('Batt Capacity and Sys Weight'!$I$2) + (B1428*$T$2)</f>
        <v>40.433</v>
      </c>
      <c r="R1428" s="35">
        <f>'Batt Capacity and Sys Weight'!$H$2</f>
        <v>99.9</v>
      </c>
    </row>
    <row r="1429" spans="1:18" x14ac:dyDescent="0.3">
      <c r="A1429" s="35" t="s">
        <v>216</v>
      </c>
      <c r="B1429" s="35">
        <v>4.8</v>
      </c>
      <c r="C1429" s="35">
        <v>970</v>
      </c>
      <c r="D1429" s="35" t="s">
        <v>135</v>
      </c>
      <c r="E1429" s="36" t="str" cm="1">
        <f t="array" ref="E1429">GetNumber(D1429,1)</f>
        <v>10</v>
      </c>
      <c r="F1429" s="36" t="str" cm="1">
        <f t="array" ref="F1429">GetNumber(D1429,2)</f>
        <v>7</v>
      </c>
      <c r="G1429" s="35">
        <v>11.1</v>
      </c>
      <c r="H1429" s="35">
        <v>8916</v>
      </c>
      <c r="I1429" s="35">
        <f>27.11*($T$2)</f>
        <v>54.22</v>
      </c>
      <c r="J1429" s="35">
        <f>300.9*($T$2)</f>
        <v>601.79999999999995</v>
      </c>
      <c r="K1429" s="35">
        <f t="shared" si="104"/>
        <v>9.9601196410767709</v>
      </c>
      <c r="L1429" s="35">
        <f t="shared" si="105"/>
        <v>9.9594245665805978</v>
      </c>
      <c r="M1429" s="35">
        <f>2.316875*($T$2)</f>
        <v>4.63375</v>
      </c>
      <c r="N1429" s="35">
        <f>59.1*(5280/3600)</f>
        <v>86.679999999999993</v>
      </c>
      <c r="O1429" s="35">
        <f t="shared" si="103"/>
        <v>0.76998172150216027</v>
      </c>
      <c r="P1429" s="35">
        <f t="shared" si="106"/>
        <v>46.152704386839488</v>
      </c>
      <c r="Q1429" s="35">
        <f>('Batt Capacity and Sys Weight'!$I$2) + (B1429*$T$2)</f>
        <v>40.433</v>
      </c>
      <c r="R1429" s="35">
        <f>'Batt Capacity and Sys Weight'!$H$2</f>
        <v>99.9</v>
      </c>
    </row>
    <row r="1430" spans="1:18" x14ac:dyDescent="0.3">
      <c r="A1430" s="35" t="s">
        <v>216</v>
      </c>
      <c r="B1430" s="35">
        <v>4.8</v>
      </c>
      <c r="C1430" s="35">
        <v>970</v>
      </c>
      <c r="D1430" s="35" t="s">
        <v>136</v>
      </c>
      <c r="E1430" s="36" t="str" cm="1">
        <f t="array" ref="E1430">GetNumber(D1430,1)</f>
        <v>10</v>
      </c>
      <c r="F1430" s="36" t="str" cm="1">
        <f t="array" ref="F1430">GetNumber(D1430,2)</f>
        <v>8</v>
      </c>
      <c r="G1430" s="35">
        <v>11.1</v>
      </c>
      <c r="H1430" s="35">
        <v>8679</v>
      </c>
      <c r="I1430" s="35">
        <f>29.82*($T$2)</f>
        <v>59.64</v>
      </c>
      <c r="J1430" s="35">
        <f>331*($T$2)</f>
        <v>662</v>
      </c>
      <c r="K1430" s="35">
        <f t="shared" si="104"/>
        <v>9.0543806646525677</v>
      </c>
      <c r="L1430" s="35">
        <f t="shared" si="105"/>
        <v>9.0543259557344058</v>
      </c>
      <c r="M1430" s="35">
        <f>2.5175*($T$2)</f>
        <v>5.0350000000000001</v>
      </c>
      <c r="N1430" s="35">
        <f>65.8*(5280/3600)</f>
        <v>96.506666666666661</v>
      </c>
      <c r="O1430" s="35">
        <f t="shared" si="103"/>
        <v>0.7605740181268883</v>
      </c>
      <c r="P1430" s="35">
        <f t="shared" si="106"/>
        <v>45.588806646525683</v>
      </c>
      <c r="Q1430" s="35">
        <f>('Batt Capacity and Sys Weight'!$I$2) + (B1430*$T$2)</f>
        <v>40.433</v>
      </c>
      <c r="R1430" s="35">
        <f>'Batt Capacity and Sys Weight'!$H$2</f>
        <v>99.9</v>
      </c>
    </row>
    <row r="1431" spans="1:18" x14ac:dyDescent="0.3">
      <c r="A1431" s="35" t="s">
        <v>216</v>
      </c>
      <c r="B1431" s="35">
        <v>4.8</v>
      </c>
      <c r="C1431" s="35">
        <v>970</v>
      </c>
      <c r="D1431" s="35" t="s">
        <v>138</v>
      </c>
      <c r="E1431" s="36" t="str" cm="1">
        <f t="array" ref="E1431">GetNumber(D1431,1)</f>
        <v>11</v>
      </c>
      <c r="F1431" s="36" t="str" cm="1">
        <f t="array" ref="F1431">GetNumber(D1431,2)</f>
        <v>6</v>
      </c>
      <c r="G1431" s="35">
        <v>11.1</v>
      </c>
      <c r="H1431" s="35">
        <v>8828</v>
      </c>
      <c r="I1431" s="35">
        <f>28.27*($T$2)</f>
        <v>56.54</v>
      </c>
      <c r="J1431" s="35">
        <f>313.8*($T$2)</f>
        <v>627.6</v>
      </c>
      <c r="K1431" s="35">
        <f t="shared" si="104"/>
        <v>9.5506692160611859</v>
      </c>
      <c r="L1431" s="35">
        <f t="shared" si="105"/>
        <v>9.5507605235231701</v>
      </c>
      <c r="M1431" s="35">
        <f>3.439375*($T$2)</f>
        <v>6.8787500000000001</v>
      </c>
      <c r="N1431" s="35">
        <f>50.2*(5280/3600)</f>
        <v>73.626666666666665</v>
      </c>
      <c r="O1431" s="35">
        <f t="shared" si="103"/>
        <v>1.0960404716379859</v>
      </c>
      <c r="P1431" s="35">
        <f t="shared" si="106"/>
        <v>65.69666586998089</v>
      </c>
      <c r="Q1431" s="35">
        <f>('Batt Capacity and Sys Weight'!$I$2) + (B1431*$T$2)</f>
        <v>40.433</v>
      </c>
      <c r="R1431" s="35">
        <f>'Batt Capacity and Sys Weight'!$H$2</f>
        <v>99.9</v>
      </c>
    </row>
    <row r="1432" spans="1:18" x14ac:dyDescent="0.3">
      <c r="A1432" s="35" t="s">
        <v>216</v>
      </c>
      <c r="B1432" s="35">
        <v>4.8</v>
      </c>
      <c r="C1432" s="35">
        <v>970</v>
      </c>
      <c r="D1432" s="35" t="s">
        <v>139</v>
      </c>
      <c r="E1432" s="36" t="str" cm="1">
        <f t="array" ref="E1432">GetNumber(D1432,1)</f>
        <v>11</v>
      </c>
      <c r="F1432" s="36" t="str" cm="1">
        <f t="array" ref="F1432">GetNumber(D1432,2)</f>
        <v>7</v>
      </c>
      <c r="G1432" s="35">
        <v>11.1</v>
      </c>
      <c r="H1432" s="35">
        <v>8790</v>
      </c>
      <c r="I1432" s="35">
        <f>28.55*($T$2)</f>
        <v>57.1</v>
      </c>
      <c r="J1432" s="35">
        <f>316.9*($T$2)</f>
        <v>633.79999999999995</v>
      </c>
      <c r="K1432" s="35">
        <f t="shared" si="104"/>
        <v>9.4572420321868123</v>
      </c>
      <c r="L1432" s="35">
        <f t="shared" si="105"/>
        <v>9.4570928196147097</v>
      </c>
      <c r="M1432" s="35">
        <f>3.38625*($T$2)</f>
        <v>6.7725</v>
      </c>
      <c r="N1432" s="35">
        <f>58.3*(5280/3600)</f>
        <v>85.506666666666661</v>
      </c>
      <c r="O1432" s="35">
        <f t="shared" si="103"/>
        <v>1.0685547491322185</v>
      </c>
      <c r="P1432" s="35">
        <f t="shared" si="106"/>
        <v>64.049171662985188</v>
      </c>
      <c r="Q1432" s="35">
        <f>('Batt Capacity and Sys Weight'!$I$2) + (B1432*$T$2)</f>
        <v>40.433</v>
      </c>
      <c r="R1432" s="35">
        <f>'Batt Capacity and Sys Weight'!$H$2</f>
        <v>99.9</v>
      </c>
    </row>
    <row r="1433" spans="1:18" x14ac:dyDescent="0.3">
      <c r="A1433" s="35" t="s">
        <v>216</v>
      </c>
      <c r="B1433" s="35">
        <v>4.8</v>
      </c>
      <c r="C1433" s="35">
        <v>970</v>
      </c>
      <c r="D1433" s="35" t="s">
        <v>140</v>
      </c>
      <c r="E1433" s="36" t="str" cm="1">
        <f t="array" ref="E1433">GetNumber(D1433,1)</f>
        <v>11</v>
      </c>
      <c r="F1433" s="36" t="str" cm="1">
        <f t="array" ref="F1433">GetNumber(D1433,2)</f>
        <v>8</v>
      </c>
      <c r="G1433" s="35">
        <v>11.1</v>
      </c>
      <c r="H1433" s="35">
        <v>8215</v>
      </c>
      <c r="I1433" s="35">
        <f>35.51*($T$2)</f>
        <v>71.02</v>
      </c>
      <c r="J1433" s="35">
        <f>394.1*($T$2)</f>
        <v>788.2</v>
      </c>
      <c r="K1433" s="35">
        <f t="shared" si="104"/>
        <v>7.6046688657701091</v>
      </c>
      <c r="L1433" s="35">
        <f t="shared" si="105"/>
        <v>7.6034919740918054</v>
      </c>
      <c r="M1433" s="35">
        <f>2.894375*($T$2)</f>
        <v>5.7887500000000003</v>
      </c>
      <c r="N1433" s="35">
        <f>62.2*(5280/3600)</f>
        <v>91.226666666666659</v>
      </c>
      <c r="O1433" s="35">
        <f t="shared" si="103"/>
        <v>0.73442654148693221</v>
      </c>
      <c r="P1433" s="35">
        <f t="shared" si="106"/>
        <v>44.021526896726719</v>
      </c>
      <c r="Q1433" s="35">
        <f>('Batt Capacity and Sys Weight'!$I$2) + (B1433*$T$2)</f>
        <v>40.433</v>
      </c>
      <c r="R1433" s="35">
        <f>'Batt Capacity and Sys Weight'!$H$2</f>
        <v>99.9</v>
      </c>
    </row>
    <row r="1434" spans="1:18" x14ac:dyDescent="0.3">
      <c r="A1434" s="35" t="s">
        <v>216</v>
      </c>
      <c r="B1434" s="35">
        <v>4.8</v>
      </c>
      <c r="C1434" s="35">
        <v>970</v>
      </c>
      <c r="D1434" s="35" t="s">
        <v>155</v>
      </c>
      <c r="E1434" s="36" t="str" cm="1">
        <f t="array" ref="E1434">GetNumber(D1434,1)</f>
        <v>12</v>
      </c>
      <c r="F1434" s="36" t="str" cm="1">
        <f t="array" ref="F1434">GetNumber(D1434,2)</f>
        <v>6</v>
      </c>
      <c r="G1434" s="35">
        <v>11.1</v>
      </c>
      <c r="H1434" s="35">
        <v>8403</v>
      </c>
      <c r="I1434" s="35">
        <f>33.24*($T$2)</f>
        <v>66.48</v>
      </c>
      <c r="J1434" s="35">
        <f>368.9*($T$2)</f>
        <v>737.8</v>
      </c>
      <c r="K1434" s="35">
        <f t="shared" si="104"/>
        <v>8.1241528869612374</v>
      </c>
      <c r="L1434" s="35">
        <f t="shared" si="105"/>
        <v>8.1227436823104675</v>
      </c>
      <c r="M1434" s="35">
        <f>3.87125*($T$2)</f>
        <v>7.7424999999999997</v>
      </c>
      <c r="N1434" s="35">
        <f>47.7*(5280/3600)</f>
        <v>69.959999999999994</v>
      </c>
      <c r="O1434" s="35">
        <f t="shared" si="103"/>
        <v>1.0494036324207101</v>
      </c>
      <c r="P1434" s="35">
        <f t="shared" si="106"/>
        <v>62.90125372729738</v>
      </c>
      <c r="Q1434" s="35">
        <f>('Batt Capacity and Sys Weight'!$I$2) + (B1434*$T$2)</f>
        <v>40.433</v>
      </c>
      <c r="R1434" s="35">
        <f>'Batt Capacity and Sys Weight'!$H$2</f>
        <v>99.9</v>
      </c>
    </row>
    <row r="1435" spans="1:18" x14ac:dyDescent="0.3">
      <c r="A1435" s="35" t="s">
        <v>216</v>
      </c>
      <c r="B1435" s="35">
        <v>4.8</v>
      </c>
      <c r="C1435" s="35">
        <v>970</v>
      </c>
      <c r="D1435" s="35" t="s">
        <v>156</v>
      </c>
      <c r="E1435" s="36" t="str" cm="1">
        <f t="array" ref="E1435">GetNumber(D1435,1)</f>
        <v>12</v>
      </c>
      <c r="F1435" s="36" t="str" cm="1">
        <f t="array" ref="F1435">GetNumber(D1435,2)</f>
        <v>7</v>
      </c>
      <c r="G1435" s="35">
        <v>11.1</v>
      </c>
      <c r="H1435" s="35">
        <v>7993</v>
      </c>
      <c r="I1435" s="35">
        <f>38.14*($T$2)</f>
        <v>76.28</v>
      </c>
      <c r="J1435" s="35">
        <f>423.4*($T$2)</f>
        <v>846.8</v>
      </c>
      <c r="K1435" s="35">
        <f t="shared" si="104"/>
        <v>7.0784128483703359</v>
      </c>
      <c r="L1435" s="35">
        <f t="shared" si="105"/>
        <v>7.0791819611955953</v>
      </c>
      <c r="M1435" s="35">
        <f>4.14*($T$2)</f>
        <v>8.2799999999999994</v>
      </c>
      <c r="N1435" s="35">
        <f>53*(5280/3600)</f>
        <v>77.733333333333334</v>
      </c>
      <c r="O1435" s="35">
        <f t="shared" si="103"/>
        <v>0.97779877184695319</v>
      </c>
      <c r="P1435" s="35">
        <f t="shared" si="106"/>
        <v>58.609258384506376</v>
      </c>
      <c r="Q1435" s="35">
        <f>('Batt Capacity and Sys Weight'!$I$2) + (B1435*$T$2)</f>
        <v>40.433</v>
      </c>
      <c r="R1435" s="35">
        <f>'Batt Capacity and Sys Weight'!$H$2</f>
        <v>99.9</v>
      </c>
    </row>
    <row r="1436" spans="1:18" x14ac:dyDescent="0.3">
      <c r="A1436" s="35" t="s">
        <v>216</v>
      </c>
      <c r="B1436" s="35">
        <v>4.8</v>
      </c>
      <c r="C1436" s="35">
        <v>970</v>
      </c>
      <c r="D1436" s="35" t="s">
        <v>208</v>
      </c>
      <c r="E1436" s="36" t="str" cm="1">
        <f t="array" ref="E1436">GetNumber(D1436,1)</f>
        <v>13</v>
      </c>
      <c r="F1436" s="36" t="str" cm="1">
        <f t="array" ref="F1436">GetNumber(D1436,2)</f>
        <v>6</v>
      </c>
      <c r="G1436" s="35">
        <v>11.1</v>
      </c>
      <c r="H1436" s="35">
        <v>7955</v>
      </c>
      <c r="I1436" s="35">
        <f>38.67*($T$2)</f>
        <v>77.34</v>
      </c>
      <c r="J1436" s="35">
        <f>429.2*($T$2)</f>
        <v>858.4</v>
      </c>
      <c r="K1436" s="35">
        <f t="shared" si="104"/>
        <v>6.9827586206896557</v>
      </c>
      <c r="L1436" s="35">
        <f t="shared" si="105"/>
        <v>6.9821567106283933</v>
      </c>
      <c r="M1436" s="35">
        <f>4.519375*($T$2)</f>
        <v>9.0387500000000003</v>
      </c>
      <c r="N1436" s="35">
        <f>45.2*(5280/3600)</f>
        <v>66.293333333333337</v>
      </c>
      <c r="O1436" s="35">
        <f t="shared" si="103"/>
        <v>1.0529764678471576</v>
      </c>
      <c r="P1436" s="35">
        <f t="shared" si="106"/>
        <v>63.115409482758629</v>
      </c>
      <c r="Q1436" s="35">
        <f>('Batt Capacity and Sys Weight'!$I$2) + (B1436*$T$2)</f>
        <v>40.433</v>
      </c>
      <c r="R1436" s="35">
        <f>'Batt Capacity and Sys Weight'!$H$2</f>
        <v>99.9</v>
      </c>
    </row>
    <row r="1437" spans="1:18" x14ac:dyDescent="0.3">
      <c r="A1437" s="35" t="s">
        <v>216</v>
      </c>
      <c r="B1437" s="35">
        <v>4.8</v>
      </c>
      <c r="C1437" s="35">
        <v>970</v>
      </c>
      <c r="D1437" s="35" t="s">
        <v>132</v>
      </c>
      <c r="E1437" s="36" t="str" cm="1">
        <f t="array" ref="E1437">GetNumber(D1437,1)</f>
        <v>11</v>
      </c>
      <c r="F1437" s="36" t="str" cm="1">
        <f t="array" ref="F1437">GetNumber(D1437,2)</f>
        <v>8</v>
      </c>
      <c r="G1437" s="35">
        <v>11.1</v>
      </c>
      <c r="H1437" s="35">
        <v>8192</v>
      </c>
      <c r="I1437" s="35">
        <f>36.28*($T$2)</f>
        <v>72.56</v>
      </c>
      <c r="J1437" s="35">
        <f>402.7*($T$2)</f>
        <v>805.4</v>
      </c>
      <c r="K1437" s="35">
        <f t="shared" si="104"/>
        <v>7.4422647131859954</v>
      </c>
      <c r="L1437" s="35">
        <f t="shared" si="105"/>
        <v>7.4421168687982355</v>
      </c>
      <c r="M1437" s="35">
        <f>3.3*($T$2)</f>
        <v>6.6</v>
      </c>
      <c r="N1437" s="35">
        <f>62.1*(5280/3600)</f>
        <v>91.08</v>
      </c>
      <c r="O1437" s="35">
        <f t="shared" si="103"/>
        <v>0.81946858703749681</v>
      </c>
      <c r="P1437" s="35">
        <f t="shared" si="106"/>
        <v>49.118947107027566</v>
      </c>
      <c r="Q1437" s="35">
        <f>('Batt Capacity and Sys Weight'!$I$2) + (B1437*$T$2)</f>
        <v>40.433</v>
      </c>
      <c r="R1437" s="35">
        <f>'Batt Capacity and Sys Weight'!$H$2</f>
        <v>99.9</v>
      </c>
    </row>
    <row r="1438" spans="1:18" x14ac:dyDescent="0.3">
      <c r="A1438" s="35" t="s">
        <v>216</v>
      </c>
      <c r="B1438" s="35">
        <v>4.8</v>
      </c>
      <c r="C1438" s="35">
        <v>970</v>
      </c>
      <c r="D1438" s="35" t="s">
        <v>80</v>
      </c>
      <c r="E1438" s="36" t="str" cm="1">
        <f t="array" ref="E1438">GetNumber(D1438,1)</f>
        <v>10</v>
      </c>
      <c r="F1438" s="36" t="str" cm="1">
        <f t="array" ref="F1438">GetNumber(D1438,2)</f>
        <v>7</v>
      </c>
      <c r="G1438" s="35">
        <v>11.1</v>
      </c>
      <c r="H1438" s="35">
        <v>8670</v>
      </c>
      <c r="I1438" s="35">
        <f>30.4*($T$2)</f>
        <v>60.8</v>
      </c>
      <c r="J1438" s="35">
        <f>337.5*($T$2)</f>
        <v>675</v>
      </c>
      <c r="K1438" s="35">
        <f t="shared" si="104"/>
        <v>8.8800000000000008</v>
      </c>
      <c r="L1438" s="35">
        <f t="shared" si="105"/>
        <v>8.8815789473684212</v>
      </c>
      <c r="M1438" s="35">
        <f>3.51625*($T$2)</f>
        <v>7.0324999999999998</v>
      </c>
      <c r="N1438" s="35">
        <f>57.5*(5280/3600)</f>
        <v>84.333333333333329</v>
      </c>
      <c r="O1438" s="35">
        <f t="shared" si="103"/>
        <v>1.0418518518518518</v>
      </c>
      <c r="P1438" s="35">
        <f t="shared" si="106"/>
        <v>62.448600000000006</v>
      </c>
      <c r="Q1438" s="35">
        <f>('Batt Capacity and Sys Weight'!$I$2) + (B1438*$T$2)</f>
        <v>40.433</v>
      </c>
      <c r="R1438" s="35">
        <f>'Batt Capacity and Sys Weight'!$H$2</f>
        <v>99.9</v>
      </c>
    </row>
    <row r="1439" spans="1:18" x14ac:dyDescent="0.3">
      <c r="A1439" s="35" t="s">
        <v>216</v>
      </c>
      <c r="B1439" s="35">
        <v>4.8</v>
      </c>
      <c r="C1439" s="35">
        <v>970</v>
      </c>
      <c r="D1439" s="35" t="s">
        <v>81</v>
      </c>
      <c r="E1439" s="36" t="str" cm="1">
        <f t="array" ref="E1439">GetNumber(D1439,1)</f>
        <v>11</v>
      </c>
      <c r="F1439" s="36" t="str" cm="1">
        <f t="array" ref="F1439">GetNumber(D1439,2)</f>
        <v>7</v>
      </c>
      <c r="G1439" s="35">
        <v>11.1</v>
      </c>
      <c r="H1439" s="35">
        <v>8256</v>
      </c>
      <c r="I1439" s="35">
        <f>35.37*($T$2)</f>
        <v>70.739999999999995</v>
      </c>
      <c r="J1439" s="35">
        <f>392.6*($T$2)</f>
        <v>785.2</v>
      </c>
      <c r="K1439" s="35">
        <f t="shared" si="104"/>
        <v>7.6337238920020383</v>
      </c>
      <c r="L1439" s="35">
        <f t="shared" si="105"/>
        <v>7.6335877862595423</v>
      </c>
      <c r="M1439" s="35">
        <f>3.98125*($T$2)</f>
        <v>7.9625000000000004</v>
      </c>
      <c r="N1439" s="35">
        <f>54.7*(5280/3600)</f>
        <v>80.226666666666659</v>
      </c>
      <c r="O1439" s="35">
        <f t="shared" si="103"/>
        <v>1.0140728476821192</v>
      </c>
      <c r="P1439" s="35">
        <f t="shared" si="106"/>
        <v>60.78352649006623</v>
      </c>
      <c r="Q1439" s="35">
        <f>('Batt Capacity and Sys Weight'!$I$2) + (B1439*$T$2)</f>
        <v>40.433</v>
      </c>
      <c r="R1439" s="35">
        <f>'Batt Capacity and Sys Weight'!$H$2</f>
        <v>99.9</v>
      </c>
    </row>
    <row r="1440" spans="1:18" x14ac:dyDescent="0.3">
      <c r="A1440" s="35" t="s">
        <v>216</v>
      </c>
      <c r="B1440" s="35">
        <v>4.8</v>
      </c>
      <c r="C1440" s="35">
        <v>970</v>
      </c>
      <c r="D1440" s="35" t="s">
        <v>66</v>
      </c>
      <c r="E1440" s="36" t="str" cm="1">
        <f t="array" ref="E1440">GetNumber(D1440,1)</f>
        <v>11</v>
      </c>
      <c r="F1440" s="36" t="str" cm="1">
        <f t="array" ref="F1440">GetNumber(D1440,2)</f>
        <v>8</v>
      </c>
      <c r="G1440" s="35">
        <v>11.1</v>
      </c>
      <c r="H1440" s="35">
        <v>8056</v>
      </c>
      <c r="I1440" s="35">
        <f>37.75*($T$2)</f>
        <v>75.5</v>
      </c>
      <c r="J1440" s="35">
        <f>419*($T$2)</f>
        <v>838</v>
      </c>
      <c r="K1440" s="35">
        <f t="shared" si="104"/>
        <v>7.1527446300715996</v>
      </c>
      <c r="L1440" s="35">
        <f t="shared" si="105"/>
        <v>7.1523178807947021</v>
      </c>
      <c r="M1440" s="35">
        <f>4.05625*($T$2)</f>
        <v>8.1125000000000007</v>
      </c>
      <c r="N1440" s="35">
        <f>61*(5280/3600)</f>
        <v>89.466666666666654</v>
      </c>
      <c r="O1440" s="35">
        <f t="shared" si="103"/>
        <v>0.96807875894988071</v>
      </c>
      <c r="P1440" s="35">
        <f t="shared" si="106"/>
        <v>58.026640811455856</v>
      </c>
      <c r="Q1440" s="35">
        <f>('Batt Capacity and Sys Weight'!$I$2) + (B1440*$T$2)</f>
        <v>40.433</v>
      </c>
      <c r="R1440" s="35">
        <f>'Batt Capacity and Sys Weight'!$H$2</f>
        <v>99.9</v>
      </c>
    </row>
    <row r="1441" spans="1:18" x14ac:dyDescent="0.3">
      <c r="A1441" s="35" t="s">
        <v>216</v>
      </c>
      <c r="B1441" s="35">
        <v>4.8</v>
      </c>
      <c r="C1441" s="35">
        <v>970</v>
      </c>
      <c r="D1441" s="35" t="s">
        <v>53</v>
      </c>
      <c r="E1441" s="36" t="str" cm="1">
        <f t="array" ref="E1441">GetNumber(D1441,1)</f>
        <v>12</v>
      </c>
      <c r="F1441" s="36" t="str" cm="1">
        <f t="array" ref="F1441">GetNumber(D1441,2)</f>
        <v>6</v>
      </c>
      <c r="G1441" s="35">
        <v>11.1</v>
      </c>
      <c r="H1441" s="35">
        <v>7990</v>
      </c>
      <c r="I1441" s="35">
        <f>38.86*($T$2)</f>
        <v>77.72</v>
      </c>
      <c r="J1441" s="35">
        <f>431.4*($T$2)</f>
        <v>862.8</v>
      </c>
      <c r="K1441" s="35">
        <f t="shared" si="104"/>
        <v>6.9471488178025043</v>
      </c>
      <c r="L1441" s="35">
        <f t="shared" si="105"/>
        <v>6.948018528049408</v>
      </c>
      <c r="M1441" s="35">
        <f>4.435625*($T$2)</f>
        <v>8.8712499999999999</v>
      </c>
      <c r="N1441" s="35">
        <f>45.4*(5280/3600)</f>
        <v>66.586666666666659</v>
      </c>
      <c r="O1441" s="35">
        <f t="shared" si="103"/>
        <v>1.0281930922577656</v>
      </c>
      <c r="P1441" s="35">
        <f t="shared" si="106"/>
        <v>61.629893949930462</v>
      </c>
      <c r="Q1441" s="35">
        <f>('Batt Capacity and Sys Weight'!$I$2) + (B1441*$T$2)</f>
        <v>40.433</v>
      </c>
      <c r="R1441" s="35">
        <f>'Batt Capacity and Sys Weight'!$H$2</f>
        <v>99.9</v>
      </c>
    </row>
    <row r="1442" spans="1:18" x14ac:dyDescent="0.3">
      <c r="A1442" s="35" t="s">
        <v>216</v>
      </c>
      <c r="B1442" s="35">
        <v>4.8</v>
      </c>
      <c r="C1442" s="35">
        <v>970</v>
      </c>
      <c r="D1442" s="35" t="s">
        <v>128</v>
      </c>
      <c r="E1442" s="36" t="str" cm="1">
        <f t="array" ref="E1442">GetNumber(D1442,1)</f>
        <v>8</v>
      </c>
      <c r="F1442" s="36" t="str" cm="1">
        <f t="array" ref="F1442">GetNumber(D1442,2)</f>
        <v>8</v>
      </c>
      <c r="G1442" s="35">
        <v>14.8</v>
      </c>
      <c r="H1442" s="35">
        <v>12050</v>
      </c>
      <c r="I1442" s="35">
        <f>29.76*($T$2)</f>
        <v>59.52</v>
      </c>
      <c r="J1442" s="35">
        <f>440.4*($T$2)</f>
        <v>880.8</v>
      </c>
      <c r="K1442" s="35">
        <f t="shared" si="104"/>
        <v>6.6539509536784749</v>
      </c>
      <c r="L1442" s="35">
        <f t="shared" si="105"/>
        <v>6.653225806451613</v>
      </c>
      <c r="M1442" s="35">
        <f>2.78*($T$2)</f>
        <v>5.56</v>
      </c>
      <c r="N1442" s="35">
        <f>91.3*(5280/3600)</f>
        <v>133.90666666666667</v>
      </c>
      <c r="O1442" s="35">
        <f t="shared" si="103"/>
        <v>0.63124432334241598</v>
      </c>
      <c r="P1442" s="35">
        <f t="shared" si="106"/>
        <v>36.995967302452321</v>
      </c>
      <c r="Q1442" s="35">
        <f>('Batt Capacity and Sys Weight'!$I$3) + (B1442*$T$2)</f>
        <v>35.988475000000001</v>
      </c>
      <c r="R1442" s="35">
        <f>'Batt Capacity and Sys Weight'!$H$3</f>
        <v>97.68</v>
      </c>
    </row>
    <row r="1443" spans="1:18" x14ac:dyDescent="0.3">
      <c r="A1443" s="35" t="s">
        <v>216</v>
      </c>
      <c r="B1443" s="35">
        <v>4.8</v>
      </c>
      <c r="C1443" s="35">
        <v>970</v>
      </c>
      <c r="D1443" s="35" t="s">
        <v>107</v>
      </c>
      <c r="E1443" s="36" t="str" cm="1">
        <f t="array" ref="E1443">GetNumber(D1443,1)</f>
        <v>9</v>
      </c>
      <c r="F1443" s="36" t="str" cm="1">
        <f t="array" ref="F1443">GetNumber(D1443,2)</f>
        <v>6</v>
      </c>
      <c r="G1443" s="35">
        <v>14.8</v>
      </c>
      <c r="H1443" s="35">
        <v>12130</v>
      </c>
      <c r="I1443" s="35">
        <f>28.3*($T$2)</f>
        <v>56.6</v>
      </c>
      <c r="J1443" s="35">
        <f>418.8*($T$2)</f>
        <v>837.6</v>
      </c>
      <c r="K1443" s="35">
        <f t="shared" si="104"/>
        <v>6.9971346704871067</v>
      </c>
      <c r="L1443" s="35">
        <f t="shared" si="105"/>
        <v>6.9964664310954072</v>
      </c>
      <c r="M1443" s="35">
        <f>3.47875*($T$2)</f>
        <v>6.9574999999999996</v>
      </c>
      <c r="N1443" s="35">
        <f>68.9*(5280/3600)</f>
        <v>101.05333333333333</v>
      </c>
      <c r="O1443" s="35">
        <f t="shared" si="103"/>
        <v>0.83064708691499511</v>
      </c>
      <c r="P1443" s="35">
        <f t="shared" si="106"/>
        <v>48.682564469914041</v>
      </c>
      <c r="Q1443" s="35">
        <f>('Batt Capacity and Sys Weight'!$I$3) + (B1443*$T$2)</f>
        <v>35.988475000000001</v>
      </c>
      <c r="R1443" s="35">
        <f>'Batt Capacity and Sys Weight'!$H$3</f>
        <v>97.68</v>
      </c>
    </row>
    <row r="1444" spans="1:18" x14ac:dyDescent="0.3">
      <c r="A1444" s="35" t="s">
        <v>216</v>
      </c>
      <c r="B1444" s="35">
        <v>4.8</v>
      </c>
      <c r="C1444" s="35">
        <v>970</v>
      </c>
      <c r="D1444" s="35" t="s">
        <v>99</v>
      </c>
      <c r="E1444" s="36" t="str" cm="1">
        <f t="array" ref="E1444">GetNumber(D1444,1)</f>
        <v>10</v>
      </c>
      <c r="F1444" s="36" t="str" cm="1">
        <f t="array" ref="F1444">GetNumber(D1444,2)</f>
        <v>5</v>
      </c>
      <c r="G1444" s="35">
        <v>14.8</v>
      </c>
      <c r="H1444" s="35">
        <v>11719</v>
      </c>
      <c r="I1444" s="35">
        <f>33.84*($T$2)</f>
        <v>67.680000000000007</v>
      </c>
      <c r="J1444" s="35">
        <f>500.9*($T$2)</f>
        <v>1001.8</v>
      </c>
      <c r="K1444" s="35">
        <f t="shared" si="104"/>
        <v>5.8502695148732293</v>
      </c>
      <c r="L1444" s="35">
        <f t="shared" si="105"/>
        <v>5.8510638297872344</v>
      </c>
      <c r="M1444" s="35">
        <f>4.33625*($T$2)</f>
        <v>8.6724999999999994</v>
      </c>
      <c r="N1444" s="35">
        <f>55.5*(5280/3600)</f>
        <v>81.399999999999991</v>
      </c>
      <c r="O1444" s="35">
        <f t="shared" si="103"/>
        <v>0.86569175484128569</v>
      </c>
      <c r="P1444" s="35">
        <f t="shared" si="106"/>
        <v>50.736462367738078</v>
      </c>
      <c r="Q1444" s="35">
        <f>('Batt Capacity and Sys Weight'!$I$3) + (B1444*$T$2)</f>
        <v>35.988475000000001</v>
      </c>
      <c r="R1444" s="35">
        <f>'Batt Capacity and Sys Weight'!$H$3</f>
        <v>97.68</v>
      </c>
    </row>
    <row r="1445" spans="1:18" x14ac:dyDescent="0.3">
      <c r="A1445" s="35" t="s">
        <v>216</v>
      </c>
      <c r="B1445" s="35">
        <v>4.8</v>
      </c>
      <c r="C1445" s="35">
        <v>970</v>
      </c>
      <c r="D1445" s="35" t="s">
        <v>67</v>
      </c>
      <c r="E1445" s="36" t="str" cm="1">
        <f t="array" ref="E1445">GetNumber(D1445,1)</f>
        <v>10</v>
      </c>
      <c r="F1445" s="36" t="str" cm="1">
        <f t="array" ref="F1445">GetNumber(D1445,2)</f>
        <v>6</v>
      </c>
      <c r="G1445" s="35">
        <v>14.8</v>
      </c>
      <c r="H1445" s="35">
        <v>11404</v>
      </c>
      <c r="I1445" s="35">
        <f>37.48*($T$2)</f>
        <v>74.959999999999994</v>
      </c>
      <c r="J1445" s="35">
        <f>554.7*($T$2)</f>
        <v>1109.4000000000001</v>
      </c>
      <c r="K1445" s="35">
        <f t="shared" si="104"/>
        <v>5.282855597620336</v>
      </c>
      <c r="L1445" s="35">
        <f t="shared" si="105"/>
        <v>5.2828175026680908</v>
      </c>
      <c r="M1445" s="35">
        <f>4.446875*($T$2)</f>
        <v>8.8937500000000007</v>
      </c>
      <c r="N1445" s="35">
        <f>64.8*(5280/3600)</f>
        <v>95.039999999999992</v>
      </c>
      <c r="O1445" s="35">
        <f t="shared" si="103"/>
        <v>0.80167207499549309</v>
      </c>
      <c r="P1445" s="35">
        <f t="shared" si="106"/>
        <v>46.984396971335869</v>
      </c>
      <c r="Q1445" s="35">
        <f>('Batt Capacity and Sys Weight'!$I$3) + (B1445*$T$2)</f>
        <v>35.988475000000001</v>
      </c>
      <c r="R1445" s="35">
        <f>'Batt Capacity and Sys Weight'!$H$3</f>
        <v>97.68</v>
      </c>
    </row>
    <row r="1446" spans="1:18" x14ac:dyDescent="0.3">
      <c r="A1446" s="35" t="s">
        <v>216</v>
      </c>
      <c r="B1446" s="35">
        <v>4.8</v>
      </c>
      <c r="C1446" s="35">
        <v>970</v>
      </c>
      <c r="D1446" s="35" t="s">
        <v>131</v>
      </c>
      <c r="E1446" s="36" t="str" cm="1">
        <f t="array" ref="E1446">GetNumber(D1446,1)</f>
        <v>10</v>
      </c>
      <c r="F1446" s="36" t="str" cm="1">
        <f t="array" ref="F1446">GetNumber(D1446,2)</f>
        <v>6</v>
      </c>
      <c r="G1446" s="35">
        <v>14.8</v>
      </c>
      <c r="H1446" s="35">
        <v>12054</v>
      </c>
      <c r="I1446" s="35">
        <f>29.59*($T$2)</f>
        <v>59.18</v>
      </c>
      <c r="J1446" s="35">
        <f>437.9*($T$2)</f>
        <v>875.8</v>
      </c>
      <c r="K1446" s="35">
        <f t="shared" si="104"/>
        <v>6.6919387988125152</v>
      </c>
      <c r="L1446" s="35">
        <f t="shared" si="105"/>
        <v>6.6914498141263952</v>
      </c>
      <c r="M1446" s="35">
        <f>4.008125*($T$2)</f>
        <v>8.0162499999999994</v>
      </c>
      <c r="N1446" s="35">
        <f>68.5*(5280/3600)</f>
        <v>100.46666666666665</v>
      </c>
      <c r="O1446" s="35">
        <f t="shared" si="103"/>
        <v>0.91530600593742861</v>
      </c>
      <c r="P1446" s="35">
        <f t="shared" si="106"/>
        <v>53.644254395980823</v>
      </c>
      <c r="Q1446" s="35">
        <f>('Batt Capacity and Sys Weight'!$I$3) + (B1446*$T$2)</f>
        <v>35.988475000000001</v>
      </c>
      <c r="R1446" s="35">
        <f>'Batt Capacity and Sys Weight'!$H$3</f>
        <v>97.68</v>
      </c>
    </row>
    <row r="1447" spans="1:18" x14ac:dyDescent="0.3">
      <c r="A1447" s="35" t="s">
        <v>216</v>
      </c>
      <c r="B1447" s="35">
        <v>4.8</v>
      </c>
      <c r="C1447" s="35">
        <v>970</v>
      </c>
      <c r="D1447" s="35" t="s">
        <v>133</v>
      </c>
      <c r="E1447" s="36" t="str" cm="1">
        <f t="array" ref="E1447">GetNumber(D1447,1)</f>
        <v>10</v>
      </c>
      <c r="F1447" s="36" t="str" cm="1">
        <f t="array" ref="F1447">GetNumber(D1447,2)</f>
        <v>5</v>
      </c>
      <c r="G1447" s="35">
        <v>14.8</v>
      </c>
      <c r="H1447" s="35">
        <v>12037</v>
      </c>
      <c r="I1447" s="35">
        <f>29.71*($T$2)</f>
        <v>59.42</v>
      </c>
      <c r="J1447" s="35">
        <f>439.8*($T$2)</f>
        <v>879.6</v>
      </c>
      <c r="K1447" s="35">
        <f t="shared" si="104"/>
        <v>6.6630286493860851</v>
      </c>
      <c r="L1447" s="35">
        <f t="shared" si="105"/>
        <v>6.6644227532817233</v>
      </c>
      <c r="M1447" s="35">
        <f>3.8975*($T$2)</f>
        <v>7.7949999999999999</v>
      </c>
      <c r="N1447" s="35">
        <f>57*(5280/3600)</f>
        <v>83.6</v>
      </c>
      <c r="O1447" s="35">
        <f t="shared" si="103"/>
        <v>0.88619827194179168</v>
      </c>
      <c r="P1447" s="35">
        <f t="shared" si="106"/>
        <v>51.938308321964534</v>
      </c>
      <c r="Q1447" s="35">
        <f>('Batt Capacity and Sys Weight'!$I$3) + (B1447*$T$2)</f>
        <v>35.988475000000001</v>
      </c>
      <c r="R1447" s="35">
        <f>'Batt Capacity and Sys Weight'!$H$3</f>
        <v>97.68</v>
      </c>
    </row>
    <row r="1448" spans="1:18" x14ac:dyDescent="0.3">
      <c r="A1448" s="35" t="s">
        <v>216</v>
      </c>
      <c r="B1448" s="35">
        <v>4.8</v>
      </c>
      <c r="C1448" s="35">
        <v>970</v>
      </c>
      <c r="D1448" s="35" t="s">
        <v>134</v>
      </c>
      <c r="E1448" s="36" t="str" cm="1">
        <f t="array" ref="E1448">GetNumber(D1448,1)</f>
        <v>10</v>
      </c>
      <c r="F1448" s="36" t="str" cm="1">
        <f t="array" ref="F1448">GetNumber(D1448,2)</f>
        <v>6</v>
      </c>
      <c r="G1448" s="35">
        <v>14.8</v>
      </c>
      <c r="H1448" s="35">
        <v>11289</v>
      </c>
      <c r="I1448" s="35">
        <f>38.75*($T$2)</f>
        <v>77.5</v>
      </c>
      <c r="J1448" s="35">
        <f>573.5*($T$2)</f>
        <v>1147</v>
      </c>
      <c r="K1448" s="35">
        <f t="shared" si="104"/>
        <v>5.1096774193548393</v>
      </c>
      <c r="L1448" s="35">
        <f t="shared" si="105"/>
        <v>5.1096774193548393</v>
      </c>
      <c r="M1448" s="35">
        <f>3.725625*($T$2)</f>
        <v>7.4512499999999999</v>
      </c>
      <c r="N1448" s="35">
        <f>64.1*(5280/3600)</f>
        <v>94.013333333333321</v>
      </c>
      <c r="O1448" s="35">
        <f t="shared" si="103"/>
        <v>0.64962946817785527</v>
      </c>
      <c r="P1448" s="35">
        <f t="shared" si="106"/>
        <v>38.073483870967749</v>
      </c>
      <c r="Q1448" s="35">
        <f>('Batt Capacity and Sys Weight'!$I$3) + (B1448*$T$2)</f>
        <v>35.988475000000001</v>
      </c>
      <c r="R1448" s="35">
        <f>'Batt Capacity and Sys Weight'!$H$3</f>
        <v>97.68</v>
      </c>
    </row>
    <row r="1449" spans="1:18" x14ac:dyDescent="0.3">
      <c r="A1449" s="35" t="s">
        <v>216</v>
      </c>
      <c r="B1449" s="35">
        <v>4.8</v>
      </c>
      <c r="C1449" s="35">
        <v>970</v>
      </c>
      <c r="D1449" s="35" t="s">
        <v>137</v>
      </c>
      <c r="E1449" s="36" t="str" cm="1">
        <f t="array" ref="E1449">GetNumber(D1449,1)</f>
        <v>11</v>
      </c>
      <c r="F1449" s="36" t="str" cm="1">
        <f t="array" ref="F1449">GetNumber(D1449,2)</f>
        <v>5</v>
      </c>
      <c r="G1449" s="35">
        <v>14.8</v>
      </c>
      <c r="H1449" s="35">
        <v>11348</v>
      </c>
      <c r="I1449" s="35">
        <f>38.2*($T$2)</f>
        <v>76.400000000000006</v>
      </c>
      <c r="J1449" s="35">
        <f>565.4*($T$2)</f>
        <v>1130.8</v>
      </c>
      <c r="K1449" s="35">
        <f t="shared" si="104"/>
        <v>5.1828793774319077</v>
      </c>
      <c r="L1449" s="35">
        <f t="shared" si="105"/>
        <v>5.1832460732984291</v>
      </c>
      <c r="M1449" s="35">
        <f>4.80375*($T$2)</f>
        <v>9.6074999999999999</v>
      </c>
      <c r="N1449" s="35">
        <f>53.7*(5280/3600)</f>
        <v>78.760000000000005</v>
      </c>
      <c r="O1449" s="35">
        <f t="shared" si="103"/>
        <v>0.8496197382384153</v>
      </c>
      <c r="P1449" s="35">
        <f t="shared" si="106"/>
        <v>49.794513618677051</v>
      </c>
      <c r="Q1449" s="35">
        <f>('Batt Capacity and Sys Weight'!$I$3) + (B1449*$T$2)</f>
        <v>35.988475000000001</v>
      </c>
      <c r="R1449" s="35">
        <f>'Batt Capacity and Sys Weight'!$H$3</f>
        <v>97.68</v>
      </c>
    </row>
    <row r="1450" spans="1:18" x14ac:dyDescent="0.3">
      <c r="A1450" s="35" t="s">
        <v>216</v>
      </c>
      <c r="B1450" s="35">
        <v>4.8</v>
      </c>
      <c r="C1450" s="35">
        <v>970</v>
      </c>
      <c r="D1450" s="35" t="s">
        <v>131</v>
      </c>
      <c r="E1450" s="36" t="str" cm="1">
        <f t="array" ref="E1450">GetNumber(D1450,1)</f>
        <v>10</v>
      </c>
      <c r="F1450" s="36" t="str" cm="1">
        <f t="array" ref="F1450">GetNumber(D1450,2)</f>
        <v>6</v>
      </c>
      <c r="G1450" s="35">
        <v>14.8</v>
      </c>
      <c r="H1450" s="35">
        <v>11865</v>
      </c>
      <c r="I1450" s="35">
        <f>32.6*($T$2)</f>
        <v>65.2</v>
      </c>
      <c r="J1450" s="35">
        <f>482.5*($T$2)</f>
        <v>965</v>
      </c>
      <c r="K1450" s="35">
        <f t="shared" si="104"/>
        <v>6.0733678756476692</v>
      </c>
      <c r="L1450" s="35">
        <f t="shared" si="105"/>
        <v>6.0736196319018401</v>
      </c>
      <c r="M1450" s="35">
        <f>4.41125*($T$2)</f>
        <v>8.8224999999999998</v>
      </c>
      <c r="N1450" s="35">
        <f>67.4*(5280/3600)</f>
        <v>98.853333333333339</v>
      </c>
      <c r="O1450" s="35">
        <f t="shared" si="103"/>
        <v>0.91424870466321251</v>
      </c>
      <c r="P1450" s="35">
        <f t="shared" si="106"/>
        <v>53.582288082901563</v>
      </c>
      <c r="Q1450" s="35">
        <f>('Batt Capacity and Sys Weight'!$I$3) + (B1450*$T$2)</f>
        <v>35.988475000000001</v>
      </c>
      <c r="R1450" s="35">
        <f>'Batt Capacity and Sys Weight'!$H$3</f>
        <v>97.68</v>
      </c>
    </row>
    <row r="1451" spans="1:18" x14ac:dyDescent="0.3">
      <c r="A1451" s="35" t="s">
        <v>216</v>
      </c>
      <c r="B1451" s="35">
        <v>4.8</v>
      </c>
      <c r="C1451" s="35">
        <v>970</v>
      </c>
      <c r="D1451" s="35" t="s">
        <v>101</v>
      </c>
      <c r="E1451" s="36" t="str" cm="1">
        <f t="array" ref="E1451">GetNumber(D1451,1)</f>
        <v>9</v>
      </c>
      <c r="F1451" s="36" t="str" cm="1">
        <f t="array" ref="F1451">GetNumber(D1451,2)</f>
        <v>7</v>
      </c>
      <c r="G1451" s="35">
        <v>14.8</v>
      </c>
      <c r="H1451" s="35">
        <v>11517</v>
      </c>
      <c r="I1451" s="35">
        <f>36.96*($T$2)</f>
        <v>73.92</v>
      </c>
      <c r="J1451" s="35">
        <f>547*($T$2)</f>
        <v>1094</v>
      </c>
      <c r="K1451" s="35">
        <f t="shared" si="104"/>
        <v>5.3572212065813538</v>
      </c>
      <c r="L1451" s="35">
        <f t="shared" si="105"/>
        <v>5.3571428571428577</v>
      </c>
      <c r="M1451" s="35">
        <f>4.521875*($T$2)</f>
        <v>9.0437499999999993</v>
      </c>
      <c r="N1451" s="35">
        <f>76.3*(5280/3600)</f>
        <v>111.90666666666665</v>
      </c>
      <c r="O1451" s="35">
        <f t="shared" si="103"/>
        <v>0.82666819012797066</v>
      </c>
      <c r="P1451" s="35">
        <f t="shared" si="106"/>
        <v>48.449369287020112</v>
      </c>
      <c r="Q1451" s="35">
        <f>('Batt Capacity and Sys Weight'!$I$3) + (B1451*$T$2)</f>
        <v>35.988475000000001</v>
      </c>
      <c r="R1451" s="35">
        <f>'Batt Capacity and Sys Weight'!$H$3</f>
        <v>97.68</v>
      </c>
    </row>
    <row r="1452" spans="1:18" x14ac:dyDescent="0.3">
      <c r="A1452" s="35" t="s">
        <v>216</v>
      </c>
      <c r="B1452" s="35">
        <v>4.8</v>
      </c>
      <c r="C1452" s="35">
        <v>970</v>
      </c>
      <c r="D1452" s="35" t="s">
        <v>79</v>
      </c>
      <c r="E1452" s="36" t="str" cm="1">
        <f t="array" ref="E1452">GetNumber(D1452,1)</f>
        <v>10</v>
      </c>
      <c r="F1452" s="36" t="str" cm="1">
        <f t="array" ref="F1452">GetNumber(D1452,2)</f>
        <v>5</v>
      </c>
      <c r="G1452" s="35">
        <v>14.8</v>
      </c>
      <c r="H1452" s="35">
        <v>11787</v>
      </c>
      <c r="I1452" s="35">
        <f>33.99*($T$2)</f>
        <v>67.98</v>
      </c>
      <c r="J1452" s="35">
        <f>503*($T$2)</f>
        <v>1006</v>
      </c>
      <c r="K1452" s="35">
        <f t="shared" si="104"/>
        <v>5.825844930417496</v>
      </c>
      <c r="L1452" s="35">
        <f t="shared" si="105"/>
        <v>5.825242718446602</v>
      </c>
      <c r="M1452" s="35">
        <f>4.695625*($T$2)</f>
        <v>9.3912499999999994</v>
      </c>
      <c r="N1452" s="35">
        <f>55.8*(5280/3600)</f>
        <v>81.839999999999989</v>
      </c>
      <c r="O1452" s="35">
        <f t="shared" si="103"/>
        <v>0.93352385685884687</v>
      </c>
      <c r="P1452" s="35">
        <f t="shared" si="106"/>
        <v>54.711966202783309</v>
      </c>
      <c r="Q1452" s="35">
        <f>('Batt Capacity and Sys Weight'!$I$3) + (B1452*$T$2)</f>
        <v>35.988475000000001</v>
      </c>
      <c r="R1452" s="35">
        <f>'Batt Capacity and Sys Weight'!$H$3</f>
        <v>97.68</v>
      </c>
    </row>
    <row r="1453" spans="1:18" x14ac:dyDescent="0.3">
      <c r="A1453" s="35" t="s">
        <v>216</v>
      </c>
      <c r="B1453" s="35">
        <v>4.8</v>
      </c>
      <c r="C1453" s="35">
        <v>970</v>
      </c>
      <c r="D1453" s="35" t="s">
        <v>125</v>
      </c>
      <c r="E1453" s="36" t="str" cm="1">
        <f t="array" ref="E1453">GetNumber(D1453,1)</f>
        <v>7</v>
      </c>
      <c r="F1453" s="36" t="str" cm="1">
        <f t="array" ref="F1453">GetNumber(D1453,2)</f>
        <v>7</v>
      </c>
      <c r="G1453" s="35">
        <v>18.5</v>
      </c>
      <c r="H1453" s="35">
        <v>15641</v>
      </c>
      <c r="I1453" s="35">
        <f>28.22*($T$2)</f>
        <v>56.44</v>
      </c>
      <c r="J1453" s="35">
        <f>522.1*($T$2)</f>
        <v>1044.2</v>
      </c>
      <c r="K1453" s="35">
        <f t="shared" si="104"/>
        <v>5.315073740662708</v>
      </c>
      <c r="L1453" s="35">
        <f t="shared" si="105"/>
        <v>5.3153791637136791</v>
      </c>
      <c r="M1453" s="35">
        <f>2.841875*($T$2)</f>
        <v>5.6837499999999999</v>
      </c>
      <c r="N1453" s="35">
        <f>103.7*(5280/3600)</f>
        <v>152.09333333333333</v>
      </c>
      <c r="O1453" s="35">
        <f t="shared" si="103"/>
        <v>0.54431622294579574</v>
      </c>
      <c r="P1453" s="35">
        <f t="shared" si="106"/>
        <v>30.209550373491666</v>
      </c>
      <c r="Q1453" s="35">
        <f>('Batt Capacity and Sys Weight'!$I$4) + (B1453*$T$2)</f>
        <v>36.764502999999998</v>
      </c>
      <c r="R1453" s="35">
        <f>'Batt Capacity and Sys Weight'!$H$4</f>
        <v>92.5</v>
      </c>
    </row>
    <row r="1454" spans="1:18" x14ac:dyDescent="0.3">
      <c r="A1454" s="35" t="s">
        <v>216</v>
      </c>
      <c r="B1454" s="35">
        <v>4.8</v>
      </c>
      <c r="C1454" s="35">
        <v>970</v>
      </c>
      <c r="D1454" s="35" t="s">
        <v>126</v>
      </c>
      <c r="E1454" s="36" t="str" cm="1">
        <f t="array" ref="E1454">GetNumber(D1454,1)</f>
        <v>8</v>
      </c>
      <c r="F1454" s="36" t="str" cm="1">
        <f t="array" ref="F1454">GetNumber(D1454,2)</f>
        <v>4</v>
      </c>
      <c r="G1454" s="35">
        <v>18.5</v>
      </c>
      <c r="H1454" s="35">
        <v>15769</v>
      </c>
      <c r="I1454" s="35">
        <f>26.25*($T$2)</f>
        <v>52.5</v>
      </c>
      <c r="J1454" s="35">
        <f>485.6*($T$2)</f>
        <v>971.2</v>
      </c>
      <c r="K1454" s="35">
        <f t="shared" si="104"/>
        <v>5.7145799011532121</v>
      </c>
      <c r="L1454" s="35">
        <f t="shared" si="105"/>
        <v>5.7142857142857135</v>
      </c>
      <c r="M1454" s="35">
        <f>3.688125*($T$2)</f>
        <v>7.3762499999999998</v>
      </c>
      <c r="N1454" s="35">
        <f>59.7*(5280/3600)</f>
        <v>87.56</v>
      </c>
      <c r="O1454" s="35">
        <f t="shared" si="103"/>
        <v>0.75949855848434922</v>
      </c>
      <c r="P1454" s="35">
        <f t="shared" si="106"/>
        <v>42.15216999588138</v>
      </c>
      <c r="Q1454" s="35">
        <f>('Batt Capacity and Sys Weight'!$I$4) + (B1454*$T$2)</f>
        <v>36.764502999999998</v>
      </c>
      <c r="R1454" s="35">
        <f>'Batt Capacity and Sys Weight'!$H$4</f>
        <v>92.5</v>
      </c>
    </row>
    <row r="1455" spans="1:18" x14ac:dyDescent="0.3">
      <c r="A1455" s="35" t="s">
        <v>216</v>
      </c>
      <c r="B1455" s="35">
        <v>4.8</v>
      </c>
      <c r="C1455" s="35">
        <v>970</v>
      </c>
      <c r="D1455" s="35" t="s">
        <v>127</v>
      </c>
      <c r="E1455" s="36" t="str" cm="1">
        <f t="array" ref="E1455">GetNumber(D1455,1)</f>
        <v>8</v>
      </c>
      <c r="F1455" s="36" t="str" cm="1">
        <f t="array" ref="F1455">GetNumber(D1455,2)</f>
        <v>6</v>
      </c>
      <c r="G1455" s="35">
        <v>18.5</v>
      </c>
      <c r="H1455" s="35">
        <v>14863</v>
      </c>
      <c r="I1455" s="35">
        <f>36.57*($T$2)</f>
        <v>73.14</v>
      </c>
      <c r="J1455" s="35">
        <f>676.5*($T$2)</f>
        <v>1353</v>
      </c>
      <c r="K1455" s="35">
        <f t="shared" si="104"/>
        <v>4.1019955654101992</v>
      </c>
      <c r="L1455" s="35">
        <f t="shared" si="105"/>
        <v>4.1017227235438884</v>
      </c>
      <c r="M1455" s="35">
        <f>4.1775*($T$2)</f>
        <v>8.3550000000000004</v>
      </c>
      <c r="N1455" s="35">
        <f>84.4*(5280/3600)</f>
        <v>123.78666666666666</v>
      </c>
      <c r="O1455" s="35">
        <f t="shared" si="103"/>
        <v>0.6175166297117517</v>
      </c>
      <c r="P1455" s="35">
        <f t="shared" si="106"/>
        <v>34.272172949002218</v>
      </c>
      <c r="Q1455" s="35">
        <f>('Batt Capacity and Sys Weight'!$I$4) + (B1455*$T$2)</f>
        <v>36.764502999999998</v>
      </c>
      <c r="R1455" s="35">
        <f>'Batt Capacity and Sys Weight'!$H$4</f>
        <v>92.5</v>
      </c>
    </row>
    <row r="1456" spans="1:18" x14ac:dyDescent="0.3">
      <c r="A1456" s="35" t="s">
        <v>216</v>
      </c>
      <c r="B1456" s="35">
        <v>4.8</v>
      </c>
      <c r="C1456" s="35">
        <v>970</v>
      </c>
      <c r="D1456" s="35" t="s">
        <v>129</v>
      </c>
      <c r="E1456" s="36" t="str" cm="1">
        <f t="array" ref="E1456">GetNumber(D1456,1)</f>
        <v>9</v>
      </c>
      <c r="F1456" s="36" cm="1">
        <f t="array" ref="F1456">GetNumber(D1456,2)+(GetNumber(D1456,3)/10)</f>
        <v>4.5</v>
      </c>
      <c r="G1456" s="35">
        <v>18.5</v>
      </c>
      <c r="H1456" s="35">
        <v>14836</v>
      </c>
      <c r="I1456" s="35">
        <f>36.87*($T$2)</f>
        <v>73.739999999999995</v>
      </c>
      <c r="J1456" s="35">
        <f>682.1*($T$2)</f>
        <v>1364.2</v>
      </c>
      <c r="K1456" s="35">
        <f t="shared" si="104"/>
        <v>4.068318428382935</v>
      </c>
      <c r="L1456" s="35">
        <f t="shared" si="105"/>
        <v>4.0683482506102528</v>
      </c>
      <c r="M1456" s="35">
        <f>5.3375*($T$2)</f>
        <v>10.675000000000001</v>
      </c>
      <c r="N1456" s="35">
        <f>63.2*(5280/3600)</f>
        <v>92.693333333333328</v>
      </c>
      <c r="O1456" s="35">
        <f t="shared" si="103"/>
        <v>0.78250989590969067</v>
      </c>
      <c r="P1456" s="35">
        <f t="shared" si="106"/>
        <v>43.429299222987837</v>
      </c>
      <c r="Q1456" s="35">
        <f>('Batt Capacity and Sys Weight'!$I$4) + (B1456*$T$2)</f>
        <v>36.764502999999998</v>
      </c>
      <c r="R1456" s="35">
        <f>'Batt Capacity and Sys Weight'!$H$4</f>
        <v>92.5</v>
      </c>
    </row>
    <row r="1457" spans="1:18" x14ac:dyDescent="0.3">
      <c r="A1457" s="35" t="s">
        <v>216</v>
      </c>
      <c r="B1457" s="35">
        <v>4.8</v>
      </c>
      <c r="C1457" s="35">
        <v>970</v>
      </c>
      <c r="D1457" s="35" t="s">
        <v>130</v>
      </c>
      <c r="E1457" s="36" t="str" cm="1">
        <f t="array" ref="E1457">GetNumber(D1457,1)</f>
        <v>9</v>
      </c>
      <c r="F1457" s="36" t="str" cm="1">
        <f t="array" ref="F1457">GetNumber(D1457,2)</f>
        <v>5</v>
      </c>
      <c r="G1457" s="35">
        <v>18.5</v>
      </c>
      <c r="H1457" s="35">
        <v>15204</v>
      </c>
      <c r="I1457" s="35">
        <f>32.67*($T$2)</f>
        <v>65.34</v>
      </c>
      <c r="J1457" s="35">
        <f>604.4*($T$2)</f>
        <v>1208.8</v>
      </c>
      <c r="K1457" s="35">
        <f t="shared" si="104"/>
        <v>4.5913302448709459</v>
      </c>
      <c r="L1457" s="35">
        <f t="shared" si="105"/>
        <v>4.5913682277318637</v>
      </c>
      <c r="M1457" s="35">
        <f>4.78625*($T$2)</f>
        <v>9.5724999999999998</v>
      </c>
      <c r="N1457" s="35">
        <f>72*(5280/3600)</f>
        <v>105.6</v>
      </c>
      <c r="O1457" s="35">
        <f t="shared" si="103"/>
        <v>0.79190105890138995</v>
      </c>
      <c r="P1457" s="35">
        <f t="shared" si="106"/>
        <v>43.950508769027131</v>
      </c>
      <c r="Q1457" s="35">
        <f>('Batt Capacity and Sys Weight'!$I$4) + (B1457*$T$2)</f>
        <v>36.764502999999998</v>
      </c>
      <c r="R1457" s="35">
        <f>'Batt Capacity and Sys Weight'!$H$4</f>
        <v>92.5</v>
      </c>
    </row>
    <row r="1458" spans="1:18" x14ac:dyDescent="0.3">
      <c r="A1458" s="35" t="s">
        <v>216</v>
      </c>
      <c r="B1458" s="35">
        <v>4.8</v>
      </c>
      <c r="C1458" s="35">
        <v>970</v>
      </c>
      <c r="D1458" s="35" t="s">
        <v>145</v>
      </c>
      <c r="E1458" s="36" t="str" cm="1">
        <f t="array" ref="E1458">GetNumber(D1458,1)</f>
        <v>8</v>
      </c>
      <c r="F1458" s="36" t="str" cm="1">
        <f t="array" ref="F1458">GetNumber(D1458,2)</f>
        <v>6</v>
      </c>
      <c r="G1458" s="35">
        <v>18.5</v>
      </c>
      <c r="H1458" s="35">
        <v>14989</v>
      </c>
      <c r="I1458" s="35">
        <f>34.94*($T$2)</f>
        <v>69.88</v>
      </c>
      <c r="J1458" s="35">
        <f>646.4*($T$2)</f>
        <v>1292.8</v>
      </c>
      <c r="K1458" s="35">
        <f t="shared" si="104"/>
        <v>4.2930074257425748</v>
      </c>
      <c r="L1458" s="35">
        <f t="shared" si="105"/>
        <v>4.2930738408700639</v>
      </c>
      <c r="M1458" s="35">
        <f>4.69375*($T$2)</f>
        <v>9.3874999999999993</v>
      </c>
      <c r="N1458" s="35">
        <f>85.2*(5280/3600)</f>
        <v>124.96</v>
      </c>
      <c r="O1458" s="35">
        <f t="shared" si="103"/>
        <v>0.72613706683168311</v>
      </c>
      <c r="P1458" s="35">
        <f t="shared" si="106"/>
        <v>40.300607209158414</v>
      </c>
      <c r="Q1458" s="35">
        <f>('Batt Capacity and Sys Weight'!$I$4) + (B1458*$T$2)</f>
        <v>36.764502999999998</v>
      </c>
      <c r="R1458" s="35">
        <f>'Batt Capacity and Sys Weight'!$H$4</f>
        <v>92.5</v>
      </c>
    </row>
    <row r="1459" spans="1:18" x14ac:dyDescent="0.3">
      <c r="A1459" s="35" t="s">
        <v>216</v>
      </c>
      <c r="B1459" s="35">
        <v>4.8</v>
      </c>
      <c r="C1459" s="35">
        <v>970</v>
      </c>
      <c r="D1459" s="35" t="s">
        <v>148</v>
      </c>
      <c r="E1459" s="36" t="str" cm="1">
        <f t="array" ref="E1459">GetNumber(D1459,1)</f>
        <v>7</v>
      </c>
      <c r="F1459" s="36" t="str" cm="1">
        <f t="array" ref="F1459">GetNumber(D1459,2)</f>
        <v>5</v>
      </c>
      <c r="G1459" s="35">
        <v>22.2</v>
      </c>
      <c r="H1459" s="35">
        <v>18677</v>
      </c>
      <c r="I1459" s="35">
        <f>30.84*($T$2)</f>
        <v>61.68</v>
      </c>
      <c r="J1459" s="35">
        <f>684.7*($T$2)</f>
        <v>1369.4</v>
      </c>
      <c r="K1459" s="35">
        <f t="shared" si="104"/>
        <v>4.3770994596173507</v>
      </c>
      <c r="L1459" s="35">
        <f t="shared" si="105"/>
        <v>4.3774319066147864</v>
      </c>
      <c r="M1459" s="35">
        <f>3.64625*($T$2)</f>
        <v>7.2925000000000004</v>
      </c>
      <c r="N1459" s="35">
        <f>88.4*(5280/3600)</f>
        <v>129.65333333333334</v>
      </c>
      <c r="O1459" s="35">
        <f t="shared" si="103"/>
        <v>0.5325324959836425</v>
      </c>
      <c r="P1459" s="35">
        <f t="shared" si="106"/>
        <v>31.919997809259531</v>
      </c>
      <c r="Q1459" s="35">
        <f>('Batt Capacity and Sys Weight'!$I$5) + (B1459*$T$2)</f>
        <v>41.173752999999998</v>
      </c>
      <c r="R1459" s="35">
        <f>'Batt Capacity and Sys Weight'!$H$5</f>
        <v>99.9</v>
      </c>
    </row>
    <row r="1460" spans="1:18" x14ac:dyDescent="0.3">
      <c r="A1460" s="35" t="s">
        <v>216</v>
      </c>
      <c r="B1460" s="35">
        <v>4.8</v>
      </c>
      <c r="C1460" s="35">
        <v>970</v>
      </c>
      <c r="D1460" s="35" t="s">
        <v>149</v>
      </c>
      <c r="E1460" s="36" t="str" cm="1">
        <f t="array" ref="E1460">GetNumber(D1460,1)</f>
        <v>7</v>
      </c>
      <c r="F1460" s="36" t="str" cm="1">
        <f t="array" ref="F1460">GetNumber(D1460,2)</f>
        <v>6</v>
      </c>
      <c r="G1460" s="35">
        <v>22.2</v>
      </c>
      <c r="H1460" s="35">
        <v>18580</v>
      </c>
      <c r="I1460" s="35">
        <f>31.88*($T$2)</f>
        <v>63.76</v>
      </c>
      <c r="J1460" s="35">
        <f>707.7*($T$2)</f>
        <v>1415.4</v>
      </c>
      <c r="K1460" s="35">
        <f t="shared" si="104"/>
        <v>4.234845273420941</v>
      </c>
      <c r="L1460" s="35">
        <f t="shared" si="105"/>
        <v>4.2346298619824339</v>
      </c>
      <c r="M1460" s="35">
        <f>3.8625*($T$2)</f>
        <v>7.7249999999999996</v>
      </c>
      <c r="N1460" s="35">
        <f>105.6*(5280/3600)</f>
        <v>154.87999999999997</v>
      </c>
      <c r="O1460" s="35">
        <f t="shared" si="103"/>
        <v>0.54578211106401009</v>
      </c>
      <c r="P1460" s="35">
        <f t="shared" si="106"/>
        <v>32.714179737176771</v>
      </c>
      <c r="Q1460" s="35">
        <f>('Batt Capacity and Sys Weight'!$I$5) + (B1460*$T$2)</f>
        <v>41.173752999999998</v>
      </c>
      <c r="R1460" s="35">
        <f>'Batt Capacity and Sys Weight'!$H$5</f>
        <v>99.9</v>
      </c>
    </row>
    <row r="1461" spans="1:18" x14ac:dyDescent="0.3">
      <c r="A1461" s="35" t="s">
        <v>216</v>
      </c>
      <c r="B1461" s="35">
        <v>4.8</v>
      </c>
      <c r="C1461" s="35">
        <v>970</v>
      </c>
      <c r="D1461" s="35" t="s">
        <v>125</v>
      </c>
      <c r="E1461" s="36" t="str" cm="1">
        <f t="array" ref="E1461">GetNumber(D1461,1)</f>
        <v>7</v>
      </c>
      <c r="F1461" s="36" t="str" cm="1">
        <f t="array" ref="F1461">GetNumber(D1461,2)</f>
        <v>7</v>
      </c>
      <c r="G1461" s="35">
        <v>22.2</v>
      </c>
      <c r="H1461" s="35">
        <v>17957</v>
      </c>
      <c r="I1461" s="35">
        <f>38.28*($T$2)</f>
        <v>76.56</v>
      </c>
      <c r="J1461" s="35">
        <f>849.8*($T$2)</f>
        <v>1699.6</v>
      </c>
      <c r="K1461" s="35">
        <f t="shared" si="104"/>
        <v>3.52671216756884</v>
      </c>
      <c r="L1461" s="35">
        <f t="shared" si="105"/>
        <v>3.5266457680250785</v>
      </c>
      <c r="M1461" s="35">
        <f>3.75*($T$2)</f>
        <v>7.5</v>
      </c>
      <c r="N1461" s="35">
        <f>119*(5280/3600)</f>
        <v>174.53333333333333</v>
      </c>
      <c r="O1461" s="35">
        <f t="shared" si="103"/>
        <v>0.4412803012473524</v>
      </c>
      <c r="P1461" s="35">
        <f t="shared" si="106"/>
        <v>26.450341256766301</v>
      </c>
      <c r="Q1461" s="35">
        <f>('Batt Capacity and Sys Weight'!$I$5) + (B1461*$T$2)</f>
        <v>41.173752999999998</v>
      </c>
      <c r="R1461" s="35">
        <f>'Batt Capacity and Sys Weight'!$H$5</f>
        <v>99.9</v>
      </c>
    </row>
    <row r="1462" spans="1:18" x14ac:dyDescent="0.3">
      <c r="A1462" s="35" t="s">
        <v>216</v>
      </c>
      <c r="B1462" s="35">
        <v>4.8</v>
      </c>
      <c r="C1462" s="35">
        <v>970</v>
      </c>
      <c r="D1462" s="35" t="s">
        <v>126</v>
      </c>
      <c r="E1462" s="36" t="str" cm="1">
        <f t="array" ref="E1462">GetNumber(D1462,1)</f>
        <v>8</v>
      </c>
      <c r="F1462" s="36" t="str" cm="1">
        <f t="array" ref="F1462">GetNumber(D1462,2)</f>
        <v>4</v>
      </c>
      <c r="G1462" s="35">
        <v>22.2</v>
      </c>
      <c r="H1462" s="35">
        <v>18119</v>
      </c>
      <c r="I1462" s="35">
        <f>36.73*($T$2)</f>
        <v>73.459999999999994</v>
      </c>
      <c r="J1462" s="35">
        <f>815.5*($T$2)</f>
        <v>1631</v>
      </c>
      <c r="K1462" s="35">
        <f t="shared" si="104"/>
        <v>3.6750459840588596</v>
      </c>
      <c r="L1462" s="35">
        <f t="shared" si="105"/>
        <v>3.6754696433433165</v>
      </c>
      <c r="M1462" s="35">
        <f>4.865625*($T$2)</f>
        <v>9.7312499999999993</v>
      </c>
      <c r="N1462" s="35">
        <f>68.6*(5280/3600)</f>
        <v>100.61333333333332</v>
      </c>
      <c r="O1462" s="35">
        <f t="shared" si="103"/>
        <v>0.59664316370324944</v>
      </c>
      <c r="P1462" s="35">
        <f t="shared" si="106"/>
        <v>35.762791232372777</v>
      </c>
      <c r="Q1462" s="35">
        <f>('Batt Capacity and Sys Weight'!$I$5) + (B1462*$T$2)</f>
        <v>41.173752999999998</v>
      </c>
      <c r="R1462" s="35">
        <f>'Batt Capacity and Sys Weight'!$H$5</f>
        <v>99.9</v>
      </c>
    </row>
    <row r="1463" spans="1:18" x14ac:dyDescent="0.3">
      <c r="A1463" s="35" t="s">
        <v>217</v>
      </c>
      <c r="B1463" s="35">
        <v>5.82</v>
      </c>
      <c r="C1463" s="35">
        <v>1140</v>
      </c>
      <c r="D1463" s="35" t="s">
        <v>104</v>
      </c>
      <c r="E1463" s="36" t="str" cm="1">
        <f t="array" ref="E1463">GetNumber(D1463,1)</f>
        <v>9</v>
      </c>
      <c r="F1463" s="36" cm="1">
        <f t="array" ref="F1463">GetNumber(D1463,2)+(GetNumber(D1463,3)/10)</f>
        <v>7.5</v>
      </c>
      <c r="G1463" s="35">
        <v>11.1</v>
      </c>
      <c r="H1463" s="35">
        <v>10274</v>
      </c>
      <c r="I1463" s="35">
        <f>42.18*($T$2)</f>
        <v>84.36</v>
      </c>
      <c r="J1463" s="35">
        <f>468.1*($T$2)</f>
        <v>936.2</v>
      </c>
      <c r="K1463" s="35">
        <f t="shared" si="104"/>
        <v>6.4024781029694511</v>
      </c>
      <c r="L1463" s="35">
        <f t="shared" si="105"/>
        <v>6.4011379800853483</v>
      </c>
      <c r="M1463" s="35">
        <f>3.08875*($T$2)</f>
        <v>6.1775000000000002</v>
      </c>
      <c r="N1463" s="35">
        <f>73*(5280/3600)</f>
        <v>107.06666666666666</v>
      </c>
      <c r="O1463" s="35">
        <f t="shared" si="103"/>
        <v>0.6598483230079043</v>
      </c>
      <c r="P1463" s="35">
        <f t="shared" si="106"/>
        <v>39.551308481093784</v>
      </c>
      <c r="Q1463" s="35">
        <f>('Batt Capacity and Sys Weight'!$I$2) + (B1463*$T$2)</f>
        <v>42.472999999999999</v>
      </c>
      <c r="R1463" s="35">
        <f>'Batt Capacity and Sys Weight'!$H$2</f>
        <v>99.9</v>
      </c>
    </row>
    <row r="1464" spans="1:18" x14ac:dyDescent="0.3">
      <c r="A1464" s="35" t="s">
        <v>217</v>
      </c>
      <c r="B1464" s="35">
        <v>5.82</v>
      </c>
      <c r="C1464" s="35">
        <v>1140</v>
      </c>
      <c r="D1464" s="35" t="s">
        <v>210</v>
      </c>
      <c r="E1464" s="36" t="str" cm="1">
        <f t="array" ref="E1464">GetNumber(D1464,1)</f>
        <v>9</v>
      </c>
      <c r="F1464" s="36" t="str" cm="1">
        <f t="array" ref="F1464">GetNumber(D1464,2)</f>
        <v>8</v>
      </c>
      <c r="G1464" s="35">
        <v>11.1</v>
      </c>
      <c r="H1464" s="35">
        <v>10340</v>
      </c>
      <c r="I1464" s="35">
        <f>43.28*($T$2)</f>
        <v>86.56</v>
      </c>
      <c r="J1464" s="35">
        <f>480.4*($T$2)</f>
        <v>960.8</v>
      </c>
      <c r="K1464" s="35">
        <f t="shared" si="104"/>
        <v>6.2385512073272276</v>
      </c>
      <c r="L1464" s="35">
        <f t="shared" si="105"/>
        <v>6.2384473197781887</v>
      </c>
      <c r="M1464" s="35">
        <f>4.126875*($T$2)</f>
        <v>8.2537500000000001</v>
      </c>
      <c r="N1464" s="35">
        <f>78.3*(5280/3600)</f>
        <v>114.83999999999999</v>
      </c>
      <c r="O1464" s="35">
        <f t="shared" si="103"/>
        <v>0.85904975020815988</v>
      </c>
      <c r="P1464" s="35">
        <f t="shared" si="106"/>
        <v>51.491442027477106</v>
      </c>
      <c r="Q1464" s="35">
        <f>('Batt Capacity and Sys Weight'!$I$2) + (B1464*$T$2)</f>
        <v>42.472999999999999</v>
      </c>
      <c r="R1464" s="35">
        <f>'Batt Capacity and Sys Weight'!$H$2</f>
        <v>99.9</v>
      </c>
    </row>
    <row r="1465" spans="1:18" x14ac:dyDescent="0.3">
      <c r="A1465" s="35" t="s">
        <v>217</v>
      </c>
      <c r="B1465" s="35">
        <v>5.82</v>
      </c>
      <c r="C1465" s="35">
        <v>1140</v>
      </c>
      <c r="D1465" s="35" t="s">
        <v>103</v>
      </c>
      <c r="E1465" s="36" t="str" cm="1">
        <f t="array" ref="E1465">GetNumber(D1465,1)</f>
        <v>9</v>
      </c>
      <c r="F1465" s="36" t="str" cm="1">
        <f t="array" ref="F1465">GetNumber(D1465,2)</f>
        <v>9</v>
      </c>
      <c r="G1465" s="35">
        <v>11.1</v>
      </c>
      <c r="H1465" s="35">
        <v>10035</v>
      </c>
      <c r="I1465" s="35">
        <f>46.32*($T$2)</f>
        <v>92.64</v>
      </c>
      <c r="J1465" s="35">
        <f>514.2*($T$2)</f>
        <v>1028.4000000000001</v>
      </c>
      <c r="K1465" s="35">
        <f t="shared" si="104"/>
        <v>5.828471411901984</v>
      </c>
      <c r="L1465" s="35">
        <f t="shared" si="105"/>
        <v>5.8290155440414511</v>
      </c>
      <c r="M1465" s="35">
        <f>3.046875*($T$2)</f>
        <v>6.09375</v>
      </c>
      <c r="N1465" s="35">
        <f>85.5*(5280/3600)</f>
        <v>125.39999999999999</v>
      </c>
      <c r="O1465" s="35">
        <f t="shared" si="103"/>
        <v>0.59254667444574083</v>
      </c>
      <c r="P1465" s="35">
        <f t="shared" si="106"/>
        <v>35.517247666277719</v>
      </c>
      <c r="Q1465" s="35">
        <f>('Batt Capacity and Sys Weight'!$I$2) + (B1465*$T$2)</f>
        <v>42.472999999999999</v>
      </c>
      <c r="R1465" s="35">
        <f>'Batt Capacity and Sys Weight'!$H$2</f>
        <v>99.9</v>
      </c>
    </row>
    <row r="1466" spans="1:18" x14ac:dyDescent="0.3">
      <c r="A1466" s="35" t="s">
        <v>217</v>
      </c>
      <c r="B1466" s="35">
        <v>5.82</v>
      </c>
      <c r="C1466" s="35">
        <v>1140</v>
      </c>
      <c r="D1466" s="35" t="s">
        <v>67</v>
      </c>
      <c r="E1466" s="36" t="str" cm="1">
        <f t="array" ref="E1466">GetNumber(D1466,1)</f>
        <v>10</v>
      </c>
      <c r="F1466" s="36" t="str" cm="1">
        <f t="array" ref="F1466">GetNumber(D1466,2)</f>
        <v>6</v>
      </c>
      <c r="G1466" s="35">
        <v>11.1</v>
      </c>
      <c r="H1466" s="35">
        <v>10563</v>
      </c>
      <c r="I1466" s="35">
        <f>36.58*($T$2)</f>
        <v>73.16</v>
      </c>
      <c r="J1466" s="35">
        <f>406*($T$2)</f>
        <v>812</v>
      </c>
      <c r="K1466" s="35">
        <f t="shared" si="104"/>
        <v>7.3817733990147785</v>
      </c>
      <c r="L1466" s="35">
        <f t="shared" si="105"/>
        <v>7.3810825587752875</v>
      </c>
      <c r="M1466" s="35">
        <f>3.85375*($T$2)</f>
        <v>7.7074999999999996</v>
      </c>
      <c r="N1466" s="35">
        <f>60*(5280/3600)</f>
        <v>88</v>
      </c>
      <c r="O1466" s="35">
        <f t="shared" si="103"/>
        <v>0.94919950738916248</v>
      </c>
      <c r="P1466" s="35">
        <f t="shared" si="106"/>
        <v>56.895018472906401</v>
      </c>
      <c r="Q1466" s="35">
        <f>('Batt Capacity and Sys Weight'!$I$2) + (B1466*$T$2)</f>
        <v>42.472999999999999</v>
      </c>
      <c r="R1466" s="35">
        <f>'Batt Capacity and Sys Weight'!$H$2</f>
        <v>99.9</v>
      </c>
    </row>
    <row r="1467" spans="1:18" x14ac:dyDescent="0.3">
      <c r="A1467" s="35" t="s">
        <v>217</v>
      </c>
      <c r="B1467" s="35">
        <v>5.82</v>
      </c>
      <c r="C1467" s="35">
        <v>1140</v>
      </c>
      <c r="D1467" s="35" t="s">
        <v>68</v>
      </c>
      <c r="E1467" s="36" t="str" cm="1">
        <f t="array" ref="E1467">GetNumber(D1467,1)</f>
        <v>10</v>
      </c>
      <c r="F1467" s="36" t="str" cm="1">
        <f t="array" ref="F1467">GetNumber(D1467,2)</f>
        <v>7</v>
      </c>
      <c r="G1467" s="35">
        <v>11.1</v>
      </c>
      <c r="H1467" s="35">
        <v>10202</v>
      </c>
      <c r="I1467" s="35">
        <f>42.52*($T$2)</f>
        <v>85.04</v>
      </c>
      <c r="J1467" s="35">
        <f>472*($T$2)</f>
        <v>944</v>
      </c>
      <c r="K1467" s="35">
        <f t="shared" si="104"/>
        <v>6.3495762711864412</v>
      </c>
      <c r="L1467" s="35">
        <f t="shared" si="105"/>
        <v>6.3499529633113827</v>
      </c>
      <c r="M1467" s="35">
        <f>3.90875*($T$2)</f>
        <v>7.8174999999999999</v>
      </c>
      <c r="N1467" s="35">
        <f>67.6*(5280/3600)</f>
        <v>99.146666666666647</v>
      </c>
      <c r="O1467" s="35">
        <f t="shared" si="103"/>
        <v>0.828125</v>
      </c>
      <c r="P1467" s="35">
        <f t="shared" si="106"/>
        <v>49.637812500000003</v>
      </c>
      <c r="Q1467" s="35">
        <f>('Batt Capacity and Sys Weight'!$I$2) + (B1467*$T$2)</f>
        <v>42.472999999999999</v>
      </c>
      <c r="R1467" s="35">
        <f>'Batt Capacity and Sys Weight'!$H$2</f>
        <v>99.9</v>
      </c>
    </row>
    <row r="1468" spans="1:18" x14ac:dyDescent="0.3">
      <c r="A1468" s="35" t="s">
        <v>217</v>
      </c>
      <c r="B1468" s="35">
        <v>5.82</v>
      </c>
      <c r="C1468" s="35">
        <v>1140</v>
      </c>
      <c r="D1468" s="35" t="s">
        <v>69</v>
      </c>
      <c r="E1468" s="36" t="str" cm="1">
        <f t="array" ref="E1468">GetNumber(D1468,1)</f>
        <v>10</v>
      </c>
      <c r="F1468" s="36" t="str" cm="1">
        <f t="array" ref="F1468">GetNumber(D1468,2)</f>
        <v>8</v>
      </c>
      <c r="G1468" s="35">
        <v>11.1</v>
      </c>
      <c r="H1468" s="35">
        <v>9954</v>
      </c>
      <c r="I1468" s="35">
        <f>47.09*($T$2)</f>
        <v>94.18</v>
      </c>
      <c r="J1468" s="35">
        <f>522.7*($T$2)</f>
        <v>1045.4000000000001</v>
      </c>
      <c r="K1468" s="35">
        <f t="shared" si="104"/>
        <v>5.73369045341496</v>
      </c>
      <c r="L1468" s="35">
        <f t="shared" si="105"/>
        <v>5.7337014228073899</v>
      </c>
      <c r="M1468" s="35">
        <f>3.90625*($T$2)</f>
        <v>7.8125</v>
      </c>
      <c r="N1468" s="35">
        <f>75.4*(5280/3600)</f>
        <v>110.58666666666667</v>
      </c>
      <c r="O1468" s="35">
        <f t="shared" si="103"/>
        <v>0.74732159938779408</v>
      </c>
      <c r="P1468" s="35">
        <f t="shared" si="106"/>
        <v>44.794456667304374</v>
      </c>
      <c r="Q1468" s="35">
        <f>('Batt Capacity and Sys Weight'!$I$2) + (B1468*$T$2)</f>
        <v>42.472999999999999</v>
      </c>
      <c r="R1468" s="35">
        <f>'Batt Capacity and Sys Weight'!$H$2</f>
        <v>99.9</v>
      </c>
    </row>
    <row r="1469" spans="1:18" x14ac:dyDescent="0.3">
      <c r="A1469" s="35" t="s">
        <v>217</v>
      </c>
      <c r="B1469" s="35">
        <v>5.82</v>
      </c>
      <c r="C1469" s="35">
        <v>1140</v>
      </c>
      <c r="D1469" s="35" t="s">
        <v>70</v>
      </c>
      <c r="E1469" s="36" t="str" cm="1">
        <f t="array" ref="E1469">GetNumber(D1469,1)</f>
        <v>11</v>
      </c>
      <c r="F1469" s="36" cm="1">
        <f t="array" ref="F1469">GetNumber(D1469,2)+(GetNumber(D1469,3)/10)</f>
        <v>5.5</v>
      </c>
      <c r="G1469" s="35">
        <v>11.1</v>
      </c>
      <c r="H1469" s="35">
        <v>10006</v>
      </c>
      <c r="I1469" s="35">
        <f>46.17*($T$2)</f>
        <v>92.34</v>
      </c>
      <c r="J1469" s="35">
        <f>512.5*($T$2)</f>
        <v>1025</v>
      </c>
      <c r="K1469" s="35">
        <f t="shared" si="104"/>
        <v>5.8478048780487804</v>
      </c>
      <c r="L1469" s="35">
        <f t="shared" si="105"/>
        <v>5.8479532163742682</v>
      </c>
      <c r="M1469" s="35">
        <f>4.95375*($T$2)</f>
        <v>9.9075000000000006</v>
      </c>
      <c r="N1469" s="35">
        <f>52.1*(5280/3600)</f>
        <v>76.413333333333327</v>
      </c>
      <c r="O1469" s="35">
        <f t="shared" si="103"/>
        <v>0.96658536585365862</v>
      </c>
      <c r="P1469" s="35">
        <f t="shared" si="106"/>
        <v>57.937126829268294</v>
      </c>
      <c r="Q1469" s="35">
        <f>('Batt Capacity and Sys Weight'!$I$2) + (B1469*$T$2)</f>
        <v>42.472999999999999</v>
      </c>
      <c r="R1469" s="35">
        <f>'Batt Capacity and Sys Weight'!$H$2</f>
        <v>99.9</v>
      </c>
    </row>
    <row r="1470" spans="1:18" x14ac:dyDescent="0.3">
      <c r="A1470" s="35" t="s">
        <v>217</v>
      </c>
      <c r="B1470" s="35">
        <v>5.82</v>
      </c>
      <c r="C1470" s="35">
        <v>1140</v>
      </c>
      <c r="D1470" s="35" t="s">
        <v>71</v>
      </c>
      <c r="E1470" s="36" t="str" cm="1">
        <f t="array" ref="E1470">GetNumber(D1470,1)</f>
        <v>11</v>
      </c>
      <c r="F1470" s="36" t="str" cm="1">
        <f t="array" ref="F1470">GetNumber(D1470,2)</f>
        <v>7</v>
      </c>
      <c r="G1470" s="35">
        <v>11.1</v>
      </c>
      <c r="H1470" s="35">
        <v>9595</v>
      </c>
      <c r="I1470" s="35">
        <f>52.86*($T$2)</f>
        <v>105.72</v>
      </c>
      <c r="J1470" s="35">
        <f>586.7*($T$2)</f>
        <v>1173.4000000000001</v>
      </c>
      <c r="K1470" s="35">
        <f t="shared" si="104"/>
        <v>5.1082324867905236</v>
      </c>
      <c r="L1470" s="35">
        <f t="shared" si="105"/>
        <v>5.1078320090805898</v>
      </c>
      <c r="M1470" s="35">
        <f>5.053125*($T$2)</f>
        <v>10.106249999999999</v>
      </c>
      <c r="N1470" s="35">
        <f>63.6*(5280/3600)</f>
        <v>93.28</v>
      </c>
      <c r="O1470" s="35">
        <f t="shared" si="103"/>
        <v>0.86127918868246101</v>
      </c>
      <c r="P1470" s="35">
        <f t="shared" si="106"/>
        <v>51.625074569626726</v>
      </c>
      <c r="Q1470" s="35">
        <f>('Batt Capacity and Sys Weight'!$I$2) + (B1470*$T$2)</f>
        <v>42.472999999999999</v>
      </c>
      <c r="R1470" s="35">
        <f>'Batt Capacity and Sys Weight'!$H$2</f>
        <v>99.9</v>
      </c>
    </row>
    <row r="1471" spans="1:18" x14ac:dyDescent="0.3">
      <c r="A1471" s="35" t="s">
        <v>217</v>
      </c>
      <c r="B1471" s="35">
        <v>5.82</v>
      </c>
      <c r="C1471" s="35">
        <v>1140</v>
      </c>
      <c r="D1471" s="35" t="s">
        <v>211</v>
      </c>
      <c r="E1471" s="36" t="str" cm="1">
        <f t="array" ref="E1471">GetNumber(D1471,1)</f>
        <v>11</v>
      </c>
      <c r="F1471" s="36" t="str" cm="1">
        <f t="array" ref="F1471">GetNumber(D1471,2)</f>
        <v>7</v>
      </c>
      <c r="G1471" s="35">
        <v>11.1</v>
      </c>
      <c r="H1471" s="35">
        <v>9738</v>
      </c>
      <c r="I1471" s="35">
        <f>53.36*($T$2)</f>
        <v>106.72</v>
      </c>
      <c r="J1471" s="35">
        <f>592.3*($T$2)</f>
        <v>1184.5999999999999</v>
      </c>
      <c r="K1471" s="35">
        <f t="shared" si="104"/>
        <v>5.0599358433226413</v>
      </c>
      <c r="L1471" s="35">
        <f t="shared" si="105"/>
        <v>5.059970014992504</v>
      </c>
      <c r="M1471" s="35">
        <f>5.584375*($T$2)</f>
        <v>11.168749999999999</v>
      </c>
      <c r="N1471" s="35">
        <f>64.6*(5280/3600)</f>
        <v>94.746666666666655</v>
      </c>
      <c r="O1471" s="35">
        <f t="shared" si="103"/>
        <v>0.94282880297146721</v>
      </c>
      <c r="P1471" s="35">
        <f t="shared" si="106"/>
        <v>56.513158450109749</v>
      </c>
      <c r="Q1471" s="35">
        <f>('Batt Capacity and Sys Weight'!$I$2) + (B1471*$T$2)</f>
        <v>42.472999999999999</v>
      </c>
      <c r="R1471" s="35">
        <f>'Batt Capacity and Sys Weight'!$H$2</f>
        <v>99.9</v>
      </c>
    </row>
    <row r="1472" spans="1:18" x14ac:dyDescent="0.3">
      <c r="A1472" s="35" t="s">
        <v>217</v>
      </c>
      <c r="B1472" s="35">
        <v>5.82</v>
      </c>
      <c r="C1472" s="35">
        <v>1140</v>
      </c>
      <c r="D1472" s="35" t="s">
        <v>132</v>
      </c>
      <c r="E1472" s="36" t="str" cm="1">
        <f t="array" ref="E1472">GetNumber(D1472,1)</f>
        <v>11</v>
      </c>
      <c r="F1472" s="36" t="str" cm="1">
        <f t="array" ref="F1472">GetNumber(D1472,2)</f>
        <v>8</v>
      </c>
      <c r="G1472" s="35">
        <v>11.1</v>
      </c>
      <c r="H1472" s="35">
        <v>9959</v>
      </c>
      <c r="I1472" s="35">
        <f>49.23*($T$2)</f>
        <v>98.46</v>
      </c>
      <c r="J1472" s="35">
        <f>546.5*($T$2)</f>
        <v>1093</v>
      </c>
      <c r="K1472" s="35">
        <f t="shared" si="104"/>
        <v>5.4839890210430013</v>
      </c>
      <c r="L1472" s="35">
        <f t="shared" si="105"/>
        <v>5.4844606946983552</v>
      </c>
      <c r="M1472" s="35">
        <f>4.903125*($T$2)</f>
        <v>9.8062500000000004</v>
      </c>
      <c r="N1472" s="35">
        <f>75.4*(5280/3600)</f>
        <v>110.58666666666667</v>
      </c>
      <c r="O1472" s="35">
        <f t="shared" si="103"/>
        <v>0.89718664226898448</v>
      </c>
      <c r="P1472" s="35">
        <f t="shared" si="106"/>
        <v>53.777367337602932</v>
      </c>
      <c r="Q1472" s="35">
        <f>('Batt Capacity and Sys Weight'!$I$2) + (B1472*$T$2)</f>
        <v>42.472999999999999</v>
      </c>
      <c r="R1472" s="35">
        <f>'Batt Capacity and Sys Weight'!$H$2</f>
        <v>99.9</v>
      </c>
    </row>
    <row r="1473" spans="1:18" x14ac:dyDescent="0.3">
      <c r="A1473" s="35" t="s">
        <v>217</v>
      </c>
      <c r="B1473" s="35">
        <v>5.82</v>
      </c>
      <c r="C1473" s="35">
        <v>1140</v>
      </c>
      <c r="D1473" s="35" t="s">
        <v>98</v>
      </c>
      <c r="E1473" s="36" t="str" cm="1">
        <f t="array" ref="E1473">GetNumber(D1473,1)</f>
        <v>13</v>
      </c>
      <c r="F1473" s="36" t="str" cm="1">
        <f t="array" ref="F1473">GetNumber(D1473,2)</f>
        <v>4</v>
      </c>
      <c r="G1473" s="35">
        <v>11.1</v>
      </c>
      <c r="H1473" s="35">
        <v>9752</v>
      </c>
      <c r="I1473" s="35">
        <f>50.52*($T$2)</f>
        <v>101.04</v>
      </c>
      <c r="J1473" s="35">
        <f>560.8*($T$2)</f>
        <v>1121.5999999999999</v>
      </c>
      <c r="K1473" s="35">
        <f t="shared" si="104"/>
        <v>5.3441512125534958</v>
      </c>
      <c r="L1473" s="35">
        <f t="shared" si="105"/>
        <v>5.3444180522565317</v>
      </c>
      <c r="M1473" s="35">
        <f>5.96125*($T$2)</f>
        <v>11.922499999999999</v>
      </c>
      <c r="N1473" s="35">
        <f>36.9*(5280/3600)</f>
        <v>54.12</v>
      </c>
      <c r="O1473" s="35">
        <f t="shared" si="103"/>
        <v>1.0629903708987163</v>
      </c>
      <c r="P1473" s="35">
        <f t="shared" si="106"/>
        <v>63.715642831669051</v>
      </c>
      <c r="Q1473" s="35">
        <f>('Batt Capacity and Sys Weight'!$I$2) + (B1473*$T$2)</f>
        <v>42.472999999999999</v>
      </c>
      <c r="R1473" s="35">
        <f>'Batt Capacity and Sys Weight'!$H$2</f>
        <v>99.9</v>
      </c>
    </row>
    <row r="1474" spans="1:18" x14ac:dyDescent="0.3">
      <c r="A1474" s="35" t="s">
        <v>217</v>
      </c>
      <c r="B1474" s="35">
        <v>5.82</v>
      </c>
      <c r="C1474" s="35">
        <v>1140</v>
      </c>
      <c r="D1474" s="35" t="s">
        <v>134</v>
      </c>
      <c r="E1474" s="36" t="str" cm="1">
        <f t="array" ref="E1474">GetNumber(D1474,1)</f>
        <v>10</v>
      </c>
      <c r="F1474" s="36" t="str" cm="1">
        <f t="array" ref="F1474">GetNumber(D1474,2)</f>
        <v>6</v>
      </c>
      <c r="G1474" s="35">
        <v>11.1</v>
      </c>
      <c r="H1474" s="35">
        <v>10514</v>
      </c>
      <c r="I1474" s="35">
        <f>40.05*($T$2)</f>
        <v>80.099999999999994</v>
      </c>
      <c r="J1474" s="35">
        <f>444.6*($T$2)</f>
        <v>889.2</v>
      </c>
      <c r="K1474" s="35">
        <f t="shared" si="104"/>
        <v>6.7408906882591095</v>
      </c>
      <c r="L1474" s="35">
        <f t="shared" si="105"/>
        <v>6.7415730337078656</v>
      </c>
      <c r="M1474" s="35">
        <f>3.27375*($T$2)</f>
        <v>6.5475000000000003</v>
      </c>
      <c r="N1474" s="35">
        <f>59.7*(5280/3600)</f>
        <v>87.56</v>
      </c>
      <c r="O1474" s="35">
        <f t="shared" ref="O1474:O1502" si="107" xml:space="preserve"> (M1474/J1474)*100</f>
        <v>0.73633603238866396</v>
      </c>
      <c r="P1474" s="35">
        <f t="shared" si="106"/>
        <v>44.135981781376522</v>
      </c>
      <c r="Q1474" s="35">
        <f>('Batt Capacity and Sys Weight'!$I$2) + (B1474*$T$2)</f>
        <v>42.472999999999999</v>
      </c>
      <c r="R1474" s="35">
        <f>'Batt Capacity and Sys Weight'!$H$2</f>
        <v>99.9</v>
      </c>
    </row>
    <row r="1475" spans="1:18" x14ac:dyDescent="0.3">
      <c r="A1475" s="35" t="s">
        <v>217</v>
      </c>
      <c r="B1475" s="35">
        <v>5.82</v>
      </c>
      <c r="C1475" s="35">
        <v>1140</v>
      </c>
      <c r="D1475" s="35" t="s">
        <v>135</v>
      </c>
      <c r="E1475" s="36" t="str" cm="1">
        <f t="array" ref="E1475">GetNumber(D1475,1)</f>
        <v>10</v>
      </c>
      <c r="F1475" s="36" t="str" cm="1">
        <f t="array" ref="F1475">GetNumber(D1475,2)</f>
        <v>7</v>
      </c>
      <c r="G1475" s="35">
        <v>11.1</v>
      </c>
      <c r="H1475" s="35">
        <v>10341</v>
      </c>
      <c r="I1475" s="35">
        <f>42.9*($T$2)</f>
        <v>85.8</v>
      </c>
      <c r="J1475" s="35">
        <f>476.2*($T$2)</f>
        <v>952.4</v>
      </c>
      <c r="K1475" s="35">
        <f t="shared" ref="K1475:K1502" si="108" xml:space="preserve"> (R1475/J1475)*60</f>
        <v>6.29357412851743</v>
      </c>
      <c r="L1475" s="35">
        <f t="shared" ref="L1475:L1502" si="109">( (R1475/G1475)/I1475)*60</f>
        <v>6.2937062937062933</v>
      </c>
      <c r="M1475" s="35">
        <f>3.136875*($T$2)</f>
        <v>6.2737499999999997</v>
      </c>
      <c r="N1475" s="35">
        <f>68.5*(5280/3600)</f>
        <v>100.46666666666665</v>
      </c>
      <c r="O1475" s="35">
        <f t="shared" si="107"/>
        <v>0.65873057538849222</v>
      </c>
      <c r="P1475" s="35">
        <f t="shared" si="106"/>
        <v>39.484310688786223</v>
      </c>
      <c r="Q1475" s="35">
        <f>('Batt Capacity and Sys Weight'!$I$2) + (B1475*$T$2)</f>
        <v>42.472999999999999</v>
      </c>
      <c r="R1475" s="35">
        <f>'Batt Capacity and Sys Weight'!$H$2</f>
        <v>99.9</v>
      </c>
    </row>
    <row r="1476" spans="1:18" x14ac:dyDescent="0.3">
      <c r="A1476" s="35" t="s">
        <v>217</v>
      </c>
      <c r="B1476" s="35">
        <v>5.82</v>
      </c>
      <c r="C1476" s="35">
        <v>1140</v>
      </c>
      <c r="D1476" s="35" t="s">
        <v>136</v>
      </c>
      <c r="E1476" s="36" t="str" cm="1">
        <f t="array" ref="E1476">GetNumber(D1476,1)</f>
        <v>10</v>
      </c>
      <c r="F1476" s="36" t="str" cm="1">
        <f t="array" ref="F1476">GetNumber(D1476,2)</f>
        <v>8</v>
      </c>
      <c r="G1476" s="35">
        <v>11.1</v>
      </c>
      <c r="H1476" s="35">
        <v>10076</v>
      </c>
      <c r="I1476" s="35">
        <f>47.08*($T$2)</f>
        <v>94.16</v>
      </c>
      <c r="J1476" s="35">
        <f>522.6*($T$2)</f>
        <v>1045.2</v>
      </c>
      <c r="K1476" s="35">
        <f t="shared" si="108"/>
        <v>5.7347876004592422</v>
      </c>
      <c r="L1476" s="35">
        <f t="shared" si="109"/>
        <v>5.7349192863211558</v>
      </c>
      <c r="M1476" s="35">
        <f>3.399375*($T$2)</f>
        <v>6.7987500000000001</v>
      </c>
      <c r="N1476" s="35">
        <f>76.3*(5280/3600)</f>
        <v>111.90666666666665</v>
      </c>
      <c r="O1476" s="35">
        <f t="shared" si="107"/>
        <v>0.65047359357060852</v>
      </c>
      <c r="P1476" s="35">
        <f t="shared" si="106"/>
        <v>38.989387198622275</v>
      </c>
      <c r="Q1476" s="35">
        <f>('Batt Capacity and Sys Weight'!$I$2) + (B1476*$T$2)</f>
        <v>42.472999999999999</v>
      </c>
      <c r="R1476" s="35">
        <f>'Batt Capacity and Sys Weight'!$H$2</f>
        <v>99.9</v>
      </c>
    </row>
    <row r="1477" spans="1:18" x14ac:dyDescent="0.3">
      <c r="A1477" s="35" t="s">
        <v>217</v>
      </c>
      <c r="B1477" s="35">
        <v>5.82</v>
      </c>
      <c r="C1477" s="35">
        <v>1140</v>
      </c>
      <c r="D1477" s="35" t="s">
        <v>137</v>
      </c>
      <c r="E1477" s="36" t="str" cm="1">
        <f t="array" ref="E1477">GetNumber(D1477,1)</f>
        <v>11</v>
      </c>
      <c r="F1477" s="36" t="str" cm="1">
        <f t="array" ref="F1477">GetNumber(D1477,2)</f>
        <v>5</v>
      </c>
      <c r="G1477" s="35">
        <v>11.1</v>
      </c>
      <c r="H1477" s="35">
        <v>10565</v>
      </c>
      <c r="I1477" s="35">
        <f>39.59*($T$2)</f>
        <v>79.180000000000007</v>
      </c>
      <c r="J1477" s="35">
        <f>439.4*($T$2)</f>
        <v>878.8</v>
      </c>
      <c r="K1477" s="35">
        <f t="shared" si="108"/>
        <v>6.8206645425580348</v>
      </c>
      <c r="L1477" s="35">
        <f t="shared" si="109"/>
        <v>6.8199040161656974</v>
      </c>
      <c r="M1477" s="35">
        <f>4.27*($T$2)</f>
        <v>8.5399999999999991</v>
      </c>
      <c r="N1477" s="35">
        <f>50*(5280/3600)</f>
        <v>73.333333333333329</v>
      </c>
      <c r="O1477" s="35">
        <f t="shared" si="107"/>
        <v>0.97177969959035049</v>
      </c>
      <c r="P1477" s="35">
        <f t="shared" si="106"/>
        <v>58.248475193445614</v>
      </c>
      <c r="Q1477" s="35">
        <f>('Batt Capacity and Sys Weight'!$I$2) + (B1477*$T$2)</f>
        <v>42.472999999999999</v>
      </c>
      <c r="R1477" s="35">
        <f>'Batt Capacity and Sys Weight'!$H$2</f>
        <v>99.9</v>
      </c>
    </row>
    <row r="1478" spans="1:18" x14ac:dyDescent="0.3">
      <c r="A1478" s="35" t="s">
        <v>217</v>
      </c>
      <c r="B1478" s="35">
        <v>5.82</v>
      </c>
      <c r="C1478" s="35">
        <v>1140</v>
      </c>
      <c r="D1478" s="35" t="s">
        <v>138</v>
      </c>
      <c r="E1478" s="36" t="str" cm="1">
        <f t="array" ref="E1478">GetNumber(D1478,1)</f>
        <v>11</v>
      </c>
      <c r="F1478" s="36" t="str" cm="1">
        <f t="array" ref="F1478">GetNumber(D1478,2)</f>
        <v>6</v>
      </c>
      <c r="G1478" s="35">
        <v>11.1</v>
      </c>
      <c r="H1478" s="35">
        <v>10222</v>
      </c>
      <c r="I1478" s="35">
        <f>45.29*($T$2)</f>
        <v>90.58</v>
      </c>
      <c r="J1478" s="35">
        <f>502.7*($T$2)</f>
        <v>1005.4</v>
      </c>
      <c r="K1478" s="35">
        <f t="shared" si="108"/>
        <v>5.9618062462701422</v>
      </c>
      <c r="L1478" s="35">
        <f t="shared" si="109"/>
        <v>5.9615809229410468</v>
      </c>
      <c r="M1478" s="35">
        <f>4.7375*($T$2)</f>
        <v>9.4749999999999996</v>
      </c>
      <c r="N1478" s="35">
        <f>58.1*(5280/3600)</f>
        <v>85.213333333333324</v>
      </c>
      <c r="O1478" s="35">
        <f t="shared" si="107"/>
        <v>0.94241098070419727</v>
      </c>
      <c r="P1478" s="35">
        <f t="shared" si="106"/>
        <v>56.488114183409593</v>
      </c>
      <c r="Q1478" s="35">
        <f>('Batt Capacity and Sys Weight'!$I$2) + (B1478*$T$2)</f>
        <v>42.472999999999999</v>
      </c>
      <c r="R1478" s="35">
        <f>'Batt Capacity and Sys Weight'!$H$2</f>
        <v>99.9</v>
      </c>
    </row>
    <row r="1479" spans="1:18" x14ac:dyDescent="0.3">
      <c r="A1479" s="35" t="s">
        <v>217</v>
      </c>
      <c r="B1479" s="35">
        <v>5.82</v>
      </c>
      <c r="C1479" s="35">
        <v>1140</v>
      </c>
      <c r="D1479" s="35" t="s">
        <v>139</v>
      </c>
      <c r="E1479" s="36" t="str" cm="1">
        <f t="array" ref="E1479">GetNumber(D1479,1)</f>
        <v>11</v>
      </c>
      <c r="F1479" s="36" t="str" cm="1">
        <f t="array" ref="F1479">GetNumber(D1479,2)</f>
        <v>7</v>
      </c>
      <c r="G1479" s="35">
        <v>11.1</v>
      </c>
      <c r="H1479" s="35">
        <v>10159</v>
      </c>
      <c r="I1479" s="35">
        <f>46.01*($T$2)</f>
        <v>92.02</v>
      </c>
      <c r="J1479" s="35">
        <f>510.7*($T$2)</f>
        <v>1021.4</v>
      </c>
      <c r="K1479" s="35">
        <f t="shared" si="108"/>
        <v>5.8684158997454476</v>
      </c>
      <c r="L1479" s="35">
        <f t="shared" si="109"/>
        <v>5.8682895022821127</v>
      </c>
      <c r="M1479" s="35">
        <f>4.72875*($T$2)</f>
        <v>9.4574999999999996</v>
      </c>
      <c r="N1479" s="35">
        <f>67.3*(5280/3600)</f>
        <v>98.706666666666649</v>
      </c>
      <c r="O1479" s="35">
        <f t="shared" si="107"/>
        <v>0.9259349911885647</v>
      </c>
      <c r="P1479" s="35">
        <f t="shared" si="106"/>
        <v>55.500543371842568</v>
      </c>
      <c r="Q1479" s="35">
        <f>('Batt Capacity and Sys Weight'!$I$2) + (B1479*$T$2)</f>
        <v>42.472999999999999</v>
      </c>
      <c r="R1479" s="35">
        <f>'Batt Capacity and Sys Weight'!$H$2</f>
        <v>99.9</v>
      </c>
    </row>
    <row r="1480" spans="1:18" x14ac:dyDescent="0.3">
      <c r="A1480" s="35" t="s">
        <v>217</v>
      </c>
      <c r="B1480" s="35">
        <v>5.82</v>
      </c>
      <c r="C1480" s="35">
        <v>1140</v>
      </c>
      <c r="D1480" s="35" t="s">
        <v>155</v>
      </c>
      <c r="E1480" s="36" t="str" cm="1">
        <f t="array" ref="E1480">GetNumber(D1480,1)</f>
        <v>12</v>
      </c>
      <c r="F1480" s="36" t="str" cm="1">
        <f t="array" ref="F1480">GetNumber(D1480,2)</f>
        <v>6</v>
      </c>
      <c r="G1480" s="35">
        <v>11.1</v>
      </c>
      <c r="H1480" s="35">
        <v>9695</v>
      </c>
      <c r="I1480" s="35">
        <f>53.43*($T$2)</f>
        <v>106.86</v>
      </c>
      <c r="J1480" s="35">
        <f>593.1*($T$2)</f>
        <v>1186.2</v>
      </c>
      <c r="K1480" s="35">
        <f t="shared" si="108"/>
        <v>5.0531107738998484</v>
      </c>
      <c r="L1480" s="35">
        <f t="shared" si="109"/>
        <v>5.0533408197641769</v>
      </c>
      <c r="M1480" s="35">
        <f>5.3175*($T$2)</f>
        <v>10.635</v>
      </c>
      <c r="N1480" s="35">
        <f>55.1*(5280/3600)</f>
        <v>80.813333333333333</v>
      </c>
      <c r="O1480" s="35">
        <f t="shared" si="107"/>
        <v>0.89656044511886701</v>
      </c>
      <c r="P1480" s="35">
        <f t="shared" si="106"/>
        <v>53.739833080424887</v>
      </c>
      <c r="Q1480" s="35">
        <f>('Batt Capacity and Sys Weight'!$I$2) + (B1480*$T$2)</f>
        <v>42.472999999999999</v>
      </c>
      <c r="R1480" s="35">
        <f>'Batt Capacity and Sys Weight'!$H$2</f>
        <v>99.9</v>
      </c>
    </row>
    <row r="1481" spans="1:18" x14ac:dyDescent="0.3">
      <c r="A1481" s="35" t="s">
        <v>217</v>
      </c>
      <c r="B1481" s="35">
        <v>5.82</v>
      </c>
      <c r="C1481" s="35">
        <v>1140</v>
      </c>
      <c r="D1481" s="35" t="s">
        <v>101</v>
      </c>
      <c r="E1481" s="36" t="str" cm="1">
        <f t="array" ref="E1481">GetNumber(D1481,1)</f>
        <v>9</v>
      </c>
      <c r="F1481" s="36" t="str" cm="1">
        <f t="array" ref="F1481">GetNumber(D1481,2)</f>
        <v>7</v>
      </c>
      <c r="G1481" s="35">
        <v>11.1</v>
      </c>
      <c r="H1481" s="35">
        <v>10653</v>
      </c>
      <c r="I1481" s="35">
        <f>38.1*($T$2)</f>
        <v>76.2</v>
      </c>
      <c r="J1481" s="35">
        <f>422.9*($T$2)</f>
        <v>845.8</v>
      </c>
      <c r="K1481" s="35">
        <f t="shared" si="108"/>
        <v>7.0867817450934041</v>
      </c>
      <c r="L1481" s="35">
        <f t="shared" si="109"/>
        <v>7.0866141732283463</v>
      </c>
      <c r="M1481" s="35">
        <f>3.90875*($T$2)</f>
        <v>7.8174999999999999</v>
      </c>
      <c r="N1481" s="35">
        <f>70.6*(5280/3600)</f>
        <v>103.54666666666665</v>
      </c>
      <c r="O1481" s="35">
        <f t="shared" si="107"/>
        <v>0.92427287774887679</v>
      </c>
      <c r="P1481" s="35">
        <f t="shared" si="106"/>
        <v>55.400916292267688</v>
      </c>
      <c r="Q1481" s="35">
        <f>('Batt Capacity and Sys Weight'!$I$2) + (B1481*$T$2)</f>
        <v>42.472999999999999</v>
      </c>
      <c r="R1481" s="35">
        <f>'Batt Capacity and Sys Weight'!$H$2</f>
        <v>99.9</v>
      </c>
    </row>
    <row r="1482" spans="1:18" x14ac:dyDescent="0.3">
      <c r="A1482" s="35" t="s">
        <v>217</v>
      </c>
      <c r="B1482" s="35">
        <v>5.82</v>
      </c>
      <c r="C1482" s="35">
        <v>1140</v>
      </c>
      <c r="D1482" s="35" t="s">
        <v>80</v>
      </c>
      <c r="E1482" s="36" t="str" cm="1">
        <f t="array" ref="E1482">GetNumber(D1482,1)</f>
        <v>10</v>
      </c>
      <c r="F1482" s="36" t="str" cm="1">
        <f t="array" ref="F1482">GetNumber(D1482,2)</f>
        <v>7</v>
      </c>
      <c r="G1482" s="35">
        <v>11.1</v>
      </c>
      <c r="H1482" s="35">
        <v>10031</v>
      </c>
      <c r="I1482" s="35">
        <f>48.12*($T$2)</f>
        <v>96.24</v>
      </c>
      <c r="J1482" s="35">
        <f>534.1*($T$2)</f>
        <v>1068.2</v>
      </c>
      <c r="K1482" s="35">
        <f t="shared" si="108"/>
        <v>5.6113087436809588</v>
      </c>
      <c r="L1482" s="35">
        <f t="shared" si="109"/>
        <v>5.6109725685785534</v>
      </c>
      <c r="M1482" s="35">
        <f>4.845625*($T$2)</f>
        <v>9.6912500000000001</v>
      </c>
      <c r="N1482" s="35">
        <f>66.5*(5280/3600)</f>
        <v>97.533333333333331</v>
      </c>
      <c r="O1482" s="35">
        <f t="shared" si="107"/>
        <v>0.90725051488485309</v>
      </c>
      <c r="P1482" s="35">
        <f t="shared" si="106"/>
        <v>54.380595862198092</v>
      </c>
      <c r="Q1482" s="35">
        <f>('Batt Capacity and Sys Weight'!$I$2) + (B1482*$T$2)</f>
        <v>42.472999999999999</v>
      </c>
      <c r="R1482" s="35">
        <f>'Batt Capacity and Sys Weight'!$H$2</f>
        <v>99.9</v>
      </c>
    </row>
    <row r="1483" spans="1:18" x14ac:dyDescent="0.3">
      <c r="A1483" s="35" t="s">
        <v>217</v>
      </c>
      <c r="B1483" s="35">
        <v>5.82</v>
      </c>
      <c r="C1483" s="35">
        <v>1140</v>
      </c>
      <c r="D1483" s="35" t="s">
        <v>127</v>
      </c>
      <c r="E1483" s="36" t="str" cm="1">
        <f t="array" ref="E1483">GetNumber(D1483,1)</f>
        <v>8</v>
      </c>
      <c r="F1483" s="36" t="str" cm="1">
        <f t="array" ref="F1483">GetNumber(D1483,2)</f>
        <v>6</v>
      </c>
      <c r="G1483" s="35">
        <v>14.8</v>
      </c>
      <c r="H1483" s="35">
        <v>14330</v>
      </c>
      <c r="I1483" s="35">
        <f>40.21*($T$2)</f>
        <v>80.42</v>
      </c>
      <c r="J1483" s="35">
        <f>595.2*($T$2)</f>
        <v>1190.4000000000001</v>
      </c>
      <c r="K1483" s="35">
        <f t="shared" si="108"/>
        <v>4.9233870967741939</v>
      </c>
      <c r="L1483" s="35">
        <f t="shared" si="109"/>
        <v>4.924148221835364</v>
      </c>
      <c r="M1483" s="35">
        <f>3.893125*($T$2)</f>
        <v>7.7862499999999999</v>
      </c>
      <c r="N1483" s="35">
        <f>81.4*(5280/3600)</f>
        <v>119.38666666666667</v>
      </c>
      <c r="O1483" s="35">
        <f t="shared" si="107"/>
        <v>0.65408686155913975</v>
      </c>
      <c r="P1483" s="35">
        <f t="shared" si="106"/>
        <v>38.334722782258069</v>
      </c>
      <c r="Q1483" s="35">
        <f>('Batt Capacity and Sys Weight'!$I$3) + (B1483*$T$2)</f>
        <v>38.028475</v>
      </c>
      <c r="R1483" s="35">
        <f>'Batt Capacity and Sys Weight'!$H$3</f>
        <v>97.68</v>
      </c>
    </row>
    <row r="1484" spans="1:18" x14ac:dyDescent="0.3">
      <c r="A1484" s="35" t="s">
        <v>217</v>
      </c>
      <c r="B1484" s="35">
        <v>5.82</v>
      </c>
      <c r="C1484" s="35">
        <v>1140</v>
      </c>
      <c r="D1484" s="35" t="s">
        <v>128</v>
      </c>
      <c r="E1484" s="36" t="str" cm="1">
        <f t="array" ref="E1484">GetNumber(D1484,1)</f>
        <v>8</v>
      </c>
      <c r="F1484" s="36" t="str" cm="1">
        <f t="array" ref="F1484">GetNumber(D1484,2)</f>
        <v>8</v>
      </c>
      <c r="G1484" s="35">
        <v>14.8</v>
      </c>
      <c r="H1484" s="35">
        <v>13792</v>
      </c>
      <c r="I1484" s="35">
        <f>48.58*($T$2)</f>
        <v>97.16</v>
      </c>
      <c r="J1484" s="35">
        <f>718.9*($T$2)</f>
        <v>1437.8</v>
      </c>
      <c r="K1484" s="35">
        <f t="shared" si="108"/>
        <v>4.0762275698984567</v>
      </c>
      <c r="L1484" s="35">
        <f t="shared" si="109"/>
        <v>4.0757513379991774</v>
      </c>
      <c r="M1484" s="35">
        <f>3.73875*($T$2)</f>
        <v>7.4775</v>
      </c>
      <c r="N1484" s="35">
        <f>104.5*(5280/3600)</f>
        <v>153.26666666666665</v>
      </c>
      <c r="O1484" s="35">
        <f t="shared" si="107"/>
        <v>0.52006537766031447</v>
      </c>
      <c r="P1484" s="35">
        <f t="shared" si="106"/>
        <v>30.479991653915711</v>
      </c>
      <c r="Q1484" s="35">
        <f>('Batt Capacity and Sys Weight'!$I$3) + (B1484*$T$2)</f>
        <v>38.028475</v>
      </c>
      <c r="R1484" s="35">
        <f>'Batt Capacity and Sys Weight'!$H$3</f>
        <v>97.68</v>
      </c>
    </row>
    <row r="1485" spans="1:18" x14ac:dyDescent="0.3">
      <c r="A1485" s="35" t="s">
        <v>217</v>
      </c>
      <c r="B1485" s="35">
        <v>5.82</v>
      </c>
      <c r="C1485" s="35">
        <v>1140</v>
      </c>
      <c r="D1485" s="35" t="s">
        <v>129</v>
      </c>
      <c r="E1485" s="36" t="str" cm="1">
        <f t="array" ref="E1485">GetNumber(D1485,1)</f>
        <v>9</v>
      </c>
      <c r="F1485" s="36" cm="1">
        <f t="array" ref="F1485">GetNumber(D1485,2)+(GetNumber(D1485,3)/10)</f>
        <v>4.5</v>
      </c>
      <c r="G1485" s="35">
        <v>14.8</v>
      </c>
      <c r="H1485" s="35">
        <v>14330</v>
      </c>
      <c r="I1485" s="35">
        <f>40.4*($T$2)</f>
        <v>80.8</v>
      </c>
      <c r="J1485" s="35">
        <f>598*($T$2)</f>
        <v>1196</v>
      </c>
      <c r="K1485" s="35">
        <f t="shared" si="108"/>
        <v>4.9003344481605353</v>
      </c>
      <c r="L1485" s="35">
        <f t="shared" si="109"/>
        <v>4.9009900990099009</v>
      </c>
      <c r="M1485" s="35">
        <f>4.940625*($T$2)</f>
        <v>9.8812499999999996</v>
      </c>
      <c r="N1485" s="35">
        <f>61.1*(5280/3600)</f>
        <v>89.61333333333333</v>
      </c>
      <c r="O1485" s="35">
        <f t="shared" si="107"/>
        <v>0.82619147157190631</v>
      </c>
      <c r="P1485" s="35">
        <f t="shared" si="106"/>
        <v>48.421429765886288</v>
      </c>
      <c r="Q1485" s="35">
        <f>('Batt Capacity and Sys Weight'!$I$3) + (B1485*$T$2)</f>
        <v>38.028475</v>
      </c>
      <c r="R1485" s="35">
        <f>'Batt Capacity and Sys Weight'!$H$3</f>
        <v>97.68</v>
      </c>
    </row>
    <row r="1486" spans="1:18" x14ac:dyDescent="0.3">
      <c r="A1486" s="35" t="s">
        <v>217</v>
      </c>
      <c r="B1486" s="35">
        <v>5.82</v>
      </c>
      <c r="C1486" s="35">
        <v>1140</v>
      </c>
      <c r="D1486" s="35" t="s">
        <v>107</v>
      </c>
      <c r="E1486" s="36" t="str" cm="1">
        <f t="array" ref="E1486">GetNumber(D1486,1)</f>
        <v>9</v>
      </c>
      <c r="F1486" s="36" t="str" cm="1">
        <f t="array" ref="F1486">GetNumber(D1486,2)</f>
        <v>6</v>
      </c>
      <c r="G1486" s="35">
        <v>14.8</v>
      </c>
      <c r="H1486" s="35">
        <v>13908</v>
      </c>
      <c r="I1486" s="35">
        <f>46.26*($T$2)</f>
        <v>92.52</v>
      </c>
      <c r="J1486" s="35">
        <f>684.7*($T$2)</f>
        <v>1369.4</v>
      </c>
      <c r="K1486" s="35">
        <f t="shared" si="108"/>
        <v>4.2798305827369649</v>
      </c>
      <c r="L1486" s="35">
        <f t="shared" si="109"/>
        <v>4.2801556420233471</v>
      </c>
      <c r="M1486" s="35">
        <f>4.65375*($T$2)</f>
        <v>9.3074999999999992</v>
      </c>
      <c r="N1486" s="35">
        <f>79*(5280/3600)</f>
        <v>115.86666666666666</v>
      </c>
      <c r="O1486" s="35">
        <f t="shared" si="107"/>
        <v>0.67967723090404542</v>
      </c>
      <c r="P1486" s="35">
        <f t="shared" si="106"/>
        <v>39.834523148824296</v>
      </c>
      <c r="Q1486" s="35">
        <f>('Batt Capacity and Sys Weight'!$I$3) + (B1486*$T$2)</f>
        <v>38.028475</v>
      </c>
      <c r="R1486" s="35">
        <f>'Batt Capacity and Sys Weight'!$H$3</f>
        <v>97.68</v>
      </c>
    </row>
    <row r="1487" spans="1:18" x14ac:dyDescent="0.3">
      <c r="A1487" s="35" t="s">
        <v>217</v>
      </c>
      <c r="B1487" s="35">
        <v>5.82</v>
      </c>
      <c r="C1487" s="35">
        <v>1140</v>
      </c>
      <c r="D1487" s="35" t="s">
        <v>99</v>
      </c>
      <c r="E1487" s="36" t="str" cm="1">
        <f t="array" ref="E1487">GetNumber(D1487,1)</f>
        <v>10</v>
      </c>
      <c r="F1487" s="36" t="str" cm="1">
        <f t="array" ref="F1487">GetNumber(D1487,2)</f>
        <v>5</v>
      </c>
      <c r="G1487" s="35">
        <v>14.8</v>
      </c>
      <c r="H1487" s="35">
        <v>13297</v>
      </c>
      <c r="I1487" s="35">
        <f>54.46*($T$2)</f>
        <v>108.92</v>
      </c>
      <c r="J1487" s="35">
        <f>806.1*($T$2)</f>
        <v>1612.2</v>
      </c>
      <c r="K1487" s="35">
        <f t="shared" si="108"/>
        <v>3.6352809825083741</v>
      </c>
      <c r="L1487" s="35">
        <f t="shared" si="109"/>
        <v>3.6356959236136617</v>
      </c>
      <c r="M1487" s="35">
        <f>5.593125*($T$2)</f>
        <v>11.186249999999999</v>
      </c>
      <c r="N1487" s="35">
        <f>63*(5280/3600)</f>
        <v>92.399999999999991</v>
      </c>
      <c r="O1487" s="35">
        <f t="shared" si="107"/>
        <v>0.69385001860811313</v>
      </c>
      <c r="P1487" s="35">
        <f t="shared" si="106"/>
        <v>40.665161890584294</v>
      </c>
      <c r="Q1487" s="35">
        <f>('Batt Capacity and Sys Weight'!$I$3) + (B1487*$T$2)</f>
        <v>38.028475</v>
      </c>
      <c r="R1487" s="35">
        <f>'Batt Capacity and Sys Weight'!$H$3</f>
        <v>97.68</v>
      </c>
    </row>
    <row r="1488" spans="1:18" x14ac:dyDescent="0.3">
      <c r="A1488" s="35" t="s">
        <v>217</v>
      </c>
      <c r="B1488" s="35">
        <v>5.82</v>
      </c>
      <c r="C1488" s="35">
        <v>1140</v>
      </c>
      <c r="D1488" s="35" t="s">
        <v>133</v>
      </c>
      <c r="E1488" s="36" t="str" cm="1">
        <f t="array" ref="E1488">GetNumber(D1488,1)</f>
        <v>10</v>
      </c>
      <c r="F1488" s="36" t="str" cm="1">
        <f t="array" ref="F1488">GetNumber(D1488,2)</f>
        <v>5</v>
      </c>
      <c r="G1488" s="35">
        <v>14.8</v>
      </c>
      <c r="H1488" s="35">
        <v>13937</v>
      </c>
      <c r="I1488" s="35">
        <f>48.14*($T$2)</f>
        <v>96.28</v>
      </c>
      <c r="J1488" s="35">
        <f>712.5*($T$2)</f>
        <v>1425</v>
      </c>
      <c r="K1488" s="35">
        <f t="shared" si="108"/>
        <v>4.1128421052631579</v>
      </c>
      <c r="L1488" s="35">
        <f t="shared" si="109"/>
        <v>4.1130037390943084</v>
      </c>
      <c r="M1488" s="35">
        <f>5.27125*($T$2)</f>
        <v>10.5425</v>
      </c>
      <c r="N1488" s="35">
        <f>66*(5280/3600)</f>
        <v>96.8</v>
      </c>
      <c r="O1488" s="35">
        <f t="shared" si="107"/>
        <v>0.73982456140350883</v>
      </c>
      <c r="P1488" s="35">
        <f t="shared" si="106"/>
        <v>43.359637894736842</v>
      </c>
      <c r="Q1488" s="35">
        <f>('Batt Capacity and Sys Weight'!$I$3) + (B1488*$T$2)</f>
        <v>38.028475</v>
      </c>
      <c r="R1488" s="35">
        <f>'Batt Capacity and Sys Weight'!$H$3</f>
        <v>97.68</v>
      </c>
    </row>
    <row r="1489" spans="1:18" x14ac:dyDescent="0.3">
      <c r="A1489" s="35" t="s">
        <v>217</v>
      </c>
      <c r="B1489" s="35">
        <v>5.82</v>
      </c>
      <c r="C1489" s="35">
        <v>1140</v>
      </c>
      <c r="D1489" s="35" t="s">
        <v>130</v>
      </c>
      <c r="E1489" s="36" t="str" cm="1">
        <f t="array" ref="E1489">GetNumber(D1489,1)</f>
        <v>9</v>
      </c>
      <c r="F1489" s="36" t="str" cm="1">
        <f t="array" ref="F1489">GetNumber(D1489,2)</f>
        <v>5</v>
      </c>
      <c r="G1489" s="35">
        <v>14.8</v>
      </c>
      <c r="H1489" s="35">
        <v>14700</v>
      </c>
      <c r="I1489" s="35">
        <f>36.8*($T$2)</f>
        <v>73.599999999999994</v>
      </c>
      <c r="J1489" s="35">
        <f>544.7*($T$2)</f>
        <v>1089.4000000000001</v>
      </c>
      <c r="K1489" s="35">
        <f t="shared" si="108"/>
        <v>5.3798421149256468</v>
      </c>
      <c r="L1489" s="35">
        <f t="shared" si="109"/>
        <v>5.3804347826086962</v>
      </c>
      <c r="M1489" s="35">
        <f>4.57*($T$2)</f>
        <v>9.14</v>
      </c>
      <c r="N1489" s="35">
        <f>69.6*(5280/3600)</f>
        <v>102.07999999999998</v>
      </c>
      <c r="O1489" s="35">
        <f t="shared" si="107"/>
        <v>0.8389939416192399</v>
      </c>
      <c r="P1489" s="35">
        <f t="shared" ref="P1489:P1502" si="110">M1489*K1489</f>
        <v>49.171756930420415</v>
      </c>
      <c r="Q1489" s="35">
        <f>('Batt Capacity and Sys Weight'!$I$3) + (B1489*$T$2)</f>
        <v>38.028475</v>
      </c>
      <c r="R1489" s="35">
        <f>'Batt Capacity and Sys Weight'!$H$3</f>
        <v>97.68</v>
      </c>
    </row>
    <row r="1490" spans="1:18" x14ac:dyDescent="0.3">
      <c r="A1490" s="35" t="s">
        <v>217</v>
      </c>
      <c r="B1490" s="35">
        <v>5.82</v>
      </c>
      <c r="C1490" s="35">
        <v>1140</v>
      </c>
      <c r="D1490" s="35" t="s">
        <v>131</v>
      </c>
      <c r="E1490" s="36" t="str" cm="1">
        <f t="array" ref="E1490">GetNumber(D1490,1)</f>
        <v>10</v>
      </c>
      <c r="F1490" s="36" t="str" cm="1">
        <f t="array" ref="F1490">GetNumber(D1490,2)</f>
        <v>6</v>
      </c>
      <c r="G1490" s="35">
        <v>14.8</v>
      </c>
      <c r="H1490" s="35">
        <v>13661</v>
      </c>
      <c r="I1490" s="35">
        <f>52.42*($T$2)</f>
        <v>104.84</v>
      </c>
      <c r="J1490" s="35">
        <f>775.8*($T$2)</f>
        <v>1551.6</v>
      </c>
      <c r="K1490" s="35">
        <f t="shared" si="108"/>
        <v>3.7772621809744784</v>
      </c>
      <c r="L1490" s="35">
        <f t="shared" si="109"/>
        <v>3.7771842808088523</v>
      </c>
      <c r="M1490" s="35">
        <f>6.03625*($T$2)</f>
        <v>12.0725</v>
      </c>
      <c r="N1490" s="35">
        <f>77.6*(5280/3600)</f>
        <v>113.81333333333332</v>
      </c>
      <c r="O1490" s="35">
        <f t="shared" si="107"/>
        <v>0.77806780097963391</v>
      </c>
      <c r="P1490" s="35">
        <f t="shared" si="110"/>
        <v>45.600997679814391</v>
      </c>
      <c r="Q1490" s="35">
        <f>('Batt Capacity and Sys Weight'!$I$3) + (B1490*$T$2)</f>
        <v>38.028475</v>
      </c>
      <c r="R1490" s="35">
        <f>'Batt Capacity and Sys Weight'!$H$3</f>
        <v>97.68</v>
      </c>
    </row>
    <row r="1491" spans="1:18" x14ac:dyDescent="0.3">
      <c r="A1491" s="35" t="s">
        <v>217</v>
      </c>
      <c r="B1491" s="35">
        <v>5.82</v>
      </c>
      <c r="C1491" s="35">
        <v>1140</v>
      </c>
      <c r="D1491" s="35" t="s">
        <v>145</v>
      </c>
      <c r="E1491" s="36" t="str" cm="1">
        <f t="array" ref="E1491">GetNumber(D1491,1)</f>
        <v>8</v>
      </c>
      <c r="F1491" s="36" t="str" cm="1">
        <f t="array" ref="F1491">GetNumber(D1491,2)</f>
        <v>6</v>
      </c>
      <c r="G1491" s="35">
        <v>14.8</v>
      </c>
      <c r="H1491" s="35">
        <v>14551</v>
      </c>
      <c r="I1491" s="35">
        <f>39.25*($T$2)</f>
        <v>78.5</v>
      </c>
      <c r="J1491" s="35">
        <f>580.9*($T$2)</f>
        <v>1161.8</v>
      </c>
      <c r="K1491" s="35">
        <f t="shared" si="108"/>
        <v>5.0445859872611472</v>
      </c>
      <c r="L1491" s="35">
        <f t="shared" si="109"/>
        <v>5.0445859872611472</v>
      </c>
      <c r="M1491" s="35">
        <f>4.48875*($T$2)</f>
        <v>8.9774999999999991</v>
      </c>
      <c r="N1491" s="35">
        <f>82.7*(5280/3600)</f>
        <v>121.29333333333332</v>
      </c>
      <c r="O1491" s="35">
        <f t="shared" si="107"/>
        <v>0.77272336030297806</v>
      </c>
      <c r="P1491" s="35">
        <f t="shared" si="110"/>
        <v>45.287770700636948</v>
      </c>
      <c r="Q1491" s="35">
        <f>('Batt Capacity and Sys Weight'!$I$3) + (B1491*$T$2)</f>
        <v>38.028475</v>
      </c>
      <c r="R1491" s="35">
        <f>'Batt Capacity and Sys Weight'!$H$3</f>
        <v>97.68</v>
      </c>
    </row>
    <row r="1492" spans="1:18" x14ac:dyDescent="0.3">
      <c r="A1492" s="35" t="s">
        <v>217</v>
      </c>
      <c r="B1492" s="35">
        <v>5.82</v>
      </c>
      <c r="C1492" s="35">
        <v>1140</v>
      </c>
      <c r="D1492" s="35" t="s">
        <v>79</v>
      </c>
      <c r="E1492" s="36" t="str" cm="1">
        <f t="array" ref="E1492">GetNumber(D1492,1)</f>
        <v>10</v>
      </c>
      <c r="F1492" s="36" t="str" cm="1">
        <f t="array" ref="F1492">GetNumber(D1492,2)</f>
        <v>5</v>
      </c>
      <c r="G1492" s="35">
        <v>14.8</v>
      </c>
      <c r="H1492" s="35">
        <v>13549</v>
      </c>
      <c r="I1492" s="35">
        <f>54.01*($T$2)</f>
        <v>108.02</v>
      </c>
      <c r="J1492" s="35">
        <f>799.4*($T$2)</f>
        <v>1598.8</v>
      </c>
      <c r="K1492" s="35">
        <f t="shared" si="108"/>
        <v>3.6657493119839883</v>
      </c>
      <c r="L1492" s="35">
        <f t="shared" si="109"/>
        <v>3.6659877800407337</v>
      </c>
      <c r="M1492" s="35">
        <f>6.4925*($T$2)</f>
        <v>12.984999999999999</v>
      </c>
      <c r="N1492" s="35">
        <f>64.2*(5280/3600)</f>
        <v>94.16</v>
      </c>
      <c r="O1492" s="35">
        <f t="shared" si="107"/>
        <v>0.81217162872154125</v>
      </c>
      <c r="P1492" s="35">
        <f t="shared" si="110"/>
        <v>47.599754816112089</v>
      </c>
      <c r="Q1492" s="35">
        <f>('Batt Capacity and Sys Weight'!$I$3) + (B1492*$T$2)</f>
        <v>38.028475</v>
      </c>
      <c r="R1492" s="35">
        <f>'Batt Capacity and Sys Weight'!$H$3</f>
        <v>97.68</v>
      </c>
    </row>
    <row r="1493" spans="1:18" x14ac:dyDescent="0.3">
      <c r="A1493" s="35" t="s">
        <v>217</v>
      </c>
      <c r="B1493" s="35">
        <v>5.82</v>
      </c>
      <c r="C1493" s="35">
        <v>1140</v>
      </c>
      <c r="D1493" s="35" t="s">
        <v>148</v>
      </c>
      <c r="E1493" s="36" t="str" cm="1">
        <f t="array" ref="E1493">GetNumber(D1493,1)</f>
        <v>7</v>
      </c>
      <c r="F1493" s="36" t="str" cm="1">
        <f t="array" ref="F1493">GetNumber(D1493,2)</f>
        <v>5</v>
      </c>
      <c r="G1493" s="35">
        <v>18.5</v>
      </c>
      <c r="H1493" s="35">
        <v>18590</v>
      </c>
      <c r="I1493" s="35">
        <f>37.01*($T$2)</f>
        <v>74.02</v>
      </c>
      <c r="J1493" s="35">
        <f>684.6*($T$2)</f>
        <v>1369.2</v>
      </c>
      <c r="K1493" s="35">
        <f t="shared" si="108"/>
        <v>4.0534618755477645</v>
      </c>
      <c r="L1493" s="35">
        <f t="shared" si="109"/>
        <v>4.0529586598216705</v>
      </c>
      <c r="M1493" s="35">
        <f>3.655*($T$2)</f>
        <v>7.31</v>
      </c>
      <c r="N1493" s="35">
        <f>88*(5280/3600)</f>
        <v>129.06666666666666</v>
      </c>
      <c r="O1493" s="35">
        <f t="shared" si="107"/>
        <v>0.53388840198656151</v>
      </c>
      <c r="P1493" s="35">
        <f t="shared" si="110"/>
        <v>29.630806310254158</v>
      </c>
      <c r="Q1493" s="35">
        <f>('Batt Capacity and Sys Weight'!$I$4) + (B1493*$T$2)</f>
        <v>38.804502999999997</v>
      </c>
      <c r="R1493" s="35">
        <f>'Batt Capacity and Sys Weight'!$H$4</f>
        <v>92.5</v>
      </c>
    </row>
    <row r="1494" spans="1:18" x14ac:dyDescent="0.3">
      <c r="A1494" s="35" t="s">
        <v>217</v>
      </c>
      <c r="B1494" s="35">
        <v>5.82</v>
      </c>
      <c r="C1494" s="35">
        <v>1140</v>
      </c>
      <c r="D1494" s="35" t="s">
        <v>149</v>
      </c>
      <c r="E1494" s="36" t="str" cm="1">
        <f t="array" ref="E1494">GetNumber(D1494,1)</f>
        <v>7</v>
      </c>
      <c r="F1494" s="36" t="str" cm="1">
        <f t="array" ref="F1494">GetNumber(D1494,2)</f>
        <v>6</v>
      </c>
      <c r="G1494" s="35">
        <v>18.5</v>
      </c>
      <c r="H1494" s="35">
        <v>18524</v>
      </c>
      <c r="I1494" s="35">
        <f>37.81*($T$2)</f>
        <v>75.62</v>
      </c>
      <c r="J1494" s="35">
        <f>699.5*($T$2)</f>
        <v>1399</v>
      </c>
      <c r="K1494" s="35">
        <f t="shared" si="108"/>
        <v>3.9671193709792707</v>
      </c>
      <c r="L1494" s="35">
        <f t="shared" si="109"/>
        <v>3.9672044432689759</v>
      </c>
      <c r="M1494" s="35">
        <f>3.831875*($T$2)</f>
        <v>7.6637500000000003</v>
      </c>
      <c r="N1494" s="35">
        <f>105.3*(5280/3600)</f>
        <v>154.44</v>
      </c>
      <c r="O1494" s="35">
        <f t="shared" si="107"/>
        <v>0.54780200142959257</v>
      </c>
      <c r="P1494" s="35">
        <f t="shared" si="110"/>
        <v>30.403011079342388</v>
      </c>
      <c r="Q1494" s="35">
        <f>('Batt Capacity and Sys Weight'!$I$4) + (B1494*$T$2)</f>
        <v>38.804502999999997</v>
      </c>
      <c r="R1494" s="35">
        <f>'Batt Capacity and Sys Weight'!$H$4</f>
        <v>92.5</v>
      </c>
    </row>
    <row r="1495" spans="1:18" x14ac:dyDescent="0.3">
      <c r="A1495" s="35" t="s">
        <v>217</v>
      </c>
      <c r="B1495" s="35">
        <v>5.82</v>
      </c>
      <c r="C1495" s="35">
        <v>1140</v>
      </c>
      <c r="D1495" s="35" t="s">
        <v>125</v>
      </c>
      <c r="E1495" s="36" t="str" cm="1">
        <f t="array" ref="E1495">GetNumber(D1495,1)</f>
        <v>7</v>
      </c>
      <c r="F1495" s="36" t="str" cm="1">
        <f t="array" ref="F1495">GetNumber(D1495,2)</f>
        <v>7</v>
      </c>
      <c r="G1495" s="35">
        <v>18.5</v>
      </c>
      <c r="H1495" s="35">
        <v>17898</v>
      </c>
      <c r="I1495" s="35">
        <f>45.37*($T$2)</f>
        <v>90.74</v>
      </c>
      <c r="J1495" s="35">
        <f>839.4*($T$2)</f>
        <v>1678.8</v>
      </c>
      <c r="K1495" s="35">
        <f t="shared" si="108"/>
        <v>3.3059328091493927</v>
      </c>
      <c r="L1495" s="35">
        <f t="shared" si="109"/>
        <v>3.3061494379545957</v>
      </c>
      <c r="M1495" s="35">
        <f>3.72375*($T$2)</f>
        <v>7.4474999999999998</v>
      </c>
      <c r="N1495" s="35">
        <f>118.6*(5280/3600)</f>
        <v>173.94666666666666</v>
      </c>
      <c r="O1495" s="35">
        <f t="shared" si="107"/>
        <v>0.44362044317369553</v>
      </c>
      <c r="P1495" s="35">
        <f t="shared" si="110"/>
        <v>24.620934596140103</v>
      </c>
      <c r="Q1495" s="35">
        <f>('Batt Capacity and Sys Weight'!$I$4) + (B1495*$T$2)</f>
        <v>38.804502999999997</v>
      </c>
      <c r="R1495" s="35">
        <f>'Batt Capacity and Sys Weight'!$H$4</f>
        <v>92.5</v>
      </c>
    </row>
    <row r="1496" spans="1:18" x14ac:dyDescent="0.3">
      <c r="A1496" s="35" t="s">
        <v>217</v>
      </c>
      <c r="B1496" s="35">
        <v>5.82</v>
      </c>
      <c r="C1496" s="35">
        <v>1140</v>
      </c>
      <c r="D1496" s="35" t="s">
        <v>126</v>
      </c>
      <c r="E1496" s="36" t="str" cm="1">
        <f t="array" ref="E1496">GetNumber(D1496,1)</f>
        <v>8</v>
      </c>
      <c r="F1496" s="36" t="str" cm="1">
        <f t="array" ref="F1496">GetNumber(D1496,2)</f>
        <v>4</v>
      </c>
      <c r="G1496" s="35">
        <v>18.5</v>
      </c>
      <c r="H1496" s="35">
        <v>18048</v>
      </c>
      <c r="I1496" s="35">
        <f>43.41*($T$2)</f>
        <v>86.82</v>
      </c>
      <c r="J1496" s="35">
        <f>803.1*($T$2)</f>
        <v>1606.2</v>
      </c>
      <c r="K1496" s="35">
        <f t="shared" si="108"/>
        <v>3.4553604781471798</v>
      </c>
      <c r="L1496" s="35">
        <f t="shared" si="109"/>
        <v>3.4554250172771255</v>
      </c>
      <c r="M1496" s="35">
        <f>4.815*($T$2)</f>
        <v>9.6300000000000008</v>
      </c>
      <c r="N1496" s="35">
        <f>68.4*(5280/3600)</f>
        <v>100.32000000000001</v>
      </c>
      <c r="O1496" s="35">
        <f t="shared" si="107"/>
        <v>0.59955173701905129</v>
      </c>
      <c r="P1496" s="35">
        <f t="shared" si="110"/>
        <v>33.275121404557346</v>
      </c>
      <c r="Q1496" s="35">
        <f>('Batt Capacity and Sys Weight'!$I$4) + (B1496*$T$2)</f>
        <v>38.804502999999997</v>
      </c>
      <c r="R1496" s="35">
        <f>'Batt Capacity and Sys Weight'!$H$4</f>
        <v>92.5</v>
      </c>
    </row>
    <row r="1497" spans="1:18" x14ac:dyDescent="0.3">
      <c r="A1497" s="35" t="s">
        <v>217</v>
      </c>
      <c r="B1497" s="35">
        <v>5.82</v>
      </c>
      <c r="C1497" s="35">
        <v>1140</v>
      </c>
      <c r="D1497" s="35" t="s">
        <v>145</v>
      </c>
      <c r="E1497" s="36" t="str" cm="1">
        <f t="array" ref="E1497">GetNumber(D1497,1)</f>
        <v>8</v>
      </c>
      <c r="F1497" s="36" t="str" cm="1">
        <f t="array" ref="F1497">GetNumber(D1497,2)</f>
        <v>6</v>
      </c>
      <c r="G1497" s="35">
        <v>18.5</v>
      </c>
      <c r="H1497" s="35">
        <v>17324</v>
      </c>
      <c r="I1497" s="35">
        <f>54.95*($T$2)</f>
        <v>109.9</v>
      </c>
      <c r="J1497" s="35">
        <f>1016.6*($T$2)</f>
        <v>2033.2</v>
      </c>
      <c r="K1497" s="35">
        <f t="shared" si="108"/>
        <v>2.7296871926027935</v>
      </c>
      <c r="L1497" s="35">
        <f t="shared" si="109"/>
        <v>2.7297543221110097</v>
      </c>
      <c r="M1497" s="35">
        <f>6.44375*($T$2)</f>
        <v>12.887499999999999</v>
      </c>
      <c r="N1497" s="35">
        <f>98.4*(5280/3600)</f>
        <v>144.32</v>
      </c>
      <c r="O1497" s="35">
        <f t="shared" si="107"/>
        <v>0.63385303954357664</v>
      </c>
      <c r="P1497" s="35">
        <f t="shared" si="110"/>
        <v>35.178843694668501</v>
      </c>
      <c r="Q1497" s="35">
        <f>('Batt Capacity and Sys Weight'!$I$4) + (B1497*$T$2)</f>
        <v>38.804502999999997</v>
      </c>
      <c r="R1497" s="35">
        <f>'Batt Capacity and Sys Weight'!$H$4</f>
        <v>92.5</v>
      </c>
    </row>
    <row r="1498" spans="1:18" x14ac:dyDescent="0.3">
      <c r="A1498" s="35" t="s">
        <v>217</v>
      </c>
      <c r="B1498" s="35">
        <v>5.82</v>
      </c>
      <c r="C1498" s="35">
        <v>1140</v>
      </c>
      <c r="D1498" s="35" t="s">
        <v>165</v>
      </c>
      <c r="E1498" s="36" cm="1">
        <f t="array" ref="E1498">GetNumber(D1498, 1) + (GetNumber(D1498, 2)/10)</f>
        <v>6.5</v>
      </c>
      <c r="F1498" s="36" cm="1">
        <f t="array" ref="F1498">GetNumber(D1498, 3) + (GetNumber(D1498, 4)/10)</f>
        <v>6.5</v>
      </c>
      <c r="G1498" s="35">
        <v>22.2</v>
      </c>
      <c r="H1498" s="35">
        <v>22681</v>
      </c>
      <c r="I1498" s="35">
        <f>36.93*($T$2)</f>
        <v>73.86</v>
      </c>
      <c r="J1498" s="35">
        <f>819.8*($T$2)</f>
        <v>1639.6</v>
      </c>
      <c r="K1498" s="35">
        <f t="shared" si="108"/>
        <v>3.6557696999268119</v>
      </c>
      <c r="L1498" s="35">
        <f t="shared" si="109"/>
        <v>3.6555645816409426</v>
      </c>
      <c r="M1498" s="35">
        <f>3.0425*($T$2)</f>
        <v>6.085</v>
      </c>
      <c r="N1498" s="35">
        <f>139.6*(5280/3600)</f>
        <v>204.74666666666664</v>
      </c>
      <c r="O1498" s="35">
        <f t="shared" si="107"/>
        <v>0.37112710417174921</v>
      </c>
      <c r="P1498" s="35">
        <f t="shared" si="110"/>
        <v>22.245358624054649</v>
      </c>
      <c r="Q1498" s="35">
        <f>('Batt Capacity and Sys Weight'!$I$5) + (B1498*$T$2)</f>
        <v>43.213752999999997</v>
      </c>
      <c r="R1498" s="35">
        <f>'Batt Capacity and Sys Weight'!$H$5</f>
        <v>99.9</v>
      </c>
    </row>
    <row r="1499" spans="1:18" x14ac:dyDescent="0.3">
      <c r="A1499" s="35" t="s">
        <v>217</v>
      </c>
      <c r="B1499" s="35">
        <v>5.82</v>
      </c>
      <c r="C1499" s="35">
        <v>1140</v>
      </c>
      <c r="D1499" s="35" t="s">
        <v>146</v>
      </c>
      <c r="E1499" s="36" t="str" cm="1">
        <f t="array" ref="E1499">GetNumber(D1499,1)</f>
        <v>7</v>
      </c>
      <c r="F1499" s="36" t="str" cm="1">
        <f t="array" ref="F1499">GetNumber(D1499,2)</f>
        <v>4</v>
      </c>
      <c r="G1499" s="35">
        <v>22.2</v>
      </c>
      <c r="H1499" s="35">
        <v>22086</v>
      </c>
      <c r="I1499" s="35">
        <f>44.1*($T$2)</f>
        <v>88.2</v>
      </c>
      <c r="J1499" s="35">
        <f>979.1*($T$2)</f>
        <v>1958.2</v>
      </c>
      <c r="K1499" s="35">
        <f t="shared" si="108"/>
        <v>3.0609743642120315</v>
      </c>
      <c r="L1499" s="35">
        <f t="shared" si="109"/>
        <v>3.0612244897959187</v>
      </c>
      <c r="M1499" s="35">
        <f>4.960625*($T$2)</f>
        <v>9.9212500000000006</v>
      </c>
      <c r="N1499" s="35">
        <f>83.7*(5280/3600)</f>
        <v>122.75999999999999</v>
      </c>
      <c r="O1499" s="35">
        <f t="shared" si="107"/>
        <v>0.50665151669900932</v>
      </c>
      <c r="P1499" s="35">
        <f t="shared" si="110"/>
        <v>30.368691910938619</v>
      </c>
      <c r="Q1499" s="35">
        <f>('Batt Capacity and Sys Weight'!$I$5) + (B1499*$T$2)</f>
        <v>43.213752999999997</v>
      </c>
      <c r="R1499" s="35">
        <f>'Batt Capacity and Sys Weight'!$H$5</f>
        <v>99.9</v>
      </c>
    </row>
    <row r="1500" spans="1:18" x14ac:dyDescent="0.3">
      <c r="A1500" s="35" t="s">
        <v>217</v>
      </c>
      <c r="B1500" s="35">
        <v>5.82</v>
      </c>
      <c r="C1500" s="35">
        <v>1140</v>
      </c>
      <c r="D1500" s="35" t="s">
        <v>148</v>
      </c>
      <c r="E1500" s="36" t="str" cm="1">
        <f t="array" ref="E1500">GetNumber(D1500,1)</f>
        <v>7</v>
      </c>
      <c r="F1500" s="36" t="str" cm="1">
        <f t="array" ref="F1500">GetNumber(D1500,2)</f>
        <v>5</v>
      </c>
      <c r="G1500" s="35">
        <v>22.2</v>
      </c>
      <c r="H1500" s="35">
        <v>21435</v>
      </c>
      <c r="I1500" s="35">
        <f>52.51*($T$2)</f>
        <v>105.02</v>
      </c>
      <c r="J1500" s="35">
        <f>1165.7*($T$2)</f>
        <v>2331.4</v>
      </c>
      <c r="K1500" s="35">
        <f t="shared" si="108"/>
        <v>2.5709873895513424</v>
      </c>
      <c r="L1500" s="35">
        <f t="shared" si="109"/>
        <v>2.5709388687868979</v>
      </c>
      <c r="M1500" s="35">
        <f>4.86125*($T$2)</f>
        <v>9.7225000000000001</v>
      </c>
      <c r="N1500" s="35">
        <f>101.5*(5280/3600)</f>
        <v>148.86666666666665</v>
      </c>
      <c r="O1500" s="35">
        <f t="shared" si="107"/>
        <v>0.41702410568756965</v>
      </c>
      <c r="P1500" s="35">
        <f t="shared" si="110"/>
        <v>24.996424894912927</v>
      </c>
      <c r="Q1500" s="35">
        <f>('Batt Capacity and Sys Weight'!$I$5) + (B1500*$T$2)</f>
        <v>43.213752999999997</v>
      </c>
      <c r="R1500" s="35">
        <f>'Batt Capacity and Sys Weight'!$H$5</f>
        <v>99.9</v>
      </c>
    </row>
    <row r="1501" spans="1:18" x14ac:dyDescent="0.3">
      <c r="A1501" s="35" t="s">
        <v>217</v>
      </c>
      <c r="B1501" s="35">
        <v>5.82</v>
      </c>
      <c r="C1501" s="35">
        <v>1140</v>
      </c>
      <c r="D1501" s="35" t="s">
        <v>149</v>
      </c>
      <c r="E1501" s="36" t="str" cm="1">
        <f t="array" ref="E1501">GetNumber(D1501,1)</f>
        <v>7</v>
      </c>
      <c r="F1501" s="36" t="str" cm="1">
        <f t="array" ref="F1501">GetNumber(D1501,2)</f>
        <v>6</v>
      </c>
      <c r="G1501" s="35">
        <v>22.2</v>
      </c>
      <c r="H1501" s="35">
        <v>21321</v>
      </c>
      <c r="I1501" s="35">
        <f>53.88*($T$2)</f>
        <v>107.76</v>
      </c>
      <c r="J1501" s="35">
        <f>1196.2*($T$2)</f>
        <v>2392.4</v>
      </c>
      <c r="K1501" s="35">
        <f t="shared" si="108"/>
        <v>2.5054338739341246</v>
      </c>
      <c r="L1501" s="35">
        <f t="shared" si="109"/>
        <v>2.5055679287305122</v>
      </c>
      <c r="M1501" s="35">
        <f>5.114375*($T$2)</f>
        <v>10.22875</v>
      </c>
      <c r="N1501" s="35">
        <f>121.1*(5280/3600)</f>
        <v>177.61333333333332</v>
      </c>
      <c r="O1501" s="35">
        <f t="shared" si="107"/>
        <v>0.42755183079752546</v>
      </c>
      <c r="P1501" s="35">
        <f t="shared" si="110"/>
        <v>25.627456738003676</v>
      </c>
      <c r="Q1501" s="35">
        <f>('Batt Capacity and Sys Weight'!$I$5) + (B1501*$T$2)</f>
        <v>43.213752999999997</v>
      </c>
      <c r="R1501" s="35">
        <f>'Batt Capacity and Sys Weight'!$H$5</f>
        <v>99.9</v>
      </c>
    </row>
    <row r="1502" spans="1:18" x14ac:dyDescent="0.3">
      <c r="A1502" s="35" t="s">
        <v>217</v>
      </c>
      <c r="B1502" s="35">
        <v>5.82</v>
      </c>
      <c r="C1502" s="35">
        <v>1140</v>
      </c>
      <c r="D1502" s="35" t="s">
        <v>144</v>
      </c>
      <c r="E1502" s="36" t="str" cm="1">
        <f t="array" ref="E1502">GetNumber(D1502,1)</f>
        <v>7</v>
      </c>
      <c r="F1502" s="36" t="str" cm="1">
        <f t="array" ref="F1502">GetNumber(D1502,2)</f>
        <v>4</v>
      </c>
      <c r="G1502" s="35">
        <v>22.2</v>
      </c>
      <c r="H1502" s="35">
        <v>22539</v>
      </c>
      <c r="I1502" s="35">
        <f>39.08*($T$2)</f>
        <v>78.16</v>
      </c>
      <c r="J1502" s="35">
        <f>867.7*($T$2)</f>
        <v>1735.4</v>
      </c>
      <c r="K1502" s="35">
        <f t="shared" si="108"/>
        <v>3.4539587415005188</v>
      </c>
      <c r="L1502" s="35">
        <f t="shared" si="109"/>
        <v>3.4544524053224155</v>
      </c>
      <c r="M1502" s="35">
        <f>4.660625*($T$2)</f>
        <v>9.3212499999999991</v>
      </c>
      <c r="N1502" s="35">
        <f>85.4*(5280/3600)</f>
        <v>125.25333333333333</v>
      </c>
      <c r="O1502" s="35">
        <f t="shared" si="107"/>
        <v>0.53712400599285459</v>
      </c>
      <c r="P1502" s="35">
        <f t="shared" si="110"/>
        <v>32.195212919211706</v>
      </c>
      <c r="Q1502" s="35">
        <f>('Batt Capacity and Sys Weight'!$I$5) + (B1502*$T$2)</f>
        <v>43.213752999999997</v>
      </c>
      <c r="R1502" s="35">
        <f>'Batt Capacity and Sys Weight'!$H$5</f>
        <v>99.9</v>
      </c>
    </row>
    <row r="1510" spans="5:5" x14ac:dyDescent="0.3">
      <c r="E1510" s="38"/>
    </row>
    <row r="1511" spans="5:5" x14ac:dyDescent="0.3">
      <c r="E1511" s="39"/>
    </row>
  </sheetData>
  <autoFilter ref="A1:P1502" xr:uid="{56F9C41E-EB46-4EFD-8BCC-7331D05F32CD}"/>
  <mergeCells count="1">
    <mergeCell ref="T28:AA28"/>
  </mergeCells>
  <pageMargins left="0.7" right="0.7" top="0.75" bottom="0.75" header="0.3" footer="0.3"/>
  <pageSetup orientation="portrait" r:id="rId1"/>
  <ignoredErrors>
    <ignoredError sqref="F5:F229 F1333:F1485 F1328 F1310 F1295 F1287 F1273 F1258 F1250:F1251 F1247:F1248 F1243:F1245 F1231:F1232 F1228:F1229 F1218:F1220 F1209:F1210 F1206:F1207 F1196:F1198 F1183 F1172:F1173 F1142 F1136:F1138 F1127:F1129 F1107:F1109 F1089 F1084 F1082 F1070 F365:F381 F1055:F1069 F1071:F1081 F1083 F1085:F1088 F1090:F1106 F1110:F1126 F1130:F1135 F1139:F1141 F1143:F1170 F1174:F1182 F1184:F1195 F1199:F1204 F1208 F1211:F1217 F1221:F1226 F1230 F1233 F1246 F1249 F1252:F1257 F1259:F1272 F1274:F1286 F1288:F1294 F1296:F1309 F1311:F1327 F1329:F1332 E1498:F1498 E365:E381 E1486:F1497 E1329:E1331 E1328 E1311:E1327 E1310 E1296:E1309 E1295 E1288:E1294 E1287 E1274:E1276 E1273 E1259:E1272 E1258 E1252:E1257 E1250:E1251 E1249 E1247:E1248 E1246 E1243:E1245 E1233 E1231:E1232 E1230 E1228:E1229 E1221:E1226 E1218:E1220 E1211:E1217 E1209:E1210 E1208 E1206:E1207 E1199:E1204 E1196:E1198 E1184:E1185 E1183 E1174:E1182 E1172:E1173 E1143:E1149 E1142 E1139:E1141 E1136:E1138 E1130:E1135 E1127:E1129 E1110:E1126 E1107:E1109 E1090:E1095 E1089 E1085:E1088 E1084 E1083 E1082 E1071:E1081 E1070 E1056:E1069 E1333:E1485 E1278:E1286 E1235:E1242 F1235:F1242 E383:E458 F383:F458 E460:E1020 F460:F1020 E1022:E1054 F1022:F1054 F231:F233 F235:F270 F272:F350 F352:F364 E1097:E1106 E1151:E1160 E1162:E1170 E1187:E1195 Q5:R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A2390-81D7-4C93-BDA6-852B3D238263}">
  <dimension ref="A1:R12"/>
  <sheetViews>
    <sheetView workbookViewId="0">
      <selection activeCell="D11" sqref="D11"/>
    </sheetView>
  </sheetViews>
  <sheetFormatPr defaultRowHeight="14.4" x14ac:dyDescent="0.3"/>
  <cols>
    <col min="1" max="1" width="14.6640625" customWidth="1"/>
    <col min="2" max="2" width="18.44140625" customWidth="1"/>
    <col min="3" max="3" width="20.109375" customWidth="1"/>
    <col min="4" max="4" width="19.6640625" customWidth="1"/>
    <col min="5" max="5" width="15.6640625" customWidth="1"/>
    <col min="6" max="6" width="20" customWidth="1"/>
    <col min="7" max="7" width="10.5546875" customWidth="1"/>
    <col min="8" max="8" width="20.6640625" customWidth="1"/>
    <col min="9" max="9" width="37.88671875" customWidth="1"/>
    <col min="10" max="10" width="71.109375" customWidth="1"/>
    <col min="11" max="11" width="15.88671875" customWidth="1"/>
  </cols>
  <sheetData>
    <row r="1" spans="1:18" x14ac:dyDescent="0.3">
      <c r="A1" s="47" t="s">
        <v>223</v>
      </c>
      <c r="B1" s="47" t="s">
        <v>367</v>
      </c>
      <c r="C1" s="47" t="s">
        <v>368</v>
      </c>
      <c r="D1" s="47" t="s">
        <v>375</v>
      </c>
      <c r="E1" s="47" t="s">
        <v>374</v>
      </c>
      <c r="F1" s="47" t="s">
        <v>373</v>
      </c>
      <c r="G1" s="47" t="s">
        <v>372</v>
      </c>
      <c r="H1" s="47" t="s">
        <v>363</v>
      </c>
      <c r="I1" s="47" t="s">
        <v>371</v>
      </c>
      <c r="J1" t="s">
        <v>354</v>
      </c>
      <c r="K1" t="s">
        <v>359</v>
      </c>
      <c r="L1" s="45"/>
      <c r="M1" s="45"/>
      <c r="N1" s="45"/>
      <c r="O1" s="45"/>
      <c r="P1" s="45"/>
      <c r="Q1" s="45"/>
      <c r="R1" s="45"/>
    </row>
    <row r="2" spans="1:18" x14ac:dyDescent="0.3">
      <c r="A2" s="48">
        <f>3*3.7</f>
        <v>11.100000000000001</v>
      </c>
      <c r="B2" s="48">
        <f>372*0.035274</f>
        <v>13.121928</v>
      </c>
      <c r="C2" s="48">
        <v>0</v>
      </c>
      <c r="D2" s="48">
        <v>2</v>
      </c>
      <c r="E2" s="48">
        <v>2.1199650000000001</v>
      </c>
      <c r="F2" s="48">
        <v>1.7637</v>
      </c>
      <c r="G2" s="48">
        <v>0.70547899999999997</v>
      </c>
      <c r="H2" s="48">
        <v>99.9</v>
      </c>
      <c r="I2" s="48">
        <f>(B2*D2)+C2+E2+F2+G2</f>
        <v>30.833000000000002</v>
      </c>
      <c r="J2" s="46" t="s">
        <v>361</v>
      </c>
      <c r="K2" s="45">
        <v>90</v>
      </c>
      <c r="L2" s="45"/>
      <c r="M2" s="45"/>
      <c r="N2" s="45"/>
      <c r="O2" s="45"/>
      <c r="P2" s="45"/>
      <c r="Q2" s="45"/>
      <c r="R2" s="45"/>
    </row>
    <row r="3" spans="1:18" x14ac:dyDescent="0.3">
      <c r="A3" s="48">
        <f>4*3.7</f>
        <v>14.8</v>
      </c>
      <c r="B3" s="48">
        <f>0.035274*598</f>
        <v>21.093851999999998</v>
      </c>
      <c r="C3" s="48">
        <v>0.70547899999999997</v>
      </c>
      <c r="D3" s="48">
        <v>1</v>
      </c>
      <c r="E3" s="48">
        <v>2.1199650000000001</v>
      </c>
      <c r="F3" s="48">
        <v>1.7637</v>
      </c>
      <c r="G3" s="48">
        <v>0.70547899999999997</v>
      </c>
      <c r="H3" s="48">
        <v>97.68</v>
      </c>
      <c r="I3" s="48">
        <f t="shared" ref="I3:I5" si="0">(B3*D3)+C3+E3+F3+G3</f>
        <v>26.388475</v>
      </c>
      <c r="J3" s="46" t="s">
        <v>360</v>
      </c>
      <c r="K3" s="45">
        <v>60</v>
      </c>
      <c r="L3" s="45"/>
      <c r="M3" s="45"/>
      <c r="N3" s="45"/>
      <c r="O3" s="45"/>
      <c r="P3" s="45"/>
      <c r="Q3" s="45"/>
      <c r="R3" s="45"/>
    </row>
    <row r="4" spans="1:18" x14ac:dyDescent="0.3">
      <c r="A4" s="48">
        <f>5*3.7</f>
        <v>18.5</v>
      </c>
      <c r="B4" s="48">
        <f>0.035274*620</f>
        <v>21.869879999999998</v>
      </c>
      <c r="C4" s="48">
        <v>0.70547899999999997</v>
      </c>
      <c r="D4" s="48">
        <v>1</v>
      </c>
      <c r="E4" s="48">
        <v>2.1199650000000001</v>
      </c>
      <c r="F4" s="48">
        <v>1.7637</v>
      </c>
      <c r="G4" s="48">
        <v>0.70547899999999997</v>
      </c>
      <c r="H4" s="48">
        <v>92.5</v>
      </c>
      <c r="I4" s="48">
        <f t="shared" si="0"/>
        <v>27.164503</v>
      </c>
      <c r="J4" s="46" t="s">
        <v>356</v>
      </c>
      <c r="K4" s="45">
        <v>90</v>
      </c>
      <c r="L4" s="45"/>
      <c r="M4" s="45"/>
      <c r="N4" s="45"/>
      <c r="O4" s="45"/>
      <c r="P4" s="45"/>
      <c r="Q4" s="45"/>
      <c r="R4" s="45"/>
    </row>
    <row r="5" spans="1:18" x14ac:dyDescent="0.3">
      <c r="A5" s="48">
        <f>6*3.7</f>
        <v>22.200000000000003</v>
      </c>
      <c r="B5" s="48">
        <f>0.035274*745</f>
        <v>26.279129999999999</v>
      </c>
      <c r="C5" s="48">
        <v>0.70547899999999997</v>
      </c>
      <c r="D5" s="48">
        <v>1</v>
      </c>
      <c r="E5" s="48">
        <v>2.1199650000000001</v>
      </c>
      <c r="F5" s="48">
        <v>1.7637</v>
      </c>
      <c r="G5" s="48">
        <v>0.70547899999999997</v>
      </c>
      <c r="H5" s="48">
        <v>99.9</v>
      </c>
      <c r="I5" s="48">
        <f t="shared" si="0"/>
        <v>31.573753</v>
      </c>
      <c r="J5" s="46" t="s">
        <v>355</v>
      </c>
      <c r="K5" s="45">
        <v>90</v>
      </c>
      <c r="L5" s="45"/>
      <c r="M5" s="45"/>
      <c r="N5" s="45"/>
      <c r="O5" s="45"/>
      <c r="P5" s="45"/>
      <c r="Q5" s="45"/>
      <c r="R5" s="45"/>
    </row>
    <row r="6" spans="1:18" x14ac:dyDescent="0.3">
      <c r="A6" s="45"/>
      <c r="B6" s="45"/>
      <c r="C6" s="45"/>
      <c r="D6" s="45"/>
      <c r="E6" s="45"/>
      <c r="F6" s="45"/>
      <c r="G6" s="45"/>
      <c r="H6" s="45"/>
      <c r="I6" s="45"/>
      <c r="J6" s="45" t="s">
        <v>357</v>
      </c>
      <c r="K6" s="45"/>
      <c r="L6" s="45"/>
      <c r="M6" s="45"/>
      <c r="N6" s="45"/>
      <c r="O6" s="45"/>
      <c r="P6" s="45"/>
      <c r="Q6" s="45"/>
      <c r="R6" s="45"/>
    </row>
    <row r="7" spans="1:18" x14ac:dyDescent="0.3">
      <c r="A7" s="45"/>
      <c r="B7" s="45"/>
      <c r="C7" s="45"/>
      <c r="D7" s="45"/>
      <c r="E7" s="45"/>
      <c r="F7" s="45"/>
      <c r="G7" s="45"/>
      <c r="H7" s="45"/>
      <c r="I7" s="45"/>
      <c r="J7" s="45" t="s">
        <v>358</v>
      </c>
      <c r="K7" s="45"/>
      <c r="L7" s="45"/>
      <c r="M7" s="45"/>
      <c r="N7" s="45"/>
      <c r="O7" s="45"/>
      <c r="P7" s="45"/>
      <c r="Q7" s="45"/>
      <c r="R7" s="45"/>
    </row>
    <row r="8" spans="1:18" x14ac:dyDescent="0.3">
      <c r="A8" s="45"/>
      <c r="B8" s="57" t="s">
        <v>386</v>
      </c>
      <c r="C8" s="57"/>
      <c r="D8" s="57"/>
      <c r="E8" s="57"/>
      <c r="F8" s="45"/>
      <c r="G8" s="45"/>
      <c r="H8" s="45"/>
      <c r="I8" s="45"/>
      <c r="J8" s="45" t="s">
        <v>365</v>
      </c>
      <c r="K8" s="45" t="s">
        <v>366</v>
      </c>
      <c r="L8" s="45"/>
      <c r="M8" s="45"/>
      <c r="N8" s="45"/>
      <c r="O8" s="45"/>
      <c r="P8" s="45"/>
      <c r="Q8" s="45"/>
      <c r="R8" s="45"/>
    </row>
    <row r="9" spans="1:18" x14ac:dyDescent="0.3">
      <c r="B9" s="58" t="s">
        <v>384</v>
      </c>
      <c r="C9" s="58"/>
      <c r="D9" s="58"/>
      <c r="E9" s="58"/>
      <c r="J9" s="45" t="s">
        <v>364</v>
      </c>
    </row>
    <row r="10" spans="1:18" x14ac:dyDescent="0.3">
      <c r="B10" s="58" t="s">
        <v>385</v>
      </c>
      <c r="C10" s="58"/>
      <c r="D10" s="58"/>
      <c r="E10" s="58"/>
      <c r="J10" s="45" t="s">
        <v>369</v>
      </c>
    </row>
    <row r="12" spans="1:18" x14ac:dyDescent="0.3">
      <c r="J12" s="45" t="s">
        <v>370</v>
      </c>
    </row>
  </sheetData>
  <hyperlinks>
    <hyperlink ref="J2" r:id="rId1" xr:uid="{207D523D-7439-4EE7-8527-309528E27E23}"/>
    <hyperlink ref="J3" r:id="rId2" xr:uid="{CC91DC28-74E2-44E9-988C-EC2DA419D810}"/>
    <hyperlink ref="J4" r:id="rId3" xr:uid="{67261DFD-ABDB-4365-8104-5B0BFAD3CF29}"/>
    <hyperlink ref="J5" r:id="rId4" xr:uid="{A5A679AF-5E34-4394-9592-700A8595969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2CB19-6057-4CBB-82BA-49145218EB8A}">
  <sheetPr codeName="Sheet3"/>
  <dimension ref="A1:AC685"/>
  <sheetViews>
    <sheetView workbookViewId="0">
      <selection activeCell="M2" sqref="M2"/>
    </sheetView>
  </sheetViews>
  <sheetFormatPr defaultRowHeight="14.4" x14ac:dyDescent="0.3"/>
  <cols>
    <col min="1" max="1" width="18.5546875" customWidth="1"/>
    <col min="2" max="2" width="6.6640625" customWidth="1"/>
    <col min="3" max="3" width="7.88671875" customWidth="1"/>
    <col min="4" max="4" width="17.33203125" style="37" customWidth="1"/>
    <col min="5" max="5" width="14.6640625" style="37" customWidth="1"/>
    <col min="6" max="6" width="15" customWidth="1"/>
    <col min="7" max="7" width="12.33203125" customWidth="1"/>
    <col min="8" max="8" width="11" customWidth="1"/>
    <col min="9" max="9" width="10.88671875" customWidth="1"/>
    <col min="10" max="10" width="18.44140625" customWidth="1"/>
    <col min="11" max="11" width="15.44140625" customWidth="1"/>
    <col min="12" max="12" width="16.44140625" customWidth="1"/>
    <col min="13" max="13" width="16.88671875" customWidth="1"/>
    <col min="14" max="14" width="15.33203125" customWidth="1"/>
    <col min="15" max="15" width="17" customWidth="1"/>
    <col min="16" max="16" width="24.6640625" customWidth="1"/>
    <col min="17" max="17" width="8.6640625" customWidth="1"/>
    <col min="18" max="19" width="19" customWidth="1"/>
    <col min="20" max="20" width="38.6640625" customWidth="1"/>
    <col min="21" max="21" width="24.44140625" customWidth="1"/>
    <col min="22" max="22" width="15.5546875" customWidth="1"/>
    <col min="23" max="23" width="47.5546875" customWidth="1"/>
    <col min="24" max="24" width="61.6640625" customWidth="1"/>
    <col min="25" max="25" width="18.33203125" customWidth="1"/>
    <col min="26" max="26" width="35.6640625" customWidth="1"/>
    <col min="27" max="27" width="18.6640625" customWidth="1"/>
  </cols>
  <sheetData>
    <row r="1" spans="1:19" ht="15.6" thickTop="1" thickBot="1" x14ac:dyDescent="0.35">
      <c r="A1" s="52" t="s">
        <v>383</v>
      </c>
      <c r="B1" s="52" t="s">
        <v>427</v>
      </c>
      <c r="C1" s="52" t="s">
        <v>82</v>
      </c>
      <c r="D1" s="53" t="s">
        <v>388</v>
      </c>
      <c r="E1" s="53" t="s">
        <v>389</v>
      </c>
      <c r="F1" s="53" t="s">
        <v>390</v>
      </c>
      <c r="G1" s="53" t="s">
        <v>391</v>
      </c>
      <c r="H1" s="53" t="s">
        <v>428</v>
      </c>
      <c r="I1" s="53" t="s">
        <v>392</v>
      </c>
      <c r="J1" s="53" t="s">
        <v>393</v>
      </c>
      <c r="K1" s="53" t="s">
        <v>394</v>
      </c>
      <c r="L1" s="53" t="s">
        <v>395</v>
      </c>
      <c r="M1" s="53" t="s">
        <v>396</v>
      </c>
      <c r="N1" s="56" t="s">
        <v>397</v>
      </c>
      <c r="O1" s="52" t="s">
        <v>429</v>
      </c>
      <c r="P1" s="49" t="s">
        <v>290</v>
      </c>
      <c r="Q1" s="34">
        <v>100</v>
      </c>
    </row>
    <row r="2" spans="1:19" ht="15.6" thickTop="1" thickBot="1" x14ac:dyDescent="0.35">
      <c r="A2" s="35" t="s">
        <v>92</v>
      </c>
      <c r="B2" s="35">
        <v>4</v>
      </c>
      <c r="C2" s="35">
        <v>420</v>
      </c>
      <c r="D2" s="36" t="s">
        <v>424</v>
      </c>
      <c r="E2" s="36" t="s">
        <v>412</v>
      </c>
      <c r="F2" s="35">
        <v>14.8</v>
      </c>
      <c r="G2" s="35">
        <v>5691</v>
      </c>
      <c r="H2" s="35">
        <v>50.42</v>
      </c>
      <c r="I2" s="35">
        <v>746.2</v>
      </c>
      <c r="J2" s="35">
        <v>7.8541945859019027</v>
      </c>
      <c r="K2" s="35">
        <v>11.053750000000001</v>
      </c>
      <c r="L2" s="35">
        <v>55.293333333333337</v>
      </c>
      <c r="M2" s="35">
        <v>1.4813387831680516</v>
      </c>
      <c r="N2" s="35">
        <v>99.9</v>
      </c>
      <c r="O2" s="35">
        <v>38.513000000000005</v>
      </c>
      <c r="P2" s="49" t="s">
        <v>377</v>
      </c>
      <c r="Q2" s="34">
        <v>2</v>
      </c>
    </row>
    <row r="3" spans="1:19" ht="15" thickTop="1" x14ac:dyDescent="0.3">
      <c r="A3" s="35" t="s">
        <v>92</v>
      </c>
      <c r="B3" s="35">
        <v>4</v>
      </c>
      <c r="C3" s="35">
        <v>420</v>
      </c>
      <c r="D3" s="36" t="s">
        <v>425</v>
      </c>
      <c r="E3" s="36" t="s">
        <v>412</v>
      </c>
      <c r="F3" s="35">
        <v>14.8</v>
      </c>
      <c r="G3" s="35">
        <v>5598</v>
      </c>
      <c r="H3" s="35">
        <v>56.24</v>
      </c>
      <c r="I3" s="35">
        <v>832.2</v>
      </c>
      <c r="J3" s="35">
        <v>7.0425378514780101</v>
      </c>
      <c r="K3" s="35">
        <v>12.30125</v>
      </c>
      <c r="L3" s="35">
        <v>54.413333333333334</v>
      </c>
      <c r="M3" s="35">
        <v>1.478160298005287</v>
      </c>
      <c r="N3" s="35">
        <v>99.9</v>
      </c>
      <c r="O3" s="35">
        <v>38.513000000000005</v>
      </c>
    </row>
    <row r="4" spans="1:19" x14ac:dyDescent="0.3">
      <c r="A4" s="35" t="s">
        <v>245</v>
      </c>
      <c r="B4" s="35">
        <v>5.9999999999999991</v>
      </c>
      <c r="C4" s="35">
        <v>300</v>
      </c>
      <c r="D4" s="36" t="s">
        <v>426</v>
      </c>
      <c r="E4" s="36" t="s">
        <v>415</v>
      </c>
      <c r="F4" s="35">
        <v>22.2</v>
      </c>
      <c r="G4" s="35">
        <v>5622</v>
      </c>
      <c r="H4" s="35">
        <v>51.96</v>
      </c>
      <c r="I4" s="35">
        <v>1153.5999999999999</v>
      </c>
      <c r="J4" s="35">
        <v>5.1959084604715686</v>
      </c>
      <c r="K4" s="35">
        <v>16.638000000000002</v>
      </c>
      <c r="L4" s="35">
        <v>62.5</v>
      </c>
      <c r="M4" s="35">
        <v>1.4422676837725383</v>
      </c>
      <c r="N4" s="35">
        <v>99.9</v>
      </c>
      <c r="O4" s="35">
        <v>38.513000000000005</v>
      </c>
      <c r="Q4" s="60" t="s">
        <v>387</v>
      </c>
      <c r="S4" t="s">
        <v>431</v>
      </c>
    </row>
    <row r="5" spans="1:19" x14ac:dyDescent="0.3">
      <c r="A5" s="35" t="s">
        <v>92</v>
      </c>
      <c r="B5" s="35">
        <v>4</v>
      </c>
      <c r="C5" s="35">
        <v>420</v>
      </c>
      <c r="D5" s="36" t="s">
        <v>424</v>
      </c>
      <c r="E5" s="36" t="s">
        <v>412</v>
      </c>
      <c r="F5" s="35">
        <v>14.8</v>
      </c>
      <c r="G5" s="35">
        <v>5689</v>
      </c>
      <c r="H5" s="35">
        <v>50.04</v>
      </c>
      <c r="I5" s="35">
        <v>740.8</v>
      </c>
      <c r="J5" s="35">
        <v>7.9114470842332629</v>
      </c>
      <c r="K5" s="35">
        <v>10.453749999999999</v>
      </c>
      <c r="L5" s="35">
        <v>55.293333333333337</v>
      </c>
      <c r="M5" s="35">
        <v>1.4111433585313173</v>
      </c>
      <c r="N5" s="35">
        <v>97.68</v>
      </c>
      <c r="O5" s="35">
        <v>34.068474999999999</v>
      </c>
      <c r="Q5" s="61" t="s">
        <v>411</v>
      </c>
      <c r="S5" t="s">
        <v>432</v>
      </c>
    </row>
    <row r="6" spans="1:19" x14ac:dyDescent="0.3">
      <c r="A6" s="35" t="s">
        <v>213</v>
      </c>
      <c r="B6" s="35">
        <v>2.9999999999999996</v>
      </c>
      <c r="C6" s="35">
        <v>840</v>
      </c>
      <c r="D6" s="36" t="s">
        <v>421</v>
      </c>
      <c r="E6" s="36" t="s">
        <v>416</v>
      </c>
      <c r="F6" s="35">
        <v>11.1</v>
      </c>
      <c r="G6" s="35">
        <v>7870</v>
      </c>
      <c r="H6" s="35">
        <v>47.28</v>
      </c>
      <c r="I6" s="35">
        <v>524.79999999999995</v>
      </c>
      <c r="J6" s="35">
        <v>11.421493902439027</v>
      </c>
      <c r="K6" s="35">
        <v>7.3812499999999996</v>
      </c>
      <c r="L6" s="35">
        <v>43.706666666666663</v>
      </c>
      <c r="M6" s="35">
        <v>1.4064881859756098</v>
      </c>
      <c r="N6" s="35">
        <v>99.9</v>
      </c>
      <c r="O6" s="35">
        <v>39.293000000000006</v>
      </c>
      <c r="Q6" t="s">
        <v>398</v>
      </c>
      <c r="S6" t="s">
        <v>433</v>
      </c>
    </row>
    <row r="7" spans="1:19" x14ac:dyDescent="0.3">
      <c r="A7" s="35" t="s">
        <v>260</v>
      </c>
      <c r="B7" s="35">
        <v>4</v>
      </c>
      <c r="C7" s="35">
        <v>470</v>
      </c>
      <c r="D7" s="36" t="s">
        <v>424</v>
      </c>
      <c r="E7" s="36" t="s">
        <v>412</v>
      </c>
      <c r="F7" s="35">
        <v>14.8</v>
      </c>
      <c r="G7" s="35">
        <v>6095</v>
      </c>
      <c r="H7" s="35">
        <v>61.48</v>
      </c>
      <c r="I7" s="35">
        <v>910</v>
      </c>
      <c r="J7" s="35">
        <v>6.440439560439561</v>
      </c>
      <c r="K7" s="35">
        <v>12.667999999999999</v>
      </c>
      <c r="L7" s="35">
        <v>59.3</v>
      </c>
      <c r="M7" s="35">
        <v>1.3920879120879119</v>
      </c>
      <c r="N7" s="35">
        <v>99.9</v>
      </c>
      <c r="O7" s="35">
        <v>39.293000000000006</v>
      </c>
      <c r="Q7" t="s">
        <v>399</v>
      </c>
    </row>
    <row r="8" spans="1:19" x14ac:dyDescent="0.3">
      <c r="A8" s="35" t="s">
        <v>260</v>
      </c>
      <c r="B8" s="35">
        <v>4</v>
      </c>
      <c r="C8" s="35">
        <v>470</v>
      </c>
      <c r="D8" s="36" t="s">
        <v>425</v>
      </c>
      <c r="E8" s="36" t="s">
        <v>412</v>
      </c>
      <c r="F8" s="35">
        <v>14.8</v>
      </c>
      <c r="G8" s="35">
        <v>5972</v>
      </c>
      <c r="H8" s="35">
        <v>70.06</v>
      </c>
      <c r="I8" s="35">
        <v>1036.8</v>
      </c>
      <c r="J8" s="35">
        <v>5.6527777777777786</v>
      </c>
      <c r="K8" s="35">
        <v>14.388</v>
      </c>
      <c r="L8" s="35">
        <v>58.1</v>
      </c>
      <c r="M8" s="35">
        <v>1.3877314814814814</v>
      </c>
      <c r="N8" s="35">
        <v>99.9</v>
      </c>
      <c r="O8" s="35">
        <v>39.293000000000006</v>
      </c>
      <c r="Q8" t="s">
        <v>400</v>
      </c>
    </row>
    <row r="9" spans="1:19" x14ac:dyDescent="0.3">
      <c r="A9" s="35" t="s">
        <v>242</v>
      </c>
      <c r="B9" s="35">
        <v>2.9999999999999996</v>
      </c>
      <c r="C9" s="35">
        <v>760</v>
      </c>
      <c r="D9" s="36" t="s">
        <v>421</v>
      </c>
      <c r="E9" s="36">
        <v>6.5</v>
      </c>
      <c r="F9" s="35">
        <v>11.1</v>
      </c>
      <c r="G9" s="35">
        <v>6449</v>
      </c>
      <c r="H9" s="35">
        <v>46.84</v>
      </c>
      <c r="I9" s="35">
        <v>520</v>
      </c>
      <c r="J9" s="35">
        <v>11.526923076923078</v>
      </c>
      <c r="K9" s="35">
        <v>7.1820000000000004</v>
      </c>
      <c r="L9" s="35">
        <v>58.2</v>
      </c>
      <c r="M9" s="35">
        <v>1.3811538461538462</v>
      </c>
      <c r="N9" s="35">
        <v>97.68</v>
      </c>
      <c r="O9" s="35">
        <v>34.848475000000001</v>
      </c>
      <c r="Q9" t="s">
        <v>401</v>
      </c>
    </row>
    <row r="10" spans="1:19" x14ac:dyDescent="0.3">
      <c r="A10" s="35" t="s">
        <v>92</v>
      </c>
      <c r="B10" s="35">
        <v>4</v>
      </c>
      <c r="C10" s="35">
        <v>420</v>
      </c>
      <c r="D10" s="36" t="s">
        <v>426</v>
      </c>
      <c r="E10" s="36" t="s">
        <v>415</v>
      </c>
      <c r="F10" s="35">
        <v>14.8</v>
      </c>
      <c r="G10" s="35">
        <v>5301</v>
      </c>
      <c r="H10" s="35">
        <v>73.319999999999993</v>
      </c>
      <c r="I10" s="35">
        <v>1085</v>
      </c>
      <c r="J10" s="35">
        <v>5.4016589861751152</v>
      </c>
      <c r="K10" s="35">
        <v>14.828749999999999</v>
      </c>
      <c r="L10" s="35">
        <v>58.96</v>
      </c>
      <c r="M10" s="35">
        <v>1.3667050691244238</v>
      </c>
      <c r="N10" s="35">
        <v>97.68</v>
      </c>
      <c r="O10" s="35">
        <v>34.848475000000001</v>
      </c>
      <c r="Q10" t="s">
        <v>402</v>
      </c>
    </row>
    <row r="11" spans="1:19" x14ac:dyDescent="0.3">
      <c r="A11" s="35" t="s">
        <v>92</v>
      </c>
      <c r="B11" s="35">
        <v>4</v>
      </c>
      <c r="C11" s="35">
        <v>420</v>
      </c>
      <c r="D11" s="36" t="s">
        <v>425</v>
      </c>
      <c r="E11" s="36" t="s">
        <v>414</v>
      </c>
      <c r="F11" s="35">
        <v>14.8</v>
      </c>
      <c r="G11" s="35">
        <v>5566</v>
      </c>
      <c r="H11" s="35">
        <v>57.1</v>
      </c>
      <c r="I11" s="35">
        <v>845</v>
      </c>
      <c r="J11" s="35">
        <v>6.9358579881656812</v>
      </c>
      <c r="K11" s="35">
        <v>11.526249999999999</v>
      </c>
      <c r="L11" s="35">
        <v>46.346666666666664</v>
      </c>
      <c r="M11" s="35">
        <v>1.3640532544378696</v>
      </c>
      <c r="N11" s="35">
        <v>97.68</v>
      </c>
      <c r="O11" s="35">
        <v>34.848475000000001</v>
      </c>
      <c r="Q11" t="s">
        <v>403</v>
      </c>
    </row>
    <row r="12" spans="1:19" x14ac:dyDescent="0.3">
      <c r="A12" s="35" t="s">
        <v>277</v>
      </c>
      <c r="B12" s="35">
        <v>2.9999999999999996</v>
      </c>
      <c r="C12" s="35">
        <v>890</v>
      </c>
      <c r="D12" s="36" t="s">
        <v>421</v>
      </c>
      <c r="E12" s="36" t="s">
        <v>416</v>
      </c>
      <c r="F12" s="35">
        <v>11.1</v>
      </c>
      <c r="G12" s="35">
        <v>8353</v>
      </c>
      <c r="H12" s="35">
        <v>56.84</v>
      </c>
      <c r="I12" s="35">
        <v>631</v>
      </c>
      <c r="J12" s="35">
        <v>9.4992076069730587</v>
      </c>
      <c r="K12" s="35">
        <v>8.5980000000000008</v>
      </c>
      <c r="L12" s="35">
        <v>46.3</v>
      </c>
      <c r="M12" s="35">
        <v>1.3625990491283677</v>
      </c>
      <c r="N12" s="35">
        <v>97.68</v>
      </c>
      <c r="O12" s="35">
        <v>34.848475000000001</v>
      </c>
      <c r="Q12" t="s">
        <v>404</v>
      </c>
    </row>
    <row r="13" spans="1:19" x14ac:dyDescent="0.3">
      <c r="A13" s="35" t="s">
        <v>244</v>
      </c>
      <c r="B13" s="35">
        <v>4</v>
      </c>
      <c r="C13" s="35">
        <v>610</v>
      </c>
      <c r="D13" s="36" t="s">
        <v>423</v>
      </c>
      <c r="E13" s="36" t="s">
        <v>416</v>
      </c>
      <c r="F13" s="35">
        <v>14.8</v>
      </c>
      <c r="G13" s="35">
        <v>7794</v>
      </c>
      <c r="H13" s="35">
        <v>64.36</v>
      </c>
      <c r="I13" s="35">
        <v>952.4</v>
      </c>
      <c r="J13" s="35">
        <v>6.1537169256614872</v>
      </c>
      <c r="K13" s="35">
        <v>12.964</v>
      </c>
      <c r="L13" s="35">
        <v>43.3</v>
      </c>
      <c r="M13" s="35">
        <v>1.3611927761444771</v>
      </c>
      <c r="N13" s="35">
        <v>92.5</v>
      </c>
      <c r="O13" s="35">
        <v>35.624503000000004</v>
      </c>
      <c r="Q13" t="s">
        <v>405</v>
      </c>
    </row>
    <row r="14" spans="1:19" x14ac:dyDescent="0.3">
      <c r="A14" s="35" t="s">
        <v>242</v>
      </c>
      <c r="B14" s="35">
        <v>4</v>
      </c>
      <c r="C14" s="35">
        <v>760</v>
      </c>
      <c r="D14" s="36" t="s">
        <v>421</v>
      </c>
      <c r="E14" s="36" t="s">
        <v>416</v>
      </c>
      <c r="F14" s="35">
        <v>14.8</v>
      </c>
      <c r="G14" s="35">
        <v>8970</v>
      </c>
      <c r="H14" s="35">
        <v>44.62</v>
      </c>
      <c r="I14" s="35">
        <v>660.4</v>
      </c>
      <c r="J14" s="35">
        <v>8.8746214415505751</v>
      </c>
      <c r="K14" s="35">
        <v>8.8919999999999995</v>
      </c>
      <c r="L14" s="35">
        <v>49.9</v>
      </c>
      <c r="M14" s="35">
        <v>1.3464566929133857</v>
      </c>
      <c r="N14" s="35">
        <v>99.9</v>
      </c>
      <c r="O14" s="35">
        <v>35.133000000000003</v>
      </c>
      <c r="Q14" t="s">
        <v>406</v>
      </c>
    </row>
    <row r="15" spans="1:19" x14ac:dyDescent="0.3">
      <c r="A15" s="35" t="s">
        <v>92</v>
      </c>
      <c r="B15" s="35">
        <v>4</v>
      </c>
      <c r="C15" s="35">
        <v>420</v>
      </c>
      <c r="D15" s="36" t="s">
        <v>423</v>
      </c>
      <c r="E15" s="36" t="s">
        <v>412</v>
      </c>
      <c r="F15" s="35">
        <v>14.8</v>
      </c>
      <c r="G15" s="35">
        <v>5577</v>
      </c>
      <c r="H15" s="35">
        <v>56.06</v>
      </c>
      <c r="I15" s="35">
        <v>829.6</v>
      </c>
      <c r="J15" s="35">
        <v>7.0646094503375121</v>
      </c>
      <c r="K15" s="35">
        <v>11.16375</v>
      </c>
      <c r="L15" s="35">
        <v>54.266666666666666</v>
      </c>
      <c r="M15" s="35">
        <v>1.3456786403085825</v>
      </c>
      <c r="N15" s="35">
        <v>99.9</v>
      </c>
      <c r="O15" s="35">
        <v>35.133000000000003</v>
      </c>
      <c r="Q15" t="s">
        <v>407</v>
      </c>
    </row>
    <row r="16" spans="1:19" x14ac:dyDescent="0.3">
      <c r="A16" s="35" t="s">
        <v>243</v>
      </c>
      <c r="B16" s="35">
        <v>4</v>
      </c>
      <c r="C16" s="35">
        <v>650</v>
      </c>
      <c r="D16" s="36" t="s">
        <v>423</v>
      </c>
      <c r="E16" s="36" t="s">
        <v>416</v>
      </c>
      <c r="F16" s="35">
        <v>14.8</v>
      </c>
      <c r="G16" s="35">
        <v>7718</v>
      </c>
      <c r="H16" s="35">
        <v>63.1</v>
      </c>
      <c r="I16" s="35">
        <v>933.8</v>
      </c>
      <c r="J16" s="35">
        <v>6.2762904262154642</v>
      </c>
      <c r="K16" s="35">
        <v>12.478</v>
      </c>
      <c r="L16" s="35">
        <v>42.8</v>
      </c>
      <c r="M16" s="35">
        <v>1.3362604412079675</v>
      </c>
      <c r="N16" s="35">
        <v>99.9</v>
      </c>
      <c r="O16" s="35">
        <v>35.133000000000003</v>
      </c>
      <c r="Q16" t="s">
        <v>408</v>
      </c>
    </row>
    <row r="17" spans="1:28" x14ac:dyDescent="0.3">
      <c r="A17" s="35" t="s">
        <v>242</v>
      </c>
      <c r="B17" s="35">
        <v>2.9999999999999996</v>
      </c>
      <c r="C17" s="35">
        <v>760</v>
      </c>
      <c r="D17" s="36" t="s">
        <v>422</v>
      </c>
      <c r="E17" s="36" t="s">
        <v>412</v>
      </c>
      <c r="F17" s="35">
        <v>11.1</v>
      </c>
      <c r="G17" s="35">
        <v>6171</v>
      </c>
      <c r="H17" s="35">
        <v>57.44</v>
      </c>
      <c r="I17" s="35">
        <v>637.6</v>
      </c>
      <c r="J17" s="35">
        <v>9.4008782936010036</v>
      </c>
      <c r="K17" s="35">
        <v>8.4960000000000004</v>
      </c>
      <c r="L17" s="35">
        <v>60</v>
      </c>
      <c r="M17" s="35">
        <v>1.3324968632371392</v>
      </c>
      <c r="N17" s="35">
        <v>99.9</v>
      </c>
      <c r="O17" s="35">
        <v>35.133000000000003</v>
      </c>
      <c r="Q17" t="s">
        <v>409</v>
      </c>
    </row>
    <row r="18" spans="1:28" x14ac:dyDescent="0.3">
      <c r="A18" s="35" t="s">
        <v>92</v>
      </c>
      <c r="B18" s="35">
        <v>4</v>
      </c>
      <c r="C18" s="35">
        <v>420</v>
      </c>
      <c r="D18" s="36" t="s">
        <v>425</v>
      </c>
      <c r="E18" s="36" t="s">
        <v>415</v>
      </c>
      <c r="F18" s="35">
        <v>14.8</v>
      </c>
      <c r="G18" s="35">
        <v>5455</v>
      </c>
      <c r="H18" s="35">
        <v>65.599999999999994</v>
      </c>
      <c r="I18" s="35">
        <v>970.8</v>
      </c>
      <c r="J18" s="35">
        <v>6.0370828182941914</v>
      </c>
      <c r="K18" s="35">
        <v>12.92375</v>
      </c>
      <c r="L18" s="35">
        <v>60.573333333333323</v>
      </c>
      <c r="M18" s="35">
        <v>1.3312474248042852</v>
      </c>
      <c r="N18" s="35">
        <v>99.9</v>
      </c>
      <c r="O18" s="35">
        <v>35.133000000000003</v>
      </c>
      <c r="Q18" t="s">
        <v>410</v>
      </c>
    </row>
    <row r="19" spans="1:28" x14ac:dyDescent="0.3">
      <c r="A19" s="35" t="s">
        <v>108</v>
      </c>
      <c r="B19" s="35">
        <v>5.9999999999999991</v>
      </c>
      <c r="C19" s="35">
        <v>310</v>
      </c>
      <c r="D19" s="36" t="s">
        <v>425</v>
      </c>
      <c r="E19" s="36" t="s">
        <v>412</v>
      </c>
      <c r="F19" s="35">
        <v>22.2</v>
      </c>
      <c r="G19" s="35">
        <v>6359</v>
      </c>
      <c r="H19" s="35">
        <v>55.56</v>
      </c>
      <c r="I19" s="35">
        <v>1233.4000000000001</v>
      </c>
      <c r="J19" s="35">
        <v>4.8597373114966755</v>
      </c>
      <c r="K19" s="35">
        <v>16.322500000000002</v>
      </c>
      <c r="L19" s="35">
        <v>61.893333333333331</v>
      </c>
      <c r="M19" s="35">
        <v>1.3233744121939355</v>
      </c>
      <c r="N19" s="35">
        <v>99.9</v>
      </c>
      <c r="O19" s="35">
        <v>35.133000000000003</v>
      </c>
      <c r="Q19" t="s">
        <v>430</v>
      </c>
    </row>
    <row r="20" spans="1:28" x14ac:dyDescent="0.3">
      <c r="A20" s="35" t="s">
        <v>242</v>
      </c>
      <c r="B20" s="35">
        <v>2.9999999999999996</v>
      </c>
      <c r="C20" s="35">
        <v>760</v>
      </c>
      <c r="D20" s="36" t="s">
        <v>423</v>
      </c>
      <c r="E20" s="36" t="s">
        <v>415</v>
      </c>
      <c r="F20" s="35">
        <v>11.1</v>
      </c>
      <c r="G20" s="35">
        <v>5916</v>
      </c>
      <c r="H20" s="35">
        <v>66.52</v>
      </c>
      <c r="I20" s="35">
        <v>738.4</v>
      </c>
      <c r="J20" s="35">
        <v>8.1175514626218863</v>
      </c>
      <c r="K20" s="35">
        <v>9.7620000000000005</v>
      </c>
      <c r="L20" s="35">
        <v>65.7</v>
      </c>
      <c r="M20" s="35">
        <v>1.3220476706392199</v>
      </c>
      <c r="N20" s="35">
        <v>99.9</v>
      </c>
      <c r="O20" s="35">
        <v>35.133000000000003</v>
      </c>
    </row>
    <row r="21" spans="1:28" x14ac:dyDescent="0.3">
      <c r="A21" s="35" t="s">
        <v>92</v>
      </c>
      <c r="B21" s="35">
        <v>4</v>
      </c>
      <c r="C21" s="35">
        <v>420</v>
      </c>
      <c r="D21" s="36" t="s">
        <v>425</v>
      </c>
      <c r="E21" s="36" t="s">
        <v>415</v>
      </c>
      <c r="F21" s="35">
        <v>14.8</v>
      </c>
      <c r="G21" s="35">
        <v>5394</v>
      </c>
      <c r="H21" s="35">
        <v>67.38</v>
      </c>
      <c r="I21" s="35">
        <v>997.2</v>
      </c>
      <c r="J21" s="35">
        <v>5.8772563176895316</v>
      </c>
      <c r="K21" s="35">
        <v>13.178750000000001</v>
      </c>
      <c r="L21" s="35">
        <v>59.986666666666657</v>
      </c>
      <c r="M21" s="35">
        <v>1.3215754111512235</v>
      </c>
      <c r="N21" s="35">
        <v>99.9</v>
      </c>
      <c r="O21" s="35">
        <v>35.133000000000003</v>
      </c>
    </row>
    <row r="22" spans="1:28" x14ac:dyDescent="0.3">
      <c r="A22" s="35" t="s">
        <v>92</v>
      </c>
      <c r="B22" s="35">
        <v>4</v>
      </c>
      <c r="C22" s="35">
        <v>420</v>
      </c>
      <c r="D22" s="36" t="s">
        <v>424</v>
      </c>
      <c r="E22" s="36" t="s">
        <v>415</v>
      </c>
      <c r="F22" s="35">
        <v>14.8</v>
      </c>
      <c r="G22" s="35">
        <v>5531</v>
      </c>
      <c r="H22" s="35">
        <v>60.28</v>
      </c>
      <c r="I22" s="35">
        <v>892.2</v>
      </c>
      <c r="J22" s="35">
        <v>6.5689307330195019</v>
      </c>
      <c r="K22" s="35">
        <v>11.7775</v>
      </c>
      <c r="L22" s="35">
        <v>61.453333333333326</v>
      </c>
      <c r="M22" s="35">
        <v>1.3200515579466487</v>
      </c>
      <c r="N22" s="35">
        <v>99.9</v>
      </c>
      <c r="O22" s="35">
        <v>35.133000000000003</v>
      </c>
    </row>
    <row r="23" spans="1:28" x14ac:dyDescent="0.3">
      <c r="A23" s="35" t="s">
        <v>111</v>
      </c>
      <c r="B23" s="35">
        <v>4</v>
      </c>
      <c r="C23" s="35">
        <v>460</v>
      </c>
      <c r="D23" s="36" t="s">
        <v>425</v>
      </c>
      <c r="E23" s="36" t="s">
        <v>412</v>
      </c>
      <c r="F23" s="35">
        <v>14.8</v>
      </c>
      <c r="G23" s="35">
        <v>6234</v>
      </c>
      <c r="H23" s="35">
        <v>78.28</v>
      </c>
      <c r="I23" s="35">
        <v>1158.4000000000001</v>
      </c>
      <c r="J23" s="35">
        <v>5.0593922651933703</v>
      </c>
      <c r="K23" s="35">
        <v>15.2775</v>
      </c>
      <c r="L23" s="35">
        <v>60.573333333333323</v>
      </c>
      <c r="M23" s="35">
        <v>1.3188449585635358</v>
      </c>
      <c r="N23" s="35">
        <v>99.9</v>
      </c>
      <c r="O23" s="35">
        <v>35.133000000000003</v>
      </c>
      <c r="Q23" s="59"/>
      <c r="R23" s="59"/>
      <c r="S23" s="59"/>
      <c r="T23" s="59"/>
      <c r="U23" s="59"/>
      <c r="V23" s="59"/>
      <c r="W23" s="59"/>
      <c r="X23" s="59"/>
    </row>
    <row r="24" spans="1:28" x14ac:dyDescent="0.3">
      <c r="A24" s="35" t="s">
        <v>92</v>
      </c>
      <c r="B24" s="35">
        <v>4</v>
      </c>
      <c r="C24" s="35">
        <v>420</v>
      </c>
      <c r="D24" s="36" t="s">
        <v>424</v>
      </c>
      <c r="E24" s="36" t="s">
        <v>415</v>
      </c>
      <c r="F24" s="35">
        <v>14.8</v>
      </c>
      <c r="G24" s="35">
        <v>5433</v>
      </c>
      <c r="H24" s="35">
        <v>65.900000000000006</v>
      </c>
      <c r="I24" s="35">
        <v>975.2</v>
      </c>
      <c r="J24" s="35">
        <v>6.0098441345365057</v>
      </c>
      <c r="K24" s="35">
        <v>12.86125</v>
      </c>
      <c r="L24" s="35">
        <v>60.426666666666669</v>
      </c>
      <c r="M24" s="35">
        <v>1.3188320344544708</v>
      </c>
      <c r="N24" s="35">
        <v>97.68</v>
      </c>
      <c r="O24" s="35">
        <v>30.688475</v>
      </c>
    </row>
    <row r="25" spans="1:28" x14ac:dyDescent="0.3">
      <c r="A25" s="35" t="s">
        <v>92</v>
      </c>
      <c r="B25" s="35">
        <v>4</v>
      </c>
      <c r="C25" s="35">
        <v>420</v>
      </c>
      <c r="D25" s="36" t="s">
        <v>422</v>
      </c>
      <c r="E25" s="36" t="s">
        <v>417</v>
      </c>
      <c r="F25" s="35">
        <v>14.8</v>
      </c>
      <c r="G25" s="35">
        <v>5623</v>
      </c>
      <c r="H25" s="35">
        <v>53.3</v>
      </c>
      <c r="I25" s="35">
        <v>788.8</v>
      </c>
      <c r="J25" s="35">
        <v>7.4300202839756597</v>
      </c>
      <c r="K25" s="35">
        <v>10.401249999999999</v>
      </c>
      <c r="L25" s="35">
        <v>70.25333333333333</v>
      </c>
      <c r="M25" s="35">
        <v>1.3186168864097363</v>
      </c>
      <c r="N25" s="35">
        <v>97.68</v>
      </c>
      <c r="O25" s="35">
        <v>30.688475</v>
      </c>
    </row>
    <row r="26" spans="1:28" x14ac:dyDescent="0.3">
      <c r="A26" s="35" t="s">
        <v>92</v>
      </c>
      <c r="B26" s="35">
        <v>4</v>
      </c>
      <c r="C26" s="35">
        <v>420</v>
      </c>
      <c r="D26" s="36" t="s">
        <v>426</v>
      </c>
      <c r="E26" s="36" t="s">
        <v>415</v>
      </c>
      <c r="F26" s="35">
        <v>14.8</v>
      </c>
      <c r="G26" s="35">
        <v>5305</v>
      </c>
      <c r="H26" s="35">
        <v>73.86</v>
      </c>
      <c r="I26" s="35">
        <v>1093.2</v>
      </c>
      <c r="J26" s="35">
        <v>5.3611416026344676</v>
      </c>
      <c r="K26" s="35">
        <v>14.307499999999999</v>
      </c>
      <c r="L26" s="35">
        <v>58.96</v>
      </c>
      <c r="M26" s="35">
        <v>1.3087724112696668</v>
      </c>
      <c r="N26" s="35">
        <v>97.68</v>
      </c>
      <c r="O26" s="35">
        <v>30.688475</v>
      </c>
    </row>
    <row r="27" spans="1:28" x14ac:dyDescent="0.3">
      <c r="A27" s="35" t="s">
        <v>92</v>
      </c>
      <c r="B27" s="35">
        <v>4</v>
      </c>
      <c r="C27" s="35">
        <v>420</v>
      </c>
      <c r="D27" s="36" t="s">
        <v>424</v>
      </c>
      <c r="E27" s="36" t="s">
        <v>415</v>
      </c>
      <c r="F27" s="35">
        <v>14.8</v>
      </c>
      <c r="G27" s="35">
        <v>5575</v>
      </c>
      <c r="H27" s="35">
        <v>56.96</v>
      </c>
      <c r="I27" s="35">
        <v>843</v>
      </c>
      <c r="J27" s="35">
        <v>6.9523131672597875</v>
      </c>
      <c r="K27" s="35">
        <v>10.983750000000001</v>
      </c>
      <c r="L27" s="35">
        <v>61.893333333333331</v>
      </c>
      <c r="M27" s="35">
        <v>1.3029359430604983</v>
      </c>
      <c r="N27" s="35">
        <v>97.68</v>
      </c>
      <c r="O27" s="35">
        <v>30.688475</v>
      </c>
    </row>
    <row r="28" spans="1:28" x14ac:dyDescent="0.3">
      <c r="A28" s="35" t="s">
        <v>97</v>
      </c>
      <c r="B28" s="35">
        <v>4</v>
      </c>
      <c r="C28" s="35">
        <v>520</v>
      </c>
      <c r="D28" s="36" t="s">
        <v>423</v>
      </c>
      <c r="E28" s="36" t="s">
        <v>414</v>
      </c>
      <c r="F28" s="35">
        <v>14.8</v>
      </c>
      <c r="G28" s="35">
        <v>6870</v>
      </c>
      <c r="H28" s="35">
        <v>62.54</v>
      </c>
      <c r="I28" s="35">
        <v>925.6</v>
      </c>
      <c r="J28" s="35">
        <v>6.3318928262748493</v>
      </c>
      <c r="K28" s="35">
        <v>12.02375</v>
      </c>
      <c r="L28" s="35">
        <v>57.199999999999996</v>
      </c>
      <c r="M28" s="35">
        <v>1.2990222558340534</v>
      </c>
      <c r="N28" s="35">
        <v>97.68</v>
      </c>
      <c r="O28" s="35">
        <v>30.688475</v>
      </c>
    </row>
    <row r="29" spans="1:28" x14ac:dyDescent="0.3">
      <c r="A29" s="35" t="s">
        <v>245</v>
      </c>
      <c r="B29" s="35">
        <v>5.9999999999999991</v>
      </c>
      <c r="C29" s="35">
        <v>300</v>
      </c>
      <c r="D29" s="36" t="s">
        <v>426</v>
      </c>
      <c r="E29" s="36" t="s">
        <v>418</v>
      </c>
      <c r="F29" s="35">
        <v>22.2</v>
      </c>
      <c r="G29" s="35">
        <v>5459</v>
      </c>
      <c r="H29" s="35">
        <v>61.24</v>
      </c>
      <c r="I29" s="35">
        <v>1359.8</v>
      </c>
      <c r="J29" s="35">
        <v>4.4080011766436238</v>
      </c>
      <c r="K29" s="35">
        <v>17.648</v>
      </c>
      <c r="L29" s="35">
        <v>75.8</v>
      </c>
      <c r="M29" s="35">
        <v>1.2978379173407855</v>
      </c>
      <c r="N29" s="35">
        <v>99.9</v>
      </c>
      <c r="O29" s="35">
        <v>40.713000000000001</v>
      </c>
    </row>
    <row r="30" spans="1:28" x14ac:dyDescent="0.3">
      <c r="A30" s="35" t="s">
        <v>97</v>
      </c>
      <c r="B30" s="35">
        <v>4</v>
      </c>
      <c r="C30" s="35">
        <v>520</v>
      </c>
      <c r="D30" s="36" t="s">
        <v>423</v>
      </c>
      <c r="E30" s="36" t="s">
        <v>412</v>
      </c>
      <c r="F30" s="35">
        <v>14.8</v>
      </c>
      <c r="G30" s="35">
        <v>6865</v>
      </c>
      <c r="H30" s="35">
        <v>62.64</v>
      </c>
      <c r="I30" s="35">
        <v>927.2</v>
      </c>
      <c r="J30" s="35">
        <v>6.3209663503019842</v>
      </c>
      <c r="K30" s="35">
        <v>12.02875</v>
      </c>
      <c r="L30" s="35">
        <v>66.733333333333334</v>
      </c>
      <c r="M30" s="35">
        <v>1.2973198878343399</v>
      </c>
      <c r="N30" s="35">
        <v>99.9</v>
      </c>
      <c r="O30" s="35">
        <v>40.713000000000001</v>
      </c>
    </row>
    <row r="31" spans="1:28" x14ac:dyDescent="0.3">
      <c r="A31" s="35" t="s">
        <v>242</v>
      </c>
      <c r="B31" s="35">
        <v>2.9999999999999996</v>
      </c>
      <c r="C31" s="35">
        <v>760</v>
      </c>
      <c r="D31" s="36" t="s">
        <v>421</v>
      </c>
      <c r="E31" s="36" t="s">
        <v>415</v>
      </c>
      <c r="F31" s="35">
        <v>11.1</v>
      </c>
      <c r="G31" s="35">
        <v>6336</v>
      </c>
      <c r="H31" s="35">
        <v>51.92</v>
      </c>
      <c r="I31" s="35">
        <v>576.4</v>
      </c>
      <c r="J31" s="35">
        <v>10.399028452463567</v>
      </c>
      <c r="K31" s="35">
        <v>7.4359999999999999</v>
      </c>
      <c r="L31" s="35">
        <v>70.400000000000006</v>
      </c>
      <c r="M31" s="35">
        <v>1.2900763358778626</v>
      </c>
      <c r="N31" s="35">
        <v>99.9</v>
      </c>
      <c r="O31" s="35">
        <v>40.713000000000001</v>
      </c>
      <c r="V31" s="37"/>
      <c r="W31" s="37"/>
      <c r="X31" s="37"/>
      <c r="Y31" s="37"/>
    </row>
    <row r="32" spans="1:28" x14ac:dyDescent="0.3">
      <c r="A32" s="35" t="s">
        <v>213</v>
      </c>
      <c r="B32" s="35">
        <v>2.9999999999999996</v>
      </c>
      <c r="C32" s="35">
        <v>840</v>
      </c>
      <c r="D32" s="36" t="s">
        <v>423</v>
      </c>
      <c r="E32" s="36" t="s">
        <v>416</v>
      </c>
      <c r="F32" s="35">
        <v>11.1</v>
      </c>
      <c r="G32" s="35">
        <v>6967</v>
      </c>
      <c r="H32" s="35">
        <v>69</v>
      </c>
      <c r="I32" s="35">
        <v>765.8</v>
      </c>
      <c r="J32" s="35">
        <v>7.82710890571951</v>
      </c>
      <c r="K32" s="35">
        <v>9.84375</v>
      </c>
      <c r="L32" s="35">
        <v>38.719999999999992</v>
      </c>
      <c r="M32" s="35">
        <v>1.285420475319927</v>
      </c>
      <c r="N32" s="35">
        <v>99.9</v>
      </c>
      <c r="O32" s="35">
        <v>40.713000000000001</v>
      </c>
      <c r="Q32" s="40"/>
      <c r="R32" s="40"/>
      <c r="S32" s="40"/>
      <c r="T32" s="40"/>
      <c r="U32" s="40"/>
      <c r="V32" s="40"/>
      <c r="W32" s="40"/>
      <c r="X32" s="40"/>
      <c r="Y32" s="40"/>
      <c r="Z32" s="40"/>
      <c r="AA32" s="40"/>
      <c r="AB32" s="40"/>
    </row>
    <row r="33" spans="1:27" x14ac:dyDescent="0.3">
      <c r="A33" s="35" t="s">
        <v>245</v>
      </c>
      <c r="B33" s="35">
        <v>5.9999999999999991</v>
      </c>
      <c r="C33" s="35">
        <v>300</v>
      </c>
      <c r="D33" s="36" t="s">
        <v>424</v>
      </c>
      <c r="E33" s="36" t="s">
        <v>418</v>
      </c>
      <c r="F33" s="35">
        <v>22.2</v>
      </c>
      <c r="G33" s="35">
        <v>5415</v>
      </c>
      <c r="H33" s="35">
        <v>58.14</v>
      </c>
      <c r="I33" s="35">
        <v>1290.4000000000001</v>
      </c>
      <c r="J33" s="35">
        <v>4.6450712957222562</v>
      </c>
      <c r="K33" s="35">
        <v>16.513999999999999</v>
      </c>
      <c r="L33" s="35">
        <v>75.2</v>
      </c>
      <c r="M33" s="35">
        <v>1.2797582145071293</v>
      </c>
      <c r="N33" s="35">
        <v>99.9</v>
      </c>
      <c r="O33" s="35">
        <v>40.713000000000001</v>
      </c>
      <c r="AA33" s="44"/>
    </row>
    <row r="34" spans="1:27" x14ac:dyDescent="0.3">
      <c r="A34" s="35" t="s">
        <v>260</v>
      </c>
      <c r="B34" s="35">
        <v>4</v>
      </c>
      <c r="C34" s="35">
        <v>470</v>
      </c>
      <c r="D34" s="36" t="s">
        <v>426</v>
      </c>
      <c r="E34" s="36" t="s">
        <v>415</v>
      </c>
      <c r="F34" s="35">
        <v>14.8</v>
      </c>
      <c r="G34" s="35">
        <v>5653</v>
      </c>
      <c r="H34" s="35">
        <v>90.42</v>
      </c>
      <c r="I34" s="35">
        <v>1338</v>
      </c>
      <c r="J34" s="35">
        <v>4.3802690582959647</v>
      </c>
      <c r="K34" s="35">
        <v>17.091999999999999</v>
      </c>
      <c r="L34" s="35">
        <v>62.8</v>
      </c>
      <c r="M34" s="35">
        <v>1.2774289985052316</v>
      </c>
      <c r="N34" s="35">
        <v>99.9</v>
      </c>
      <c r="O34" s="35">
        <v>40.713000000000001</v>
      </c>
      <c r="AA34" s="44"/>
    </row>
    <row r="35" spans="1:27" x14ac:dyDescent="0.3">
      <c r="A35" s="35" t="s">
        <v>213</v>
      </c>
      <c r="B35" s="35">
        <v>2.9999999999999996</v>
      </c>
      <c r="C35" s="35">
        <v>840</v>
      </c>
      <c r="D35" s="36" t="s">
        <v>421</v>
      </c>
      <c r="E35" s="36">
        <v>5.5</v>
      </c>
      <c r="F35" s="35">
        <v>11.1</v>
      </c>
      <c r="G35" s="35">
        <v>7455</v>
      </c>
      <c r="H35" s="35">
        <v>57.66</v>
      </c>
      <c r="I35" s="35">
        <v>640</v>
      </c>
      <c r="J35" s="35">
        <v>9.3656249999999996</v>
      </c>
      <c r="K35" s="35">
        <v>8.14</v>
      </c>
      <c r="L35" s="35">
        <v>56.906666666666659</v>
      </c>
      <c r="M35" s="35">
        <v>1.2718750000000001</v>
      </c>
      <c r="N35" s="35">
        <v>99.9</v>
      </c>
      <c r="O35" s="35">
        <v>40.713000000000001</v>
      </c>
      <c r="AA35" s="44"/>
    </row>
    <row r="36" spans="1:27" x14ac:dyDescent="0.3">
      <c r="A36" s="35" t="s">
        <v>260</v>
      </c>
      <c r="B36" s="35">
        <v>4</v>
      </c>
      <c r="C36" s="35">
        <v>470</v>
      </c>
      <c r="D36" s="36" t="s">
        <v>423</v>
      </c>
      <c r="E36" s="36" t="s">
        <v>412</v>
      </c>
      <c r="F36" s="35">
        <v>14.8</v>
      </c>
      <c r="G36" s="35">
        <v>5891</v>
      </c>
      <c r="H36" s="35">
        <v>68.739999999999995</v>
      </c>
      <c r="I36" s="35">
        <v>1017.4</v>
      </c>
      <c r="J36" s="35">
        <v>5.7605661490072739</v>
      </c>
      <c r="K36" s="35">
        <v>12.901999999999999</v>
      </c>
      <c r="L36" s="35">
        <v>57.3</v>
      </c>
      <c r="M36" s="35">
        <v>1.2681344603892273</v>
      </c>
      <c r="N36" s="35">
        <v>99.9</v>
      </c>
      <c r="O36" s="35">
        <v>40.713000000000001</v>
      </c>
      <c r="AA36" s="44"/>
    </row>
    <row r="37" spans="1:27" x14ac:dyDescent="0.3">
      <c r="A37" s="35" t="s">
        <v>92</v>
      </c>
      <c r="B37" s="35">
        <v>5</v>
      </c>
      <c r="C37" s="35">
        <v>420</v>
      </c>
      <c r="D37" s="36" t="s">
        <v>423</v>
      </c>
      <c r="E37" s="36" t="s">
        <v>414</v>
      </c>
      <c r="F37" s="35">
        <v>18.5</v>
      </c>
      <c r="G37" s="35">
        <v>7138</v>
      </c>
      <c r="H37" s="35">
        <v>55.98</v>
      </c>
      <c r="I37" s="35">
        <v>1035.8</v>
      </c>
      <c r="J37" s="35">
        <v>5.3581772542961961</v>
      </c>
      <c r="K37" s="35">
        <v>13.08625</v>
      </c>
      <c r="L37" s="35">
        <v>59.546666666666667</v>
      </c>
      <c r="M37" s="35">
        <v>1.2633954431357406</v>
      </c>
      <c r="N37" s="35">
        <v>99.9</v>
      </c>
      <c r="O37" s="35">
        <v>40.713000000000001</v>
      </c>
    </row>
    <row r="38" spans="1:27" x14ac:dyDescent="0.3">
      <c r="A38" s="35" t="s">
        <v>92</v>
      </c>
      <c r="B38" s="35">
        <v>5</v>
      </c>
      <c r="C38" s="35">
        <v>420</v>
      </c>
      <c r="D38" s="36" t="s">
        <v>423</v>
      </c>
      <c r="E38" s="36" t="s">
        <v>412</v>
      </c>
      <c r="F38" s="35">
        <v>18.5</v>
      </c>
      <c r="G38" s="35">
        <v>7134</v>
      </c>
      <c r="H38" s="35">
        <v>56.44</v>
      </c>
      <c r="I38" s="35">
        <v>1044.2</v>
      </c>
      <c r="J38" s="35">
        <v>5.315073740662708</v>
      </c>
      <c r="K38" s="35">
        <v>13.10375</v>
      </c>
      <c r="L38" s="35">
        <v>69.373333333333321</v>
      </c>
      <c r="M38" s="35">
        <v>1.2549080635893506</v>
      </c>
      <c r="N38" s="35">
        <v>97.68</v>
      </c>
      <c r="O38" s="35">
        <v>36.268475000000002</v>
      </c>
    </row>
    <row r="39" spans="1:27" x14ac:dyDescent="0.3">
      <c r="A39" s="35" t="s">
        <v>92</v>
      </c>
      <c r="B39" s="35">
        <v>4</v>
      </c>
      <c r="C39" s="35">
        <v>420</v>
      </c>
      <c r="D39" s="36" t="s">
        <v>424</v>
      </c>
      <c r="E39" s="36" t="s">
        <v>418</v>
      </c>
      <c r="F39" s="35">
        <v>14.8</v>
      </c>
      <c r="G39" s="35">
        <v>5475</v>
      </c>
      <c r="H39" s="35">
        <v>64.760000000000005</v>
      </c>
      <c r="I39" s="35">
        <v>958.4</v>
      </c>
      <c r="J39" s="35">
        <v>6.1151919866444082</v>
      </c>
      <c r="K39" s="35">
        <v>12.02375</v>
      </c>
      <c r="L39" s="35">
        <v>75.973333333333329</v>
      </c>
      <c r="M39" s="35">
        <v>1.2545648998330552</v>
      </c>
      <c r="N39" s="35">
        <v>97.68</v>
      </c>
      <c r="O39" s="35">
        <v>36.268475000000002</v>
      </c>
    </row>
    <row r="40" spans="1:27" x14ac:dyDescent="0.3">
      <c r="A40" s="35" t="s">
        <v>242</v>
      </c>
      <c r="B40" s="35">
        <v>2.9999999999999996</v>
      </c>
      <c r="C40" s="35">
        <v>760</v>
      </c>
      <c r="D40" s="36" t="s">
        <v>422</v>
      </c>
      <c r="E40" s="36">
        <v>8.5</v>
      </c>
      <c r="F40" s="35">
        <v>11.1</v>
      </c>
      <c r="G40" s="35">
        <v>6041</v>
      </c>
      <c r="H40" s="35">
        <v>62.38</v>
      </c>
      <c r="I40" s="35">
        <v>692.4</v>
      </c>
      <c r="J40" s="35">
        <v>8.6568457538994803</v>
      </c>
      <c r="K40" s="35">
        <v>8.6859999999999999</v>
      </c>
      <c r="L40" s="35">
        <v>71.3</v>
      </c>
      <c r="M40" s="35">
        <v>1.2544771808203352</v>
      </c>
      <c r="N40" s="35">
        <v>97.68</v>
      </c>
      <c r="O40" s="35">
        <v>36.268475000000002</v>
      </c>
    </row>
    <row r="41" spans="1:27" x14ac:dyDescent="0.3">
      <c r="A41" s="35" t="s">
        <v>213</v>
      </c>
      <c r="B41" s="35">
        <v>2.9999999999999996</v>
      </c>
      <c r="C41" s="35">
        <v>840</v>
      </c>
      <c r="D41" s="36" t="s">
        <v>419</v>
      </c>
      <c r="E41" s="36" t="s">
        <v>412</v>
      </c>
      <c r="F41" s="35">
        <v>11.1</v>
      </c>
      <c r="G41" s="35">
        <v>7843</v>
      </c>
      <c r="H41" s="35">
        <v>48.58</v>
      </c>
      <c r="I41" s="35">
        <v>539.20000000000005</v>
      </c>
      <c r="J41" s="35">
        <v>11.11646884272997</v>
      </c>
      <c r="K41" s="35">
        <v>6.75</v>
      </c>
      <c r="L41" s="35">
        <v>76.266666666666666</v>
      </c>
      <c r="M41" s="35">
        <v>1.251854599406528</v>
      </c>
      <c r="N41" s="35">
        <v>97.68</v>
      </c>
      <c r="O41" s="35">
        <v>36.268475000000002</v>
      </c>
    </row>
    <row r="42" spans="1:27" x14ac:dyDescent="0.3">
      <c r="A42" s="35" t="s">
        <v>242</v>
      </c>
      <c r="B42" s="35">
        <v>2.9999999999999996</v>
      </c>
      <c r="C42" s="35">
        <v>760</v>
      </c>
      <c r="D42" s="36" t="s">
        <v>422</v>
      </c>
      <c r="E42" s="36" t="s">
        <v>418</v>
      </c>
      <c r="F42" s="35">
        <v>11.1</v>
      </c>
      <c r="G42" s="35">
        <v>6052</v>
      </c>
      <c r="H42" s="35">
        <v>62.12</v>
      </c>
      <c r="I42" s="35">
        <v>689.4</v>
      </c>
      <c r="J42" s="35">
        <v>8.6945169712793735</v>
      </c>
      <c r="K42" s="35">
        <v>8.6240000000000006</v>
      </c>
      <c r="L42" s="35">
        <v>84</v>
      </c>
      <c r="M42" s="35">
        <v>1.2509428488540761</v>
      </c>
      <c r="N42" s="35">
        <v>97.68</v>
      </c>
      <c r="O42" s="35">
        <v>36.268475000000002</v>
      </c>
    </row>
    <row r="43" spans="1:27" x14ac:dyDescent="0.3">
      <c r="A43" s="35" t="s">
        <v>277</v>
      </c>
      <c r="B43" s="35">
        <v>2.9999999999999996</v>
      </c>
      <c r="C43" s="35">
        <v>890</v>
      </c>
      <c r="D43" s="36" t="s">
        <v>419</v>
      </c>
      <c r="E43" s="36">
        <v>5.5</v>
      </c>
      <c r="F43" s="35">
        <v>11.1</v>
      </c>
      <c r="G43" s="35">
        <v>8526</v>
      </c>
      <c r="H43" s="35">
        <v>50.04</v>
      </c>
      <c r="I43" s="35">
        <v>555.6</v>
      </c>
      <c r="J43" s="35">
        <v>10.788336933045356</v>
      </c>
      <c r="K43" s="35">
        <v>6.9480000000000004</v>
      </c>
      <c r="L43" s="35">
        <v>65.099999999999994</v>
      </c>
      <c r="M43" s="35">
        <v>1.2505399568034556</v>
      </c>
      <c r="N43" s="35">
        <v>97.68</v>
      </c>
      <c r="O43" s="35">
        <v>36.268475000000002</v>
      </c>
    </row>
    <row r="44" spans="1:27" x14ac:dyDescent="0.3">
      <c r="A44" s="35" t="s">
        <v>213</v>
      </c>
      <c r="B44" s="35">
        <v>2.9999999999999996</v>
      </c>
      <c r="C44" s="35">
        <v>840</v>
      </c>
      <c r="D44" s="36" t="s">
        <v>422</v>
      </c>
      <c r="E44" s="36" t="s">
        <v>414</v>
      </c>
      <c r="F44" s="35">
        <v>11.1</v>
      </c>
      <c r="G44" s="35">
        <v>7094</v>
      </c>
      <c r="H44" s="35">
        <v>66.319999999999993</v>
      </c>
      <c r="I44" s="35">
        <v>736.2</v>
      </c>
      <c r="J44" s="35">
        <v>8.1418092909535442</v>
      </c>
      <c r="K44" s="35">
        <v>9.2062500000000007</v>
      </c>
      <c r="L44" s="35">
        <v>59.106666666666655</v>
      </c>
      <c r="M44" s="35">
        <v>1.2505093724531378</v>
      </c>
      <c r="N44" s="35">
        <v>97.68</v>
      </c>
      <c r="O44" s="35">
        <v>36.268475000000002</v>
      </c>
    </row>
    <row r="45" spans="1:27" x14ac:dyDescent="0.3">
      <c r="A45" s="35" t="s">
        <v>110</v>
      </c>
      <c r="B45" s="35">
        <v>5</v>
      </c>
      <c r="C45" s="35">
        <v>400</v>
      </c>
      <c r="D45" s="36" t="s">
        <v>424</v>
      </c>
      <c r="E45" s="36" t="s">
        <v>412</v>
      </c>
      <c r="F45" s="35">
        <v>18.5</v>
      </c>
      <c r="G45" s="35">
        <v>6751</v>
      </c>
      <c r="H45" s="35">
        <v>69.86</v>
      </c>
      <c r="I45" s="35">
        <v>1292.4000000000001</v>
      </c>
      <c r="J45" s="35">
        <v>4.2943361188486531</v>
      </c>
      <c r="K45" s="35">
        <v>16.102499999999999</v>
      </c>
      <c r="L45" s="35">
        <v>65.706666666666663</v>
      </c>
      <c r="M45" s="35">
        <v>1.2459377901578457</v>
      </c>
      <c r="N45" s="35">
        <v>97.68</v>
      </c>
      <c r="O45" s="35">
        <v>36.268475000000002</v>
      </c>
    </row>
    <row r="46" spans="1:27" x14ac:dyDescent="0.3">
      <c r="A46" s="35" t="s">
        <v>277</v>
      </c>
      <c r="B46" s="35">
        <v>2.9999999999999996</v>
      </c>
      <c r="C46" s="35">
        <v>890</v>
      </c>
      <c r="D46" s="36" t="s">
        <v>419</v>
      </c>
      <c r="E46" s="36">
        <v>3.8</v>
      </c>
      <c r="F46" s="35">
        <v>11.1</v>
      </c>
      <c r="G46" s="35">
        <v>8460</v>
      </c>
      <c r="H46" s="35">
        <v>52.94</v>
      </c>
      <c r="I46" s="35">
        <v>587.6</v>
      </c>
      <c r="J46" s="35">
        <v>10.200816882232811</v>
      </c>
      <c r="K46" s="35">
        <v>7.3140000000000001</v>
      </c>
      <c r="L46" s="35">
        <v>44.6</v>
      </c>
      <c r="M46" s="35">
        <v>1.2447243022464261</v>
      </c>
      <c r="N46" s="35">
        <v>92.5</v>
      </c>
      <c r="O46" s="35">
        <v>37.044502999999999</v>
      </c>
    </row>
    <row r="47" spans="1:27" x14ac:dyDescent="0.3">
      <c r="A47" s="35" t="s">
        <v>260</v>
      </c>
      <c r="B47" s="35">
        <v>4</v>
      </c>
      <c r="C47" s="35">
        <v>470</v>
      </c>
      <c r="D47" s="36" t="s">
        <v>425</v>
      </c>
      <c r="E47" s="36" t="s">
        <v>415</v>
      </c>
      <c r="F47" s="35">
        <v>14.8</v>
      </c>
      <c r="G47" s="35">
        <v>5766</v>
      </c>
      <c r="H47" s="35">
        <v>83.18</v>
      </c>
      <c r="I47" s="35">
        <v>1231</v>
      </c>
      <c r="J47" s="35">
        <v>4.7610073111291644</v>
      </c>
      <c r="K47" s="35">
        <v>15.298</v>
      </c>
      <c r="L47" s="35">
        <v>64.099999999999994</v>
      </c>
      <c r="M47" s="35">
        <v>1.2427294882209585</v>
      </c>
      <c r="N47" s="35">
        <v>92.5</v>
      </c>
      <c r="O47" s="35">
        <v>37.044502999999999</v>
      </c>
    </row>
    <row r="48" spans="1:27" x14ac:dyDescent="0.3">
      <c r="A48" s="35" t="s">
        <v>216</v>
      </c>
      <c r="B48" s="35">
        <v>2.9999999999999996</v>
      </c>
      <c r="C48" s="35">
        <v>970</v>
      </c>
      <c r="D48" s="36" t="s">
        <v>421</v>
      </c>
      <c r="E48" s="36" t="s">
        <v>416</v>
      </c>
      <c r="F48" s="35">
        <v>11.1</v>
      </c>
      <c r="G48" s="35">
        <v>8516</v>
      </c>
      <c r="H48" s="35">
        <v>63.76</v>
      </c>
      <c r="I48" s="35">
        <v>707.8</v>
      </c>
      <c r="J48" s="35">
        <v>8.4684939248375244</v>
      </c>
      <c r="K48" s="35">
        <v>8.7874999999999996</v>
      </c>
      <c r="L48" s="35">
        <v>47.373333333333328</v>
      </c>
      <c r="M48" s="35">
        <v>1.2415230291042669</v>
      </c>
      <c r="N48" s="35">
        <v>92.5</v>
      </c>
      <c r="O48" s="35">
        <v>37.044502999999999</v>
      </c>
    </row>
    <row r="49" spans="1:15" x14ac:dyDescent="0.3">
      <c r="A49" s="35" t="s">
        <v>97</v>
      </c>
      <c r="B49" s="35">
        <v>4</v>
      </c>
      <c r="C49" s="35">
        <v>520</v>
      </c>
      <c r="D49" s="36" t="s">
        <v>424</v>
      </c>
      <c r="E49" s="36" t="s">
        <v>414</v>
      </c>
      <c r="F49" s="35">
        <v>14.8</v>
      </c>
      <c r="G49" s="35">
        <v>6725</v>
      </c>
      <c r="H49" s="35">
        <v>75.06</v>
      </c>
      <c r="I49" s="35">
        <v>1110.8</v>
      </c>
      <c r="J49" s="35">
        <v>5.2761973352538716</v>
      </c>
      <c r="K49" s="35">
        <v>13.75625</v>
      </c>
      <c r="L49" s="35">
        <v>56.026666666666664</v>
      </c>
      <c r="M49" s="35">
        <v>1.2384092545912857</v>
      </c>
      <c r="N49" s="35">
        <v>99.9</v>
      </c>
      <c r="O49" s="35">
        <v>41.453752999999999</v>
      </c>
    </row>
    <row r="50" spans="1:15" x14ac:dyDescent="0.3">
      <c r="A50" s="35" t="s">
        <v>97</v>
      </c>
      <c r="B50" s="35">
        <v>4</v>
      </c>
      <c r="C50" s="35">
        <v>520</v>
      </c>
      <c r="D50" s="36" t="s">
        <v>423</v>
      </c>
      <c r="E50" s="36" t="s">
        <v>412</v>
      </c>
      <c r="F50" s="35">
        <v>14.8</v>
      </c>
      <c r="G50" s="35">
        <v>6817</v>
      </c>
      <c r="H50" s="35">
        <v>66.86</v>
      </c>
      <c r="I50" s="35">
        <v>989.4</v>
      </c>
      <c r="J50" s="35">
        <v>5.9235900545785327</v>
      </c>
      <c r="K50" s="35">
        <v>12.244999999999999</v>
      </c>
      <c r="L50" s="35">
        <v>66.293333333333337</v>
      </c>
      <c r="M50" s="35">
        <v>1.2376187588437437</v>
      </c>
      <c r="N50" s="35">
        <v>99.9</v>
      </c>
      <c r="O50" s="35">
        <v>41.453752999999999</v>
      </c>
    </row>
    <row r="51" spans="1:15" x14ac:dyDescent="0.3">
      <c r="A51" s="35" t="s">
        <v>277</v>
      </c>
      <c r="B51" s="35">
        <v>2.9999999999999996</v>
      </c>
      <c r="C51" s="35">
        <v>890</v>
      </c>
      <c r="D51" s="36" t="s">
        <v>419</v>
      </c>
      <c r="E51" s="36" t="s">
        <v>412</v>
      </c>
      <c r="F51" s="35">
        <v>11.1</v>
      </c>
      <c r="G51" s="35">
        <v>8490</v>
      </c>
      <c r="H51" s="35">
        <v>51.7</v>
      </c>
      <c r="I51" s="35">
        <v>573.79999999999995</v>
      </c>
      <c r="J51" s="35">
        <v>10.446148483792264</v>
      </c>
      <c r="K51" s="35">
        <v>7.0960000000000001</v>
      </c>
      <c r="L51" s="35">
        <v>82.6</v>
      </c>
      <c r="M51" s="35">
        <v>1.2366678285116766</v>
      </c>
      <c r="N51" s="35">
        <v>99.9</v>
      </c>
      <c r="O51" s="35">
        <v>42.893000000000001</v>
      </c>
    </row>
    <row r="52" spans="1:15" x14ac:dyDescent="0.3">
      <c r="A52" s="35" t="s">
        <v>260</v>
      </c>
      <c r="B52" s="35">
        <v>4</v>
      </c>
      <c r="C52" s="35">
        <v>470</v>
      </c>
      <c r="D52" s="36" t="s">
        <v>424</v>
      </c>
      <c r="E52" s="36" t="s">
        <v>415</v>
      </c>
      <c r="F52" s="35">
        <v>14.8</v>
      </c>
      <c r="G52" s="35">
        <v>5814</v>
      </c>
      <c r="H52" s="35">
        <v>80.84</v>
      </c>
      <c r="I52" s="35">
        <v>1196.4000000000001</v>
      </c>
      <c r="J52" s="35">
        <v>4.8986960882647939</v>
      </c>
      <c r="K52" s="35">
        <v>14.76</v>
      </c>
      <c r="L52" s="35">
        <v>64.5</v>
      </c>
      <c r="M52" s="35">
        <v>1.2337011033099297</v>
      </c>
      <c r="N52" s="35">
        <v>99.9</v>
      </c>
      <c r="O52" s="35">
        <v>42.893000000000001</v>
      </c>
    </row>
    <row r="53" spans="1:15" x14ac:dyDescent="0.3">
      <c r="A53" s="35" t="s">
        <v>277</v>
      </c>
      <c r="B53" s="35">
        <v>2.9999999999999996</v>
      </c>
      <c r="C53" s="35">
        <v>890</v>
      </c>
      <c r="D53" s="36" t="s">
        <v>419</v>
      </c>
      <c r="E53" s="36">
        <v>4.7</v>
      </c>
      <c r="F53" s="35">
        <v>11.1</v>
      </c>
      <c r="G53" s="35">
        <v>8013</v>
      </c>
      <c r="H53" s="35">
        <v>55.06</v>
      </c>
      <c r="I53" s="35">
        <v>611.20000000000005</v>
      </c>
      <c r="J53" s="35">
        <v>9.8069371727748678</v>
      </c>
      <c r="K53" s="35">
        <v>7.5359999999999996</v>
      </c>
      <c r="L53" s="35">
        <v>52.4</v>
      </c>
      <c r="M53" s="35">
        <v>1.2329842931937169</v>
      </c>
      <c r="N53" s="35">
        <v>99.9</v>
      </c>
      <c r="O53" s="35">
        <v>42.893000000000001</v>
      </c>
    </row>
    <row r="54" spans="1:15" x14ac:dyDescent="0.3">
      <c r="A54" s="35" t="s">
        <v>213</v>
      </c>
      <c r="B54" s="35">
        <v>2.9999999999999996</v>
      </c>
      <c r="C54" s="35">
        <v>840</v>
      </c>
      <c r="D54" s="36" t="s">
        <v>420</v>
      </c>
      <c r="E54" s="36" t="s">
        <v>414</v>
      </c>
      <c r="F54" s="35">
        <v>11.1</v>
      </c>
      <c r="G54" s="35">
        <v>7625</v>
      </c>
      <c r="H54" s="35">
        <v>53.9</v>
      </c>
      <c r="I54" s="35">
        <v>598.4</v>
      </c>
      <c r="J54" s="35">
        <v>10.016711229946525</v>
      </c>
      <c r="K54" s="35">
        <v>7.3637499999999996</v>
      </c>
      <c r="L54" s="35">
        <v>63.506666666666661</v>
      </c>
      <c r="M54" s="35">
        <v>1.2305731951871659</v>
      </c>
      <c r="N54" s="35">
        <v>99.9</v>
      </c>
      <c r="O54" s="35">
        <v>42.893000000000001</v>
      </c>
    </row>
    <row r="55" spans="1:15" x14ac:dyDescent="0.3">
      <c r="A55" s="35" t="s">
        <v>97</v>
      </c>
      <c r="B55" s="35">
        <v>4</v>
      </c>
      <c r="C55" s="35">
        <v>520</v>
      </c>
      <c r="D55" s="36" t="s">
        <v>425</v>
      </c>
      <c r="E55" s="36" t="s">
        <v>412</v>
      </c>
      <c r="F55" s="35">
        <v>14.8</v>
      </c>
      <c r="G55" s="35">
        <v>6500</v>
      </c>
      <c r="H55" s="35">
        <v>91.56</v>
      </c>
      <c r="I55" s="35">
        <v>1355</v>
      </c>
      <c r="J55" s="35">
        <v>4.3253136531365319</v>
      </c>
      <c r="K55" s="35">
        <v>16.6675</v>
      </c>
      <c r="L55" s="35">
        <v>63.213333333333331</v>
      </c>
      <c r="M55" s="35">
        <v>1.2300738007380074</v>
      </c>
      <c r="N55" s="35">
        <v>99.9</v>
      </c>
      <c r="O55" s="35">
        <v>42.893000000000001</v>
      </c>
    </row>
    <row r="56" spans="1:15" x14ac:dyDescent="0.3">
      <c r="A56" s="35" t="s">
        <v>97</v>
      </c>
      <c r="B56" s="35">
        <v>4</v>
      </c>
      <c r="C56" s="35">
        <v>520</v>
      </c>
      <c r="D56" s="36" t="s">
        <v>423</v>
      </c>
      <c r="E56" s="36" t="s">
        <v>414</v>
      </c>
      <c r="F56" s="35">
        <v>14.8</v>
      </c>
      <c r="G56" s="35">
        <v>6842</v>
      </c>
      <c r="H56" s="35">
        <v>64.540000000000006</v>
      </c>
      <c r="I56" s="35">
        <v>955.2</v>
      </c>
      <c r="J56" s="35">
        <v>6.1356783919597984</v>
      </c>
      <c r="K56" s="35">
        <v>11.715</v>
      </c>
      <c r="L56" s="35">
        <v>57.053333333333327</v>
      </c>
      <c r="M56" s="35">
        <v>1.2264447236180904</v>
      </c>
      <c r="N56" s="35">
        <v>99.9</v>
      </c>
      <c r="O56" s="35">
        <v>42.893000000000001</v>
      </c>
    </row>
    <row r="57" spans="1:15" x14ac:dyDescent="0.3">
      <c r="A57" s="35" t="s">
        <v>277</v>
      </c>
      <c r="B57" s="35">
        <v>2.9999999999999996</v>
      </c>
      <c r="C57" s="35">
        <v>890</v>
      </c>
      <c r="D57" s="36">
        <v>10</v>
      </c>
      <c r="E57" s="36">
        <v>4.5</v>
      </c>
      <c r="F57" s="35">
        <v>11.1</v>
      </c>
      <c r="G57" s="35">
        <v>8662</v>
      </c>
      <c r="H57" s="35">
        <v>45.3</v>
      </c>
      <c r="I57" s="35">
        <v>502.8</v>
      </c>
      <c r="J57" s="35">
        <v>11.921241050119333</v>
      </c>
      <c r="K57" s="35">
        <v>6.1639999999999997</v>
      </c>
      <c r="L57" s="35">
        <v>54.1</v>
      </c>
      <c r="M57" s="35">
        <v>1.2259347653142401</v>
      </c>
      <c r="N57" s="35">
        <v>99.9</v>
      </c>
      <c r="O57" s="35">
        <v>42.893000000000001</v>
      </c>
    </row>
    <row r="58" spans="1:15" x14ac:dyDescent="0.3">
      <c r="A58" s="35" t="s">
        <v>241</v>
      </c>
      <c r="B58" s="35">
        <v>4</v>
      </c>
      <c r="C58" s="35">
        <v>840</v>
      </c>
      <c r="D58" s="36" t="s">
        <v>421</v>
      </c>
      <c r="E58" s="36" t="s">
        <v>416</v>
      </c>
      <c r="F58" s="35">
        <v>14.8</v>
      </c>
      <c r="G58" s="35">
        <v>9582</v>
      </c>
      <c r="H58" s="35">
        <v>55.16</v>
      </c>
      <c r="I58" s="35">
        <v>816.4</v>
      </c>
      <c r="J58" s="35">
        <v>7.1788339049485552</v>
      </c>
      <c r="K58" s="35">
        <v>10.007999999999999</v>
      </c>
      <c r="L58" s="35">
        <v>53.2</v>
      </c>
      <c r="M58" s="35">
        <v>1.2258696717295443</v>
      </c>
      <c r="N58" s="35">
        <v>99.9</v>
      </c>
      <c r="O58" s="35">
        <v>42.893000000000001</v>
      </c>
    </row>
    <row r="59" spans="1:15" x14ac:dyDescent="0.3">
      <c r="A59" s="35" t="s">
        <v>260</v>
      </c>
      <c r="B59" s="35">
        <v>4</v>
      </c>
      <c r="C59" s="35">
        <v>470</v>
      </c>
      <c r="D59" s="36" t="s">
        <v>424</v>
      </c>
      <c r="E59" s="36" t="s">
        <v>415</v>
      </c>
      <c r="F59" s="35">
        <v>14.8</v>
      </c>
      <c r="G59" s="35">
        <v>5888</v>
      </c>
      <c r="H59" s="35">
        <v>75.22</v>
      </c>
      <c r="I59" s="35">
        <v>1113.4000000000001</v>
      </c>
      <c r="J59" s="35">
        <v>5.2638764145859529</v>
      </c>
      <c r="K59" s="35">
        <v>13.63</v>
      </c>
      <c r="L59" s="35">
        <v>65.400000000000006</v>
      </c>
      <c r="M59" s="35">
        <v>1.2241781929225795</v>
      </c>
      <c r="N59" s="35">
        <v>99.9</v>
      </c>
      <c r="O59" s="35">
        <v>42.893000000000001</v>
      </c>
    </row>
    <row r="60" spans="1:15" x14ac:dyDescent="0.3">
      <c r="A60" s="35" t="s">
        <v>260</v>
      </c>
      <c r="B60" s="35">
        <v>4</v>
      </c>
      <c r="C60" s="35">
        <v>470</v>
      </c>
      <c r="D60" s="36" t="s">
        <v>422</v>
      </c>
      <c r="E60" s="36" t="s">
        <v>417</v>
      </c>
      <c r="F60" s="35">
        <v>14.8</v>
      </c>
      <c r="G60" s="35">
        <v>6023</v>
      </c>
      <c r="H60" s="35">
        <v>66.28</v>
      </c>
      <c r="I60" s="35">
        <v>980.8</v>
      </c>
      <c r="J60" s="35">
        <v>5.9755301794453519</v>
      </c>
      <c r="K60" s="35">
        <v>12.006</v>
      </c>
      <c r="L60" s="35">
        <v>75.2</v>
      </c>
      <c r="M60" s="35">
        <v>1.2241027732463297</v>
      </c>
      <c r="N60" s="35">
        <v>99.9</v>
      </c>
      <c r="O60" s="35">
        <v>42.893000000000001</v>
      </c>
    </row>
    <row r="61" spans="1:15" x14ac:dyDescent="0.3">
      <c r="A61" s="35" t="s">
        <v>111</v>
      </c>
      <c r="B61" s="35">
        <v>4</v>
      </c>
      <c r="C61" s="35">
        <v>460</v>
      </c>
      <c r="D61" s="36" t="s">
        <v>425</v>
      </c>
      <c r="E61" s="36" t="s">
        <v>415</v>
      </c>
      <c r="F61" s="35">
        <v>14.8</v>
      </c>
      <c r="G61" s="35">
        <v>6145</v>
      </c>
      <c r="H61" s="35">
        <v>91.22</v>
      </c>
      <c r="I61" s="35">
        <v>1350</v>
      </c>
      <c r="J61" s="35">
        <v>4.3413333333333339</v>
      </c>
      <c r="K61" s="35">
        <v>16.475000000000001</v>
      </c>
      <c r="L61" s="35">
        <v>68.346666666666664</v>
      </c>
      <c r="M61" s="35">
        <v>1.2203703703703705</v>
      </c>
      <c r="N61" s="35">
        <v>99.9</v>
      </c>
      <c r="O61" s="35">
        <v>42.893000000000001</v>
      </c>
    </row>
    <row r="62" spans="1:15" x14ac:dyDescent="0.3">
      <c r="A62" s="35" t="s">
        <v>277</v>
      </c>
      <c r="B62" s="35">
        <v>2.9999999999999996</v>
      </c>
      <c r="C62" s="35">
        <v>890</v>
      </c>
      <c r="D62" s="36" t="s">
        <v>418</v>
      </c>
      <c r="E62" s="36">
        <v>3.8</v>
      </c>
      <c r="F62" s="35">
        <v>11.1</v>
      </c>
      <c r="G62" s="35">
        <v>8628</v>
      </c>
      <c r="H62" s="35">
        <v>46.6</v>
      </c>
      <c r="I62" s="35">
        <v>517.4</v>
      </c>
      <c r="J62" s="35">
        <v>11.584847313490531</v>
      </c>
      <c r="K62" s="35">
        <v>6.3079999999999998</v>
      </c>
      <c r="L62" s="35">
        <v>45.5</v>
      </c>
      <c r="M62" s="35">
        <v>1.2191727870119831</v>
      </c>
      <c r="N62" s="35">
        <v>97.68</v>
      </c>
      <c r="O62" s="35">
        <v>38.448475000000002</v>
      </c>
    </row>
    <row r="63" spans="1:15" x14ac:dyDescent="0.3">
      <c r="A63" s="35" t="s">
        <v>108</v>
      </c>
      <c r="B63" s="35">
        <v>5.9999999999999991</v>
      </c>
      <c r="C63" s="35">
        <v>310</v>
      </c>
      <c r="D63" s="36" t="s">
        <v>423</v>
      </c>
      <c r="E63" s="36" t="s">
        <v>412</v>
      </c>
      <c r="F63" s="35">
        <v>22.2</v>
      </c>
      <c r="G63" s="35">
        <v>6375</v>
      </c>
      <c r="H63" s="35">
        <v>54.46</v>
      </c>
      <c r="I63" s="35">
        <v>1209.2</v>
      </c>
      <c r="J63" s="35">
        <v>4.9569963612305656</v>
      </c>
      <c r="K63" s="35">
        <v>14.6875</v>
      </c>
      <c r="L63" s="35">
        <v>62.039999999999992</v>
      </c>
      <c r="M63" s="35">
        <v>1.2146460469732052</v>
      </c>
      <c r="N63" s="35">
        <v>97.68</v>
      </c>
      <c r="O63" s="35">
        <v>38.448475000000002</v>
      </c>
    </row>
    <row r="64" spans="1:15" x14ac:dyDescent="0.3">
      <c r="A64" s="35" t="s">
        <v>111</v>
      </c>
      <c r="B64" s="35">
        <v>4</v>
      </c>
      <c r="C64" s="35">
        <v>460</v>
      </c>
      <c r="D64" s="36" t="s">
        <v>423</v>
      </c>
      <c r="E64" s="36" t="s">
        <v>412</v>
      </c>
      <c r="F64" s="35">
        <v>14.8</v>
      </c>
      <c r="G64" s="35">
        <v>6243</v>
      </c>
      <c r="H64" s="35">
        <v>78.02</v>
      </c>
      <c r="I64" s="35">
        <v>1154.5999999999999</v>
      </c>
      <c r="J64" s="35">
        <v>5.076043651481033</v>
      </c>
      <c r="K64" s="35">
        <v>14.00375</v>
      </c>
      <c r="L64" s="35">
        <v>60.719999999999992</v>
      </c>
      <c r="M64" s="35">
        <v>1.2128659275939722</v>
      </c>
      <c r="N64" s="35">
        <v>97.68</v>
      </c>
      <c r="O64" s="35">
        <v>38.448475000000002</v>
      </c>
    </row>
    <row r="65" spans="1:15" x14ac:dyDescent="0.3">
      <c r="A65" s="35" t="s">
        <v>92</v>
      </c>
      <c r="B65" s="35">
        <v>4</v>
      </c>
      <c r="C65" s="35">
        <v>420</v>
      </c>
      <c r="D65" s="36" t="s">
        <v>423</v>
      </c>
      <c r="E65" s="36" t="s">
        <v>418</v>
      </c>
      <c r="F65" s="35">
        <v>14.8</v>
      </c>
      <c r="G65" s="35">
        <v>5584</v>
      </c>
      <c r="H65" s="35">
        <v>56.78</v>
      </c>
      <c r="I65" s="35">
        <v>840.2</v>
      </c>
      <c r="J65" s="35">
        <v>6.9754820280885506</v>
      </c>
      <c r="K65" s="35">
        <v>10.19</v>
      </c>
      <c r="L65" s="35">
        <v>77.586666666666659</v>
      </c>
      <c r="M65" s="35">
        <v>1.2128064746488931</v>
      </c>
      <c r="N65" s="35">
        <v>97.68</v>
      </c>
      <c r="O65" s="35">
        <v>38.448475000000002</v>
      </c>
    </row>
    <row r="66" spans="1:15" x14ac:dyDescent="0.3">
      <c r="A66" s="35" t="s">
        <v>97</v>
      </c>
      <c r="B66" s="35">
        <v>4</v>
      </c>
      <c r="C66" s="35">
        <v>520</v>
      </c>
      <c r="D66" s="36" t="s">
        <v>424</v>
      </c>
      <c r="E66" s="36" t="s">
        <v>412</v>
      </c>
      <c r="F66" s="35">
        <v>14.8</v>
      </c>
      <c r="G66" s="35">
        <v>6574</v>
      </c>
      <c r="H66" s="35">
        <v>83.92</v>
      </c>
      <c r="I66" s="35">
        <v>1242</v>
      </c>
      <c r="J66" s="35">
        <v>4.7188405797101449</v>
      </c>
      <c r="K66" s="35">
        <v>15.057499999999999</v>
      </c>
      <c r="L66" s="35">
        <v>63.946666666666665</v>
      </c>
      <c r="M66" s="35">
        <v>1.2123590982286634</v>
      </c>
      <c r="N66" s="35">
        <v>97.68</v>
      </c>
      <c r="O66" s="35">
        <v>38.448475000000002</v>
      </c>
    </row>
    <row r="67" spans="1:15" x14ac:dyDescent="0.3">
      <c r="A67" s="35" t="s">
        <v>108</v>
      </c>
      <c r="B67" s="35">
        <v>5.9999999999999991</v>
      </c>
      <c r="C67" s="35">
        <v>310</v>
      </c>
      <c r="D67" s="36" t="s">
        <v>425</v>
      </c>
      <c r="E67" s="36" t="s">
        <v>414</v>
      </c>
      <c r="F67" s="35">
        <v>22.2</v>
      </c>
      <c r="G67" s="35">
        <v>6314</v>
      </c>
      <c r="H67" s="35">
        <v>57.3</v>
      </c>
      <c r="I67" s="35">
        <v>1272.2</v>
      </c>
      <c r="J67" s="35">
        <v>4.7115233453859462</v>
      </c>
      <c r="K67" s="35">
        <v>15.391249999999999</v>
      </c>
      <c r="L67" s="35">
        <v>52.653333333333329</v>
      </c>
      <c r="M67" s="35">
        <v>1.2098137085363936</v>
      </c>
      <c r="N67" s="35">
        <v>97.68</v>
      </c>
      <c r="O67" s="35">
        <v>38.448475000000002</v>
      </c>
    </row>
    <row r="68" spans="1:15" x14ac:dyDescent="0.3">
      <c r="A68" s="35" t="s">
        <v>92</v>
      </c>
      <c r="B68" s="35">
        <v>4</v>
      </c>
      <c r="C68" s="35">
        <v>420</v>
      </c>
      <c r="D68" s="36" t="s">
        <v>424</v>
      </c>
      <c r="E68" s="36" t="s">
        <v>418</v>
      </c>
      <c r="F68" s="35">
        <v>14.8</v>
      </c>
      <c r="G68" s="35">
        <v>5409</v>
      </c>
      <c r="H68" s="35">
        <v>67.06</v>
      </c>
      <c r="I68" s="35">
        <v>992.6</v>
      </c>
      <c r="J68" s="35">
        <v>5.9044932500503737</v>
      </c>
      <c r="K68" s="35">
        <v>11.9975</v>
      </c>
      <c r="L68" s="35">
        <v>75.093333333333334</v>
      </c>
      <c r="M68" s="35">
        <v>1.2086943381019546</v>
      </c>
      <c r="N68" s="35">
        <v>97.68</v>
      </c>
      <c r="O68" s="35">
        <v>38.448475000000002</v>
      </c>
    </row>
    <row r="69" spans="1:15" x14ac:dyDescent="0.3">
      <c r="A69" s="35" t="s">
        <v>97</v>
      </c>
      <c r="B69" s="35">
        <v>4</v>
      </c>
      <c r="C69" s="35">
        <v>520</v>
      </c>
      <c r="D69" s="36" t="s">
        <v>423</v>
      </c>
      <c r="E69" s="36" t="s">
        <v>415</v>
      </c>
      <c r="F69" s="35">
        <v>14.8</v>
      </c>
      <c r="G69" s="35">
        <v>6796</v>
      </c>
      <c r="H69" s="35">
        <v>68.38</v>
      </c>
      <c r="I69" s="35">
        <v>1012</v>
      </c>
      <c r="J69" s="35">
        <v>5.7913043478260873</v>
      </c>
      <c r="K69" s="35">
        <v>12.2225</v>
      </c>
      <c r="L69" s="35">
        <v>75.533333333333331</v>
      </c>
      <c r="M69" s="35">
        <v>1.2077569169960474</v>
      </c>
      <c r="N69" s="35">
        <v>97.68</v>
      </c>
      <c r="O69" s="35">
        <v>38.448475000000002</v>
      </c>
    </row>
    <row r="70" spans="1:15" x14ac:dyDescent="0.3">
      <c r="A70" s="35" t="s">
        <v>260</v>
      </c>
      <c r="B70" s="35">
        <v>5</v>
      </c>
      <c r="C70" s="35">
        <v>470</v>
      </c>
      <c r="D70" s="36" t="s">
        <v>423</v>
      </c>
      <c r="E70" s="36" t="s">
        <v>412</v>
      </c>
      <c r="F70" s="35">
        <v>18.5</v>
      </c>
      <c r="G70" s="35">
        <v>7568</v>
      </c>
      <c r="H70" s="35">
        <v>66.819999999999993</v>
      </c>
      <c r="I70" s="35">
        <v>1236</v>
      </c>
      <c r="J70" s="35">
        <v>4.4902912621359219</v>
      </c>
      <c r="K70" s="35">
        <v>14.922000000000001</v>
      </c>
      <c r="L70" s="35">
        <v>73.599999999999994</v>
      </c>
      <c r="M70" s="35">
        <v>1.2072815533980583</v>
      </c>
      <c r="N70" s="35">
        <v>92.5</v>
      </c>
      <c r="O70" s="35">
        <v>39.224502999999999</v>
      </c>
    </row>
    <row r="71" spans="1:15" x14ac:dyDescent="0.3">
      <c r="A71" s="35" t="s">
        <v>111</v>
      </c>
      <c r="B71" s="35">
        <v>4</v>
      </c>
      <c r="C71" s="35">
        <v>460</v>
      </c>
      <c r="D71" s="36" t="s">
        <v>425</v>
      </c>
      <c r="E71" s="36" t="s">
        <v>414</v>
      </c>
      <c r="F71" s="35">
        <v>14.8</v>
      </c>
      <c r="G71" s="35">
        <v>6190</v>
      </c>
      <c r="H71" s="35">
        <v>80.739999999999995</v>
      </c>
      <c r="I71" s="35">
        <v>1195</v>
      </c>
      <c r="J71" s="35">
        <v>4.9044351464435154</v>
      </c>
      <c r="K71" s="35">
        <v>14.40625</v>
      </c>
      <c r="L71" s="35">
        <v>51.626666666666665</v>
      </c>
      <c r="M71" s="35">
        <v>1.2055439330543933</v>
      </c>
      <c r="N71" s="35">
        <v>92.5</v>
      </c>
      <c r="O71" s="35">
        <v>39.224502999999999</v>
      </c>
    </row>
    <row r="72" spans="1:15" x14ac:dyDescent="0.3">
      <c r="A72" s="35" t="s">
        <v>92</v>
      </c>
      <c r="B72" s="35">
        <v>5</v>
      </c>
      <c r="C72" s="35">
        <v>420</v>
      </c>
      <c r="D72" s="36" t="s">
        <v>424</v>
      </c>
      <c r="E72" s="36" t="s">
        <v>414</v>
      </c>
      <c r="F72" s="35">
        <v>18.5</v>
      </c>
      <c r="G72" s="35">
        <v>6950</v>
      </c>
      <c r="H72" s="35">
        <v>66.64</v>
      </c>
      <c r="I72" s="35">
        <v>1232.8</v>
      </c>
      <c r="J72" s="35">
        <v>4.5019467878001302</v>
      </c>
      <c r="K72" s="35">
        <v>14.855</v>
      </c>
      <c r="L72" s="35">
        <v>57.93333333333333</v>
      </c>
      <c r="M72" s="35">
        <v>1.2049805321219988</v>
      </c>
      <c r="N72" s="35">
        <v>92.5</v>
      </c>
      <c r="O72" s="35">
        <v>39.224502999999999</v>
      </c>
    </row>
    <row r="73" spans="1:15" x14ac:dyDescent="0.3">
      <c r="A73" s="35" t="s">
        <v>213</v>
      </c>
      <c r="B73" s="35">
        <v>2.9999999999999996</v>
      </c>
      <c r="C73" s="35">
        <v>840</v>
      </c>
      <c r="D73" s="36" t="s">
        <v>421</v>
      </c>
      <c r="E73" s="36" t="s">
        <v>412</v>
      </c>
      <c r="F73" s="35">
        <v>11.1</v>
      </c>
      <c r="G73" s="35">
        <v>7275</v>
      </c>
      <c r="H73" s="35">
        <v>62.18</v>
      </c>
      <c r="I73" s="35">
        <v>690</v>
      </c>
      <c r="J73" s="35">
        <v>8.6869565217391305</v>
      </c>
      <c r="K73" s="35">
        <v>8.3112499999999994</v>
      </c>
      <c r="L73" s="35">
        <v>70.693333333333328</v>
      </c>
      <c r="M73" s="35">
        <v>1.2045289855072463</v>
      </c>
      <c r="N73" s="35">
        <v>92.5</v>
      </c>
      <c r="O73" s="35">
        <v>39.224502999999999</v>
      </c>
    </row>
    <row r="74" spans="1:15" x14ac:dyDescent="0.3">
      <c r="A74" s="35" t="s">
        <v>92</v>
      </c>
      <c r="B74" s="35">
        <v>5</v>
      </c>
      <c r="C74" s="35">
        <v>420</v>
      </c>
      <c r="D74" s="36" t="s">
        <v>423</v>
      </c>
      <c r="E74" s="36" t="s">
        <v>412</v>
      </c>
      <c r="F74" s="35">
        <v>18.5</v>
      </c>
      <c r="G74" s="35">
        <v>7080</v>
      </c>
      <c r="H74" s="35">
        <v>59.68</v>
      </c>
      <c r="I74" s="35">
        <v>1104.2</v>
      </c>
      <c r="J74" s="35">
        <v>5.0262633580873031</v>
      </c>
      <c r="K74" s="35">
        <v>13.293749999999999</v>
      </c>
      <c r="L74" s="35">
        <v>68.786666666666662</v>
      </c>
      <c r="M74" s="35">
        <v>1.2039259192175329</v>
      </c>
      <c r="N74" s="35">
        <v>92.5</v>
      </c>
      <c r="O74" s="35">
        <v>39.224502999999999</v>
      </c>
    </row>
    <row r="75" spans="1:15" x14ac:dyDescent="0.3">
      <c r="A75" s="35" t="s">
        <v>108</v>
      </c>
      <c r="B75" s="35">
        <v>5.9999999999999991</v>
      </c>
      <c r="C75" s="35">
        <v>310</v>
      </c>
      <c r="D75" s="36" t="s">
        <v>425</v>
      </c>
      <c r="E75" s="36" t="s">
        <v>415</v>
      </c>
      <c r="F75" s="35">
        <v>22.2</v>
      </c>
      <c r="G75" s="35">
        <v>6263</v>
      </c>
      <c r="H75" s="35">
        <v>65.72</v>
      </c>
      <c r="I75" s="35">
        <v>1459</v>
      </c>
      <c r="J75" s="35">
        <v>4.1082933516106923</v>
      </c>
      <c r="K75" s="35">
        <v>17.44875</v>
      </c>
      <c r="L75" s="35">
        <v>69.52</v>
      </c>
      <c r="M75" s="35">
        <v>1.195938999314599</v>
      </c>
      <c r="N75" s="35">
        <v>92.5</v>
      </c>
      <c r="O75" s="35">
        <v>39.224502999999999</v>
      </c>
    </row>
    <row r="76" spans="1:15" x14ac:dyDescent="0.3">
      <c r="A76" s="35" t="s">
        <v>260</v>
      </c>
      <c r="B76" s="35">
        <v>5</v>
      </c>
      <c r="C76" s="35">
        <v>470</v>
      </c>
      <c r="D76" s="36" t="s">
        <v>423</v>
      </c>
      <c r="E76" s="36" t="s">
        <v>414</v>
      </c>
      <c r="F76" s="35">
        <v>18.5</v>
      </c>
      <c r="G76" s="35">
        <v>7547</v>
      </c>
      <c r="H76" s="35">
        <v>68.540000000000006</v>
      </c>
      <c r="I76" s="35">
        <v>1267.8</v>
      </c>
      <c r="J76" s="35">
        <v>4.3776620918125886</v>
      </c>
      <c r="K76" s="35">
        <v>15.16</v>
      </c>
      <c r="L76" s="35">
        <v>62.9</v>
      </c>
      <c r="M76" s="35">
        <v>1.1957722038176368</v>
      </c>
      <c r="N76" s="35">
        <v>92.5</v>
      </c>
      <c r="O76" s="35">
        <v>39.224502999999999</v>
      </c>
    </row>
    <row r="77" spans="1:15" x14ac:dyDescent="0.3">
      <c r="A77" s="35" t="s">
        <v>111</v>
      </c>
      <c r="B77" s="35">
        <v>4</v>
      </c>
      <c r="C77" s="35">
        <v>460</v>
      </c>
      <c r="D77" s="36" t="s">
        <v>425</v>
      </c>
      <c r="E77" s="36" t="s">
        <v>415</v>
      </c>
      <c r="F77" s="35">
        <v>14.8</v>
      </c>
      <c r="G77" s="35">
        <v>6066</v>
      </c>
      <c r="H77" s="35">
        <v>94.98</v>
      </c>
      <c r="I77" s="35">
        <v>1405.8</v>
      </c>
      <c r="J77" s="35">
        <v>4.1690140845070429</v>
      </c>
      <c r="K77" s="35">
        <v>16.786249999999999</v>
      </c>
      <c r="L77" s="35">
        <v>67.466666666666669</v>
      </c>
      <c r="M77" s="35">
        <v>1.1940709916062029</v>
      </c>
      <c r="N77" s="35">
        <v>92.5</v>
      </c>
      <c r="O77" s="35">
        <v>39.224502999999999</v>
      </c>
    </row>
    <row r="78" spans="1:15" x14ac:dyDescent="0.3">
      <c r="A78" s="35" t="s">
        <v>242</v>
      </c>
      <c r="B78" s="35">
        <v>4</v>
      </c>
      <c r="C78" s="35">
        <v>760</v>
      </c>
      <c r="D78" s="36" t="s">
        <v>419</v>
      </c>
      <c r="E78" s="36">
        <v>5.5</v>
      </c>
      <c r="F78" s="35">
        <v>14.8</v>
      </c>
      <c r="G78" s="35">
        <v>9028</v>
      </c>
      <c r="H78" s="35">
        <v>44.24</v>
      </c>
      <c r="I78" s="35">
        <v>654.6</v>
      </c>
      <c r="J78" s="35">
        <v>8.9532538955087073</v>
      </c>
      <c r="K78" s="35">
        <v>7.8159999999999998</v>
      </c>
      <c r="L78" s="35">
        <v>68.900000000000006</v>
      </c>
      <c r="M78" s="35">
        <v>1.1940116101435991</v>
      </c>
      <c r="N78" s="35">
        <v>99.9</v>
      </c>
      <c r="O78" s="35">
        <v>43.633752999999999</v>
      </c>
    </row>
    <row r="79" spans="1:15" x14ac:dyDescent="0.3">
      <c r="A79" s="35" t="s">
        <v>277</v>
      </c>
      <c r="B79" s="35">
        <v>2.9999999999999996</v>
      </c>
      <c r="C79" s="35">
        <v>890</v>
      </c>
      <c r="D79" s="36" t="s">
        <v>420</v>
      </c>
      <c r="E79" s="36" t="s">
        <v>414</v>
      </c>
      <c r="F79" s="35">
        <v>11.1</v>
      </c>
      <c r="G79" s="35">
        <v>8129</v>
      </c>
      <c r="H79" s="35">
        <v>65</v>
      </c>
      <c r="I79" s="35">
        <v>721.4</v>
      </c>
      <c r="J79" s="35">
        <v>8.3088439146104811</v>
      </c>
      <c r="K79" s="35">
        <v>8.6120000000000001</v>
      </c>
      <c r="L79" s="35">
        <v>67.8</v>
      </c>
      <c r="M79" s="35">
        <v>1.1937898530634876</v>
      </c>
      <c r="N79" s="35">
        <v>99.9</v>
      </c>
      <c r="O79" s="35">
        <v>43.633752999999999</v>
      </c>
    </row>
    <row r="80" spans="1:15" x14ac:dyDescent="0.3">
      <c r="A80" s="35" t="s">
        <v>111</v>
      </c>
      <c r="B80" s="35">
        <v>4</v>
      </c>
      <c r="C80" s="35">
        <v>460</v>
      </c>
      <c r="D80" s="36" t="s">
        <v>424</v>
      </c>
      <c r="E80" s="36" t="s">
        <v>415</v>
      </c>
      <c r="F80" s="35">
        <v>14.8</v>
      </c>
      <c r="G80" s="35">
        <v>6267</v>
      </c>
      <c r="H80" s="35">
        <v>78.94</v>
      </c>
      <c r="I80" s="35">
        <v>1168.4000000000001</v>
      </c>
      <c r="J80" s="35">
        <v>5.0160903800068466</v>
      </c>
      <c r="K80" s="35">
        <v>13.945</v>
      </c>
      <c r="L80" s="35">
        <v>69.666666666666657</v>
      </c>
      <c r="M80" s="35">
        <v>1.1935124957206436</v>
      </c>
      <c r="N80" s="35">
        <v>99.9</v>
      </c>
      <c r="O80" s="35">
        <v>43.633752999999999</v>
      </c>
    </row>
    <row r="81" spans="1:15" x14ac:dyDescent="0.3">
      <c r="A81" s="35" t="s">
        <v>111</v>
      </c>
      <c r="B81" s="35">
        <v>4</v>
      </c>
      <c r="C81" s="35">
        <v>460</v>
      </c>
      <c r="D81" s="36" t="s">
        <v>424</v>
      </c>
      <c r="E81" s="36" t="s">
        <v>415</v>
      </c>
      <c r="F81" s="35">
        <v>14.8</v>
      </c>
      <c r="G81" s="35">
        <v>6094</v>
      </c>
      <c r="H81" s="35">
        <v>91.5</v>
      </c>
      <c r="I81" s="35">
        <v>1354</v>
      </c>
      <c r="J81" s="35">
        <v>4.3285081240768104</v>
      </c>
      <c r="K81" s="35">
        <v>16.125</v>
      </c>
      <c r="L81" s="35">
        <v>67.760000000000005</v>
      </c>
      <c r="M81" s="35">
        <v>1.1909158050221567</v>
      </c>
      <c r="N81" s="35">
        <v>97.68</v>
      </c>
      <c r="O81" s="35">
        <v>44.228475000000003</v>
      </c>
    </row>
    <row r="82" spans="1:15" x14ac:dyDescent="0.3">
      <c r="A82" s="35" t="s">
        <v>116</v>
      </c>
      <c r="B82" s="35">
        <v>4</v>
      </c>
      <c r="C82" s="35">
        <v>540</v>
      </c>
      <c r="D82" s="36" t="s">
        <v>424</v>
      </c>
      <c r="E82" s="36" t="s">
        <v>414</v>
      </c>
      <c r="F82" s="35">
        <v>14.8</v>
      </c>
      <c r="G82" s="35">
        <v>7219</v>
      </c>
      <c r="H82" s="35">
        <v>89.44</v>
      </c>
      <c r="I82" s="35">
        <v>1323.8</v>
      </c>
      <c r="J82" s="35">
        <v>4.4272548723372118</v>
      </c>
      <c r="K82" s="35">
        <v>15.7475</v>
      </c>
      <c r="L82" s="35">
        <v>60.133333333333326</v>
      </c>
      <c r="M82" s="35">
        <v>1.1895679105605077</v>
      </c>
      <c r="N82" s="35">
        <v>97.68</v>
      </c>
      <c r="O82" s="35">
        <v>44.228475000000003</v>
      </c>
    </row>
    <row r="83" spans="1:15" x14ac:dyDescent="0.3">
      <c r="A83" s="35" t="s">
        <v>92</v>
      </c>
      <c r="B83" s="35">
        <v>5.9999999999999991</v>
      </c>
      <c r="C83" s="35">
        <v>420</v>
      </c>
      <c r="D83" s="36" t="s">
        <v>423</v>
      </c>
      <c r="E83" s="36" t="s">
        <v>416</v>
      </c>
      <c r="F83" s="35">
        <v>22.2</v>
      </c>
      <c r="G83" s="35">
        <v>8621</v>
      </c>
      <c r="H83" s="35">
        <v>60.48</v>
      </c>
      <c r="I83" s="35">
        <v>1342.6</v>
      </c>
      <c r="J83" s="35">
        <v>4.4644719201549234</v>
      </c>
      <c r="K83" s="35">
        <v>15.96625</v>
      </c>
      <c r="L83" s="35">
        <v>47.96</v>
      </c>
      <c r="M83" s="35">
        <v>1.1892037837032625</v>
      </c>
      <c r="N83" s="35">
        <v>97.68</v>
      </c>
      <c r="O83" s="35">
        <v>44.228475000000003</v>
      </c>
    </row>
    <row r="84" spans="1:15" x14ac:dyDescent="0.3">
      <c r="A84" s="35" t="s">
        <v>213</v>
      </c>
      <c r="B84" s="35">
        <v>2.9999999999999996</v>
      </c>
      <c r="C84" s="35">
        <v>840</v>
      </c>
      <c r="D84" s="36" t="s">
        <v>421</v>
      </c>
      <c r="E84" s="36" t="s">
        <v>414</v>
      </c>
      <c r="F84" s="35">
        <v>11.1</v>
      </c>
      <c r="G84" s="35">
        <v>7405</v>
      </c>
      <c r="H84" s="35">
        <v>58.96</v>
      </c>
      <c r="I84" s="35">
        <v>654.4</v>
      </c>
      <c r="J84" s="35">
        <v>9.1595354523227392</v>
      </c>
      <c r="K84" s="35">
        <v>7.7774999999999999</v>
      </c>
      <c r="L84" s="35">
        <v>61.746666666666663</v>
      </c>
      <c r="M84" s="35">
        <v>1.1884932762836187</v>
      </c>
      <c r="N84" s="35">
        <v>97.68</v>
      </c>
      <c r="O84" s="35">
        <v>44.228475000000003</v>
      </c>
    </row>
    <row r="85" spans="1:15" x14ac:dyDescent="0.3">
      <c r="A85" s="35" t="s">
        <v>92</v>
      </c>
      <c r="B85" s="35">
        <v>5</v>
      </c>
      <c r="C85" s="35">
        <v>420</v>
      </c>
      <c r="D85" s="36" t="s">
        <v>423</v>
      </c>
      <c r="E85" s="36" t="s">
        <v>414</v>
      </c>
      <c r="F85" s="35">
        <v>18.5</v>
      </c>
      <c r="G85" s="35">
        <v>7109</v>
      </c>
      <c r="H85" s="35">
        <v>57.58</v>
      </c>
      <c r="I85" s="35">
        <v>1065.4000000000001</v>
      </c>
      <c r="J85" s="35">
        <v>5.2093110568800443</v>
      </c>
      <c r="K85" s="35">
        <v>12.65875</v>
      </c>
      <c r="L85" s="35">
        <v>59.25333333333333</v>
      </c>
      <c r="M85" s="35">
        <v>1.1881687629059505</v>
      </c>
      <c r="N85" s="35">
        <v>97.68</v>
      </c>
      <c r="O85" s="35">
        <v>44.228475000000003</v>
      </c>
    </row>
    <row r="86" spans="1:15" x14ac:dyDescent="0.3">
      <c r="A86" s="35" t="s">
        <v>244</v>
      </c>
      <c r="B86" s="35">
        <v>4</v>
      </c>
      <c r="C86" s="35">
        <v>610</v>
      </c>
      <c r="D86" s="36" t="s">
        <v>423</v>
      </c>
      <c r="E86" s="36" t="s">
        <v>414</v>
      </c>
      <c r="F86" s="35">
        <v>14.8</v>
      </c>
      <c r="G86" s="35">
        <v>7411</v>
      </c>
      <c r="H86" s="35">
        <v>85.82</v>
      </c>
      <c r="I86" s="35">
        <v>1270.2</v>
      </c>
      <c r="J86" s="35">
        <v>4.6140765233821446</v>
      </c>
      <c r="K86" s="35">
        <v>15.086</v>
      </c>
      <c r="L86" s="35">
        <v>61.7</v>
      </c>
      <c r="M86" s="35">
        <v>1.1876869784285937</v>
      </c>
      <c r="N86" s="35">
        <v>97.68</v>
      </c>
      <c r="O86" s="35">
        <v>44.228475000000003</v>
      </c>
    </row>
    <row r="87" spans="1:15" x14ac:dyDescent="0.3">
      <c r="A87" s="35" t="s">
        <v>108</v>
      </c>
      <c r="B87" s="35">
        <v>5.9999999999999991</v>
      </c>
      <c r="C87" s="35">
        <v>310</v>
      </c>
      <c r="D87" s="36" t="s">
        <v>424</v>
      </c>
      <c r="E87" s="36" t="s">
        <v>415</v>
      </c>
      <c r="F87" s="35">
        <v>22.2</v>
      </c>
      <c r="G87" s="35">
        <v>6233</v>
      </c>
      <c r="H87" s="35">
        <v>64.739999999999995</v>
      </c>
      <c r="I87" s="35">
        <v>1437.2</v>
      </c>
      <c r="J87" s="35">
        <v>4.1706095185082104</v>
      </c>
      <c r="K87" s="35">
        <v>17.055</v>
      </c>
      <c r="L87" s="35">
        <v>69.226666666666659</v>
      </c>
      <c r="M87" s="35">
        <v>1.1866824380740328</v>
      </c>
      <c r="N87" s="35">
        <v>97.68</v>
      </c>
      <c r="O87" s="35">
        <v>44.228475000000003</v>
      </c>
    </row>
    <row r="88" spans="1:15" x14ac:dyDescent="0.3">
      <c r="A88" s="35" t="s">
        <v>108</v>
      </c>
      <c r="B88" s="35">
        <v>5.9999999999999991</v>
      </c>
      <c r="C88" s="35">
        <v>310</v>
      </c>
      <c r="D88" s="36" t="s">
        <v>422</v>
      </c>
      <c r="E88" s="36" t="s">
        <v>417</v>
      </c>
      <c r="F88" s="35">
        <v>22.2</v>
      </c>
      <c r="G88" s="35">
        <v>6413</v>
      </c>
      <c r="H88" s="35">
        <v>52.02</v>
      </c>
      <c r="I88" s="35">
        <v>1154.8</v>
      </c>
      <c r="J88" s="35">
        <v>5.1905091790786289</v>
      </c>
      <c r="K88" s="35">
        <v>13.66</v>
      </c>
      <c r="L88" s="35">
        <v>80.226666666666659</v>
      </c>
      <c r="M88" s="35">
        <v>1.1828888119154832</v>
      </c>
      <c r="N88" s="35">
        <v>97.68</v>
      </c>
      <c r="O88" s="35">
        <v>44.228475000000003</v>
      </c>
    </row>
    <row r="89" spans="1:15" x14ac:dyDescent="0.3">
      <c r="A89" s="35" t="s">
        <v>277</v>
      </c>
      <c r="B89" s="35">
        <v>2.9999999999999996</v>
      </c>
      <c r="C89" s="35">
        <v>890</v>
      </c>
      <c r="D89" s="36" t="s">
        <v>418</v>
      </c>
      <c r="E89" s="36">
        <v>4.7</v>
      </c>
      <c r="F89" s="35">
        <v>11.1</v>
      </c>
      <c r="G89" s="35">
        <v>8559</v>
      </c>
      <c r="H89" s="35">
        <v>49.26</v>
      </c>
      <c r="I89" s="35">
        <v>546.79999999999995</v>
      </c>
      <c r="J89" s="35">
        <v>10.96196049743965</v>
      </c>
      <c r="K89" s="35">
        <v>6.4660000000000002</v>
      </c>
      <c r="L89" s="35">
        <v>55.9</v>
      </c>
      <c r="M89" s="35">
        <v>1.1825164594001465</v>
      </c>
      <c r="N89" s="35">
        <v>97.68</v>
      </c>
      <c r="O89" s="35">
        <v>44.228475000000003</v>
      </c>
    </row>
    <row r="90" spans="1:15" x14ac:dyDescent="0.3">
      <c r="A90" s="35" t="s">
        <v>207</v>
      </c>
      <c r="B90" s="35">
        <v>2.9999999999999996</v>
      </c>
      <c r="C90" s="35">
        <v>850</v>
      </c>
      <c r="D90" s="36" t="s">
        <v>419</v>
      </c>
      <c r="E90" s="36">
        <v>5.5</v>
      </c>
      <c r="F90" s="35">
        <v>11.1</v>
      </c>
      <c r="G90" s="35">
        <v>8243</v>
      </c>
      <c r="H90" s="35">
        <v>47.54</v>
      </c>
      <c r="I90" s="35">
        <v>527.79999999999995</v>
      </c>
      <c r="J90" s="35">
        <v>11.356574460022738</v>
      </c>
      <c r="K90" s="35">
        <v>6.2387499999999996</v>
      </c>
      <c r="L90" s="35">
        <v>62.919999999999995</v>
      </c>
      <c r="M90" s="35">
        <v>1.182029177718833</v>
      </c>
      <c r="N90" s="35">
        <v>97.68</v>
      </c>
      <c r="O90" s="35">
        <v>44.228475000000003</v>
      </c>
    </row>
    <row r="91" spans="1:15" x14ac:dyDescent="0.3">
      <c r="A91" s="35" t="s">
        <v>213</v>
      </c>
      <c r="B91" s="35">
        <v>2.9999999999999996</v>
      </c>
      <c r="C91" s="35">
        <v>840</v>
      </c>
      <c r="D91" s="36" t="s">
        <v>420</v>
      </c>
      <c r="E91" s="36" t="s">
        <v>414</v>
      </c>
      <c r="F91" s="35">
        <v>11.1</v>
      </c>
      <c r="G91" s="35">
        <v>7790</v>
      </c>
      <c r="H91" s="35">
        <v>50.06</v>
      </c>
      <c r="I91" s="35">
        <v>555.6</v>
      </c>
      <c r="J91" s="35">
        <v>10.788336933045356</v>
      </c>
      <c r="K91" s="35">
        <v>6.5650000000000004</v>
      </c>
      <c r="L91" s="35">
        <v>64.973333333333329</v>
      </c>
      <c r="M91" s="35">
        <v>1.181605471562275</v>
      </c>
      <c r="N91" s="35">
        <v>97.68</v>
      </c>
      <c r="O91" s="35">
        <v>44.228475000000003</v>
      </c>
    </row>
    <row r="92" spans="1:15" x14ac:dyDescent="0.3">
      <c r="A92" s="35" t="s">
        <v>97</v>
      </c>
      <c r="B92" s="35">
        <v>4</v>
      </c>
      <c r="C92" s="35">
        <v>520</v>
      </c>
      <c r="D92" s="36" t="s">
        <v>422</v>
      </c>
      <c r="E92" s="36">
        <v>8.5</v>
      </c>
      <c r="F92" s="35">
        <v>14.8</v>
      </c>
      <c r="G92" s="35">
        <v>6865</v>
      </c>
      <c r="H92" s="35">
        <v>62.9</v>
      </c>
      <c r="I92" s="35">
        <v>931</v>
      </c>
      <c r="J92" s="35">
        <v>6.2951664876476912</v>
      </c>
      <c r="K92" s="35">
        <v>10.99625</v>
      </c>
      <c r="L92" s="35">
        <v>81.106666666666655</v>
      </c>
      <c r="M92" s="35">
        <v>1.1811224489795917</v>
      </c>
      <c r="N92" s="35">
        <v>97.68</v>
      </c>
      <c r="O92" s="35">
        <v>44.228475000000003</v>
      </c>
    </row>
    <row r="93" spans="1:15" x14ac:dyDescent="0.3">
      <c r="A93" s="35" t="s">
        <v>111</v>
      </c>
      <c r="B93" s="35">
        <v>4</v>
      </c>
      <c r="C93" s="35">
        <v>460</v>
      </c>
      <c r="D93" s="36" t="s">
        <v>424</v>
      </c>
      <c r="E93" s="36" t="s">
        <v>415</v>
      </c>
      <c r="F93" s="35">
        <v>14.8</v>
      </c>
      <c r="G93" s="35">
        <v>6156</v>
      </c>
      <c r="H93" s="35">
        <v>84.98</v>
      </c>
      <c r="I93" s="35">
        <v>1257.5999999999999</v>
      </c>
      <c r="J93" s="35">
        <v>4.6603053435114505</v>
      </c>
      <c r="K93" s="35">
        <v>14.8375</v>
      </c>
      <c r="L93" s="35">
        <v>68.346666666666664</v>
      </c>
      <c r="M93" s="35">
        <v>1.1798266539440205</v>
      </c>
      <c r="N93" s="35">
        <v>97.68</v>
      </c>
      <c r="O93" s="35">
        <v>44.228475000000003</v>
      </c>
    </row>
    <row r="94" spans="1:15" x14ac:dyDescent="0.3">
      <c r="A94" s="35" t="s">
        <v>277</v>
      </c>
      <c r="B94" s="35">
        <v>2.9999999999999996</v>
      </c>
      <c r="C94" s="35">
        <v>890</v>
      </c>
      <c r="D94" s="36" t="s">
        <v>419</v>
      </c>
      <c r="E94" s="36">
        <v>4.7</v>
      </c>
      <c r="F94" s="35">
        <v>11.1</v>
      </c>
      <c r="G94" s="35">
        <v>8205</v>
      </c>
      <c r="H94" s="35">
        <v>62.22</v>
      </c>
      <c r="I94" s="35">
        <v>690.6</v>
      </c>
      <c r="J94" s="35">
        <v>8.6794092093831452</v>
      </c>
      <c r="K94" s="35">
        <v>8.1379999999999999</v>
      </c>
      <c r="L94" s="35">
        <v>53.5</v>
      </c>
      <c r="M94" s="35">
        <v>1.1783955980306979</v>
      </c>
      <c r="N94" s="35">
        <v>92.5</v>
      </c>
      <c r="O94" s="35">
        <v>45.004503</v>
      </c>
    </row>
    <row r="95" spans="1:15" x14ac:dyDescent="0.3">
      <c r="A95" s="35" t="s">
        <v>97</v>
      </c>
      <c r="B95" s="35">
        <v>4</v>
      </c>
      <c r="C95" s="35">
        <v>520</v>
      </c>
      <c r="D95" s="36" t="s">
        <v>422</v>
      </c>
      <c r="E95" s="36" t="s">
        <v>412</v>
      </c>
      <c r="F95" s="35">
        <v>14.8</v>
      </c>
      <c r="G95" s="35">
        <v>6754</v>
      </c>
      <c r="H95" s="35">
        <v>72.739999999999995</v>
      </c>
      <c r="I95" s="35">
        <v>1076.4000000000001</v>
      </c>
      <c r="J95" s="35">
        <v>5.4448160535117056</v>
      </c>
      <c r="K95" s="35">
        <v>12.672499999999999</v>
      </c>
      <c r="L95" s="35">
        <v>65.706666666666663</v>
      </c>
      <c r="M95" s="35">
        <v>1.1773039762170197</v>
      </c>
      <c r="N95" s="35">
        <v>92.5</v>
      </c>
      <c r="O95" s="35">
        <v>45.004503</v>
      </c>
    </row>
    <row r="96" spans="1:15" x14ac:dyDescent="0.3">
      <c r="A96" s="35" t="s">
        <v>92</v>
      </c>
      <c r="B96" s="35">
        <v>5</v>
      </c>
      <c r="C96" s="35">
        <v>420</v>
      </c>
      <c r="D96" s="36" t="s">
        <v>422</v>
      </c>
      <c r="E96" s="36" t="s">
        <v>412</v>
      </c>
      <c r="F96" s="35">
        <v>18.5</v>
      </c>
      <c r="G96" s="35">
        <v>7175</v>
      </c>
      <c r="H96" s="35">
        <v>52.88</v>
      </c>
      <c r="I96" s="35">
        <v>978.2</v>
      </c>
      <c r="J96" s="35">
        <v>5.6736863627070129</v>
      </c>
      <c r="K96" s="35">
        <v>11.50375</v>
      </c>
      <c r="L96" s="35">
        <v>69.813333333333333</v>
      </c>
      <c r="M96" s="35">
        <v>1.1760120629728072</v>
      </c>
      <c r="N96" s="35">
        <v>92.5</v>
      </c>
      <c r="O96" s="35">
        <v>45.004503</v>
      </c>
    </row>
    <row r="97" spans="1:15" x14ac:dyDescent="0.3">
      <c r="A97" s="35" t="s">
        <v>97</v>
      </c>
      <c r="B97" s="35">
        <v>5</v>
      </c>
      <c r="C97" s="35">
        <v>520</v>
      </c>
      <c r="D97" s="36" t="s">
        <v>423</v>
      </c>
      <c r="E97" s="36" t="s">
        <v>416</v>
      </c>
      <c r="F97" s="35">
        <v>18.5</v>
      </c>
      <c r="G97" s="35">
        <v>8575</v>
      </c>
      <c r="H97" s="35">
        <v>71.540000000000006</v>
      </c>
      <c r="I97" s="35">
        <v>1323.4</v>
      </c>
      <c r="J97" s="35">
        <v>4.1937433882424058</v>
      </c>
      <c r="K97" s="35">
        <v>15.547499999999999</v>
      </c>
      <c r="L97" s="35">
        <v>47.666666666666664</v>
      </c>
      <c r="M97" s="35">
        <v>1.1748148707873658</v>
      </c>
      <c r="N97" s="35">
        <v>92.5</v>
      </c>
      <c r="O97" s="35">
        <v>45.004503</v>
      </c>
    </row>
    <row r="98" spans="1:15" x14ac:dyDescent="0.3">
      <c r="A98" s="35" t="s">
        <v>213</v>
      </c>
      <c r="B98" s="35">
        <v>2.9999999999999996</v>
      </c>
      <c r="C98" s="35">
        <v>840</v>
      </c>
      <c r="D98" s="36" t="s">
        <v>419</v>
      </c>
      <c r="E98" s="36" t="s">
        <v>415</v>
      </c>
      <c r="F98" s="35">
        <v>11.1</v>
      </c>
      <c r="G98" s="35">
        <v>7920</v>
      </c>
      <c r="H98" s="35">
        <v>45.6</v>
      </c>
      <c r="I98" s="35">
        <v>506.2</v>
      </c>
      <c r="J98" s="35">
        <v>11.841169498222047</v>
      </c>
      <c r="K98" s="35">
        <v>5.9349999999999996</v>
      </c>
      <c r="L98" s="35">
        <v>88</v>
      </c>
      <c r="M98" s="35">
        <v>1.1724614776768074</v>
      </c>
      <c r="N98" s="35">
        <v>92.5</v>
      </c>
      <c r="O98" s="35">
        <v>45.004503</v>
      </c>
    </row>
    <row r="99" spans="1:15" x14ac:dyDescent="0.3">
      <c r="A99" s="35" t="s">
        <v>97</v>
      </c>
      <c r="B99" s="35">
        <v>4</v>
      </c>
      <c r="C99" s="35">
        <v>520</v>
      </c>
      <c r="D99" s="36" t="s">
        <v>424</v>
      </c>
      <c r="E99" s="36" t="s">
        <v>412</v>
      </c>
      <c r="F99" s="35">
        <v>14.8</v>
      </c>
      <c r="G99" s="35">
        <v>6614</v>
      </c>
      <c r="H99" s="35">
        <v>82.44</v>
      </c>
      <c r="I99" s="35">
        <v>1220</v>
      </c>
      <c r="J99" s="35">
        <v>4.8039344262295085</v>
      </c>
      <c r="K99" s="35">
        <v>14.272500000000001</v>
      </c>
      <c r="L99" s="35">
        <v>64.239999999999995</v>
      </c>
      <c r="M99" s="35">
        <v>1.1698770491803279</v>
      </c>
      <c r="N99" s="35">
        <v>92.5</v>
      </c>
      <c r="O99" s="35">
        <v>45.004503</v>
      </c>
    </row>
    <row r="100" spans="1:15" x14ac:dyDescent="0.3">
      <c r="A100" s="35" t="s">
        <v>92</v>
      </c>
      <c r="B100" s="35">
        <v>5</v>
      </c>
      <c r="C100" s="35">
        <v>420</v>
      </c>
      <c r="D100" s="36" t="s">
        <v>423</v>
      </c>
      <c r="E100" s="36" t="s">
        <v>415</v>
      </c>
      <c r="F100" s="35">
        <v>18.5</v>
      </c>
      <c r="G100" s="35">
        <v>7037</v>
      </c>
      <c r="H100" s="35">
        <v>61.68</v>
      </c>
      <c r="I100" s="35">
        <v>1141</v>
      </c>
      <c r="J100" s="35">
        <v>4.8641542506573181</v>
      </c>
      <c r="K100" s="35">
        <v>13.34625</v>
      </c>
      <c r="L100" s="35">
        <v>78.173333333333318</v>
      </c>
      <c r="M100" s="35">
        <v>1.1696976336546889</v>
      </c>
      <c r="N100" s="35">
        <v>92.5</v>
      </c>
      <c r="O100" s="35">
        <v>45.004503</v>
      </c>
    </row>
    <row r="101" spans="1:15" x14ac:dyDescent="0.3">
      <c r="A101" s="35" t="s">
        <v>92</v>
      </c>
      <c r="B101" s="35">
        <v>5.9999999999999991</v>
      </c>
      <c r="C101" s="35">
        <v>420</v>
      </c>
      <c r="D101" s="36" t="s">
        <v>421</v>
      </c>
      <c r="E101" s="36">
        <v>5.5</v>
      </c>
      <c r="F101" s="35">
        <v>22.2</v>
      </c>
      <c r="G101" s="35">
        <v>8875</v>
      </c>
      <c r="H101" s="35">
        <v>45.18</v>
      </c>
      <c r="I101" s="35">
        <v>1003</v>
      </c>
      <c r="J101" s="35">
        <v>5.976071784646062</v>
      </c>
      <c r="K101" s="35">
        <v>11.723750000000001</v>
      </c>
      <c r="L101" s="35">
        <v>67.760000000000005</v>
      </c>
      <c r="M101" s="35">
        <v>1.1688683948155534</v>
      </c>
      <c r="N101" s="35">
        <v>92.5</v>
      </c>
      <c r="O101" s="35">
        <v>45.004503</v>
      </c>
    </row>
    <row r="102" spans="1:15" x14ac:dyDescent="0.3">
      <c r="A102" s="35" t="s">
        <v>243</v>
      </c>
      <c r="B102" s="35">
        <v>4</v>
      </c>
      <c r="C102" s="35">
        <v>650</v>
      </c>
      <c r="D102" s="36" t="s">
        <v>423</v>
      </c>
      <c r="E102" s="36" t="s">
        <v>414</v>
      </c>
      <c r="F102" s="35">
        <v>14.8</v>
      </c>
      <c r="G102" s="35">
        <v>7281</v>
      </c>
      <c r="H102" s="35">
        <v>81.98</v>
      </c>
      <c r="I102" s="35">
        <v>1213.4000000000001</v>
      </c>
      <c r="J102" s="35">
        <v>4.8300642821822972</v>
      </c>
      <c r="K102" s="35">
        <v>14.15</v>
      </c>
      <c r="L102" s="35">
        <v>60.7</v>
      </c>
      <c r="M102" s="35">
        <v>1.166144717323224</v>
      </c>
      <c r="N102" s="35">
        <v>92.5</v>
      </c>
      <c r="O102" s="35">
        <v>45.004503</v>
      </c>
    </row>
    <row r="103" spans="1:15" x14ac:dyDescent="0.3">
      <c r="A103" s="35" t="s">
        <v>213</v>
      </c>
      <c r="B103" s="35">
        <v>2.9999999999999996</v>
      </c>
      <c r="C103" s="35">
        <v>840</v>
      </c>
      <c r="D103" s="36" t="s">
        <v>418</v>
      </c>
      <c r="E103" s="36" t="s">
        <v>412</v>
      </c>
      <c r="F103" s="35">
        <v>11.1</v>
      </c>
      <c r="G103" s="35">
        <v>7954</v>
      </c>
      <c r="H103" s="35">
        <v>45.12</v>
      </c>
      <c r="I103" s="35">
        <v>500.8</v>
      </c>
      <c r="J103" s="35">
        <v>11.968849840255592</v>
      </c>
      <c r="K103" s="35">
        <v>5.8337500000000002</v>
      </c>
      <c r="L103" s="35">
        <v>77.293333333333337</v>
      </c>
      <c r="M103" s="35">
        <v>1.164886182108626</v>
      </c>
      <c r="N103" s="35">
        <v>92.5</v>
      </c>
      <c r="O103" s="35">
        <v>45.004503</v>
      </c>
    </row>
    <row r="104" spans="1:15" x14ac:dyDescent="0.3">
      <c r="A104" s="35" t="s">
        <v>244</v>
      </c>
      <c r="B104" s="35">
        <v>4</v>
      </c>
      <c r="C104" s="35">
        <v>610</v>
      </c>
      <c r="D104" s="36" t="s">
        <v>421</v>
      </c>
      <c r="E104" s="36">
        <v>6.5</v>
      </c>
      <c r="F104" s="35">
        <v>14.8</v>
      </c>
      <c r="G104" s="35">
        <v>7777</v>
      </c>
      <c r="H104" s="35">
        <v>65.040000000000006</v>
      </c>
      <c r="I104" s="35">
        <v>962.6</v>
      </c>
      <c r="J104" s="35">
        <v>6.0885102846457517</v>
      </c>
      <c r="K104" s="35">
        <v>11.212</v>
      </c>
      <c r="L104" s="35">
        <v>70.3</v>
      </c>
      <c r="M104" s="35">
        <v>1.164762102638687</v>
      </c>
      <c r="N104" s="35">
        <v>92.5</v>
      </c>
      <c r="O104" s="35">
        <v>45.004503</v>
      </c>
    </row>
    <row r="105" spans="1:15" x14ac:dyDescent="0.3">
      <c r="A105" s="35" t="s">
        <v>213</v>
      </c>
      <c r="B105" s="35">
        <v>2.9999999999999996</v>
      </c>
      <c r="C105" s="35">
        <v>840</v>
      </c>
      <c r="D105" s="36" t="s">
        <v>419</v>
      </c>
      <c r="E105" s="36" t="s">
        <v>412</v>
      </c>
      <c r="F105" s="35">
        <v>11.1</v>
      </c>
      <c r="G105" s="35">
        <v>7780</v>
      </c>
      <c r="H105" s="35">
        <v>48.88</v>
      </c>
      <c r="I105" s="35">
        <v>542.6</v>
      </c>
      <c r="J105" s="35">
        <v>11.046811647622558</v>
      </c>
      <c r="K105" s="35">
        <v>6.3137499999999998</v>
      </c>
      <c r="L105" s="35">
        <v>75.679999999999993</v>
      </c>
      <c r="M105" s="35">
        <v>1.1636103943973459</v>
      </c>
      <c r="N105" s="35">
        <v>99.9</v>
      </c>
      <c r="O105" s="35">
        <v>49.413753</v>
      </c>
    </row>
    <row r="106" spans="1:15" x14ac:dyDescent="0.3">
      <c r="A106" s="35" t="s">
        <v>108</v>
      </c>
      <c r="B106" s="35">
        <v>5.9999999999999991</v>
      </c>
      <c r="C106" s="35">
        <v>310</v>
      </c>
      <c r="D106" s="36" t="s">
        <v>424</v>
      </c>
      <c r="E106" s="36" t="s">
        <v>415</v>
      </c>
      <c r="F106" s="35">
        <v>22.2</v>
      </c>
      <c r="G106" s="35">
        <v>6389</v>
      </c>
      <c r="H106" s="35">
        <v>57.2</v>
      </c>
      <c r="I106" s="35">
        <v>1269.8</v>
      </c>
      <c r="J106" s="35">
        <v>4.7204284139234529</v>
      </c>
      <c r="K106" s="35">
        <v>14.765000000000001</v>
      </c>
      <c r="L106" s="35">
        <v>70.986666666666665</v>
      </c>
      <c r="M106" s="35">
        <v>1.1627815404000632</v>
      </c>
      <c r="N106" s="35">
        <v>99.9</v>
      </c>
      <c r="O106" s="35">
        <v>49.413753</v>
      </c>
    </row>
    <row r="107" spans="1:15" x14ac:dyDescent="0.3">
      <c r="A107" s="35" t="s">
        <v>97</v>
      </c>
      <c r="B107" s="35">
        <v>4</v>
      </c>
      <c r="C107" s="35">
        <v>520</v>
      </c>
      <c r="D107" s="36" t="s">
        <v>422</v>
      </c>
      <c r="E107" s="36" t="s">
        <v>418</v>
      </c>
      <c r="F107" s="35">
        <v>14.8</v>
      </c>
      <c r="G107" s="35">
        <v>6850</v>
      </c>
      <c r="H107" s="35">
        <v>63.6</v>
      </c>
      <c r="I107" s="35">
        <v>941.2</v>
      </c>
      <c r="J107" s="35">
        <v>6.2269443263918403</v>
      </c>
      <c r="K107" s="35">
        <v>10.9175</v>
      </c>
      <c r="L107" s="35">
        <v>95.186666666666667</v>
      </c>
      <c r="M107" s="35">
        <v>1.159955376115597</v>
      </c>
      <c r="N107" s="35">
        <v>99.9</v>
      </c>
      <c r="O107" s="35">
        <v>49.413753</v>
      </c>
    </row>
    <row r="108" spans="1:15" x14ac:dyDescent="0.3">
      <c r="A108" s="35" t="s">
        <v>213</v>
      </c>
      <c r="B108" s="35">
        <v>2.9999999999999996</v>
      </c>
      <c r="C108" s="35">
        <v>840</v>
      </c>
      <c r="D108" s="36" t="s">
        <v>420</v>
      </c>
      <c r="E108" s="36" t="s">
        <v>414</v>
      </c>
      <c r="F108" s="35">
        <v>11.1</v>
      </c>
      <c r="G108" s="35">
        <v>7396</v>
      </c>
      <c r="H108" s="35">
        <v>58.96</v>
      </c>
      <c r="I108" s="35">
        <v>654.4</v>
      </c>
      <c r="J108" s="35">
        <v>9.1595354523227392</v>
      </c>
      <c r="K108" s="35">
        <v>7.5887500000000001</v>
      </c>
      <c r="L108" s="35">
        <v>61.599999999999994</v>
      </c>
      <c r="M108" s="35">
        <v>1.1596500611246945</v>
      </c>
      <c r="N108" s="35">
        <v>99.9</v>
      </c>
      <c r="O108" s="35">
        <v>49.413753</v>
      </c>
    </row>
    <row r="109" spans="1:15" x14ac:dyDescent="0.3">
      <c r="A109" s="35" t="s">
        <v>92</v>
      </c>
      <c r="B109" s="35">
        <v>5.9999999999999991</v>
      </c>
      <c r="C109" s="35">
        <v>420</v>
      </c>
      <c r="D109" s="36" t="s">
        <v>422</v>
      </c>
      <c r="E109" s="36" t="s">
        <v>414</v>
      </c>
      <c r="F109" s="35">
        <v>22.2</v>
      </c>
      <c r="G109" s="35">
        <v>8688</v>
      </c>
      <c r="H109" s="35">
        <v>54.86</v>
      </c>
      <c r="I109" s="35">
        <v>1218</v>
      </c>
      <c r="J109" s="35">
        <v>4.9211822660098523</v>
      </c>
      <c r="K109" s="35">
        <v>14.07375</v>
      </c>
      <c r="L109" s="35">
        <v>72.453333333333333</v>
      </c>
      <c r="M109" s="35">
        <v>1.1554802955665027</v>
      </c>
      <c r="N109" s="35">
        <v>99.9</v>
      </c>
      <c r="O109" s="35">
        <v>49.413753</v>
      </c>
    </row>
    <row r="110" spans="1:15" x14ac:dyDescent="0.3">
      <c r="A110" s="35" t="s">
        <v>92</v>
      </c>
      <c r="B110" s="35">
        <v>5</v>
      </c>
      <c r="C110" s="35">
        <v>420</v>
      </c>
      <c r="D110" s="36" t="s">
        <v>422</v>
      </c>
      <c r="E110" s="36" t="s">
        <v>412</v>
      </c>
      <c r="F110" s="35">
        <v>18.5</v>
      </c>
      <c r="G110" s="35">
        <v>7010</v>
      </c>
      <c r="H110" s="35">
        <v>64.14</v>
      </c>
      <c r="I110" s="35">
        <v>1186.4000000000001</v>
      </c>
      <c r="J110" s="35">
        <v>4.6780175320296689</v>
      </c>
      <c r="K110" s="35">
        <v>13.672499999999999</v>
      </c>
      <c r="L110" s="35">
        <v>68.199999999999989</v>
      </c>
      <c r="M110" s="35">
        <v>1.1524359406608227</v>
      </c>
      <c r="N110" s="35">
        <v>99.9</v>
      </c>
      <c r="O110" s="35">
        <v>49.413753</v>
      </c>
    </row>
    <row r="111" spans="1:15" x14ac:dyDescent="0.3">
      <c r="A111" s="35" t="s">
        <v>245</v>
      </c>
      <c r="B111" s="35">
        <v>5.9999999999999991</v>
      </c>
      <c r="C111" s="35">
        <v>300</v>
      </c>
      <c r="D111" s="36" t="s">
        <v>425</v>
      </c>
      <c r="E111" s="36" t="s">
        <v>418</v>
      </c>
      <c r="F111" s="35">
        <v>22.2</v>
      </c>
      <c r="G111" s="35">
        <v>5474</v>
      </c>
      <c r="H111" s="35">
        <v>60.24</v>
      </c>
      <c r="I111" s="35">
        <v>1337.4</v>
      </c>
      <c r="J111" s="35">
        <v>4.4818304172274566</v>
      </c>
      <c r="K111" s="35">
        <v>15.407999999999999</v>
      </c>
      <c r="L111" s="35">
        <v>76</v>
      </c>
      <c r="M111" s="35">
        <v>1.1520861372812921</v>
      </c>
      <c r="N111" s="35">
        <v>99.9</v>
      </c>
      <c r="O111" s="35">
        <v>49.413753</v>
      </c>
    </row>
    <row r="112" spans="1:15" x14ac:dyDescent="0.3">
      <c r="A112" s="35" t="s">
        <v>92</v>
      </c>
      <c r="B112" s="35">
        <v>5</v>
      </c>
      <c r="C112" s="35">
        <v>420</v>
      </c>
      <c r="D112" s="36" t="s">
        <v>422</v>
      </c>
      <c r="E112" s="36" t="s">
        <v>415</v>
      </c>
      <c r="F112" s="35">
        <v>18.5</v>
      </c>
      <c r="G112" s="35">
        <v>7195</v>
      </c>
      <c r="H112" s="35">
        <v>54.2</v>
      </c>
      <c r="I112" s="35">
        <v>1002.8</v>
      </c>
      <c r="J112" s="35">
        <v>5.5345033905065826</v>
      </c>
      <c r="K112" s="35">
        <v>11.53875</v>
      </c>
      <c r="L112" s="35">
        <v>79.933333333333323</v>
      </c>
      <c r="M112" s="35">
        <v>1.1506531711208616</v>
      </c>
      <c r="N112" s="35">
        <v>99.9</v>
      </c>
      <c r="O112" s="35">
        <v>49.413753</v>
      </c>
    </row>
    <row r="113" spans="1:15" x14ac:dyDescent="0.3">
      <c r="A113" s="35" t="s">
        <v>108</v>
      </c>
      <c r="B113" s="35">
        <v>5.9999999999999991</v>
      </c>
      <c r="C113" s="35">
        <v>310</v>
      </c>
      <c r="D113" s="36" t="s">
        <v>424</v>
      </c>
      <c r="E113" s="36" t="s">
        <v>415</v>
      </c>
      <c r="F113" s="35">
        <v>22.2</v>
      </c>
      <c r="G113" s="35">
        <v>6275</v>
      </c>
      <c r="H113" s="35">
        <v>61.56</v>
      </c>
      <c r="I113" s="35">
        <v>1366.6</v>
      </c>
      <c r="J113" s="35">
        <v>4.3860676130542959</v>
      </c>
      <c r="K113" s="35">
        <v>15.71</v>
      </c>
      <c r="L113" s="35">
        <v>69.666666666666657</v>
      </c>
      <c r="M113" s="35">
        <v>1.1495682716230062</v>
      </c>
      <c r="N113" s="35">
        <v>97.68</v>
      </c>
      <c r="O113" s="35">
        <v>46.848475000000001</v>
      </c>
    </row>
    <row r="114" spans="1:15" x14ac:dyDescent="0.3">
      <c r="A114" s="35" t="s">
        <v>92</v>
      </c>
      <c r="B114" s="35">
        <v>5</v>
      </c>
      <c r="C114" s="35">
        <v>420</v>
      </c>
      <c r="D114" s="36" t="s">
        <v>420</v>
      </c>
      <c r="E114" s="36" t="s">
        <v>415</v>
      </c>
      <c r="F114" s="35">
        <v>18.5</v>
      </c>
      <c r="G114" s="35">
        <v>7299</v>
      </c>
      <c r="H114" s="35">
        <v>48.86</v>
      </c>
      <c r="I114" s="35">
        <v>904</v>
      </c>
      <c r="J114" s="35">
        <v>6.1393805309734519</v>
      </c>
      <c r="K114" s="35">
        <v>10.38875</v>
      </c>
      <c r="L114" s="35">
        <v>81.106666666666655</v>
      </c>
      <c r="M114" s="35">
        <v>1.1491980088495575</v>
      </c>
      <c r="N114" s="35">
        <v>97.68</v>
      </c>
      <c r="O114" s="35">
        <v>46.848475000000001</v>
      </c>
    </row>
    <row r="115" spans="1:15" x14ac:dyDescent="0.3">
      <c r="A115" s="35" t="s">
        <v>92</v>
      </c>
      <c r="B115" s="35">
        <v>5</v>
      </c>
      <c r="C115" s="35">
        <v>420</v>
      </c>
      <c r="D115" s="36" t="s">
        <v>421</v>
      </c>
      <c r="E115" s="36" t="s">
        <v>415</v>
      </c>
      <c r="F115" s="35">
        <v>18.5</v>
      </c>
      <c r="G115" s="35">
        <v>7144</v>
      </c>
      <c r="H115" s="35">
        <v>54.62</v>
      </c>
      <c r="I115" s="35">
        <v>1010.6</v>
      </c>
      <c r="J115" s="35">
        <v>5.4917870571937462</v>
      </c>
      <c r="K115" s="35">
        <v>11.60125</v>
      </c>
      <c r="L115" s="35">
        <v>79.346666666666664</v>
      </c>
      <c r="M115" s="35">
        <v>1.1479566594102515</v>
      </c>
      <c r="N115" s="35">
        <v>97.68</v>
      </c>
      <c r="O115" s="35">
        <v>46.848475000000001</v>
      </c>
    </row>
    <row r="116" spans="1:15" x14ac:dyDescent="0.3">
      <c r="A116" s="35" t="s">
        <v>213</v>
      </c>
      <c r="B116" s="35">
        <v>2.9999999999999996</v>
      </c>
      <c r="C116" s="35">
        <v>840</v>
      </c>
      <c r="D116" s="36" t="s">
        <v>420</v>
      </c>
      <c r="E116" s="36">
        <v>8.5</v>
      </c>
      <c r="F116" s="35">
        <v>11.1</v>
      </c>
      <c r="G116" s="35">
        <v>7490</v>
      </c>
      <c r="H116" s="35">
        <v>56.76</v>
      </c>
      <c r="I116" s="35">
        <v>630</v>
      </c>
      <c r="J116" s="35">
        <v>9.514285714285716</v>
      </c>
      <c r="K116" s="35">
        <v>7.2312500000000002</v>
      </c>
      <c r="L116" s="35">
        <v>88.439999999999984</v>
      </c>
      <c r="M116" s="35">
        <v>1.1478174603174602</v>
      </c>
      <c r="N116" s="35">
        <v>97.68</v>
      </c>
      <c r="O116" s="35">
        <v>46.848475000000001</v>
      </c>
    </row>
    <row r="117" spans="1:15" x14ac:dyDescent="0.3">
      <c r="A117" s="35" t="s">
        <v>213</v>
      </c>
      <c r="B117" s="35">
        <v>2.9999999999999996</v>
      </c>
      <c r="C117" s="35">
        <v>840</v>
      </c>
      <c r="D117" s="36" t="s">
        <v>419</v>
      </c>
      <c r="E117" s="36" t="s">
        <v>412</v>
      </c>
      <c r="F117" s="35">
        <v>11.1</v>
      </c>
      <c r="G117" s="35">
        <v>7629</v>
      </c>
      <c r="H117" s="35">
        <v>53.62</v>
      </c>
      <c r="I117" s="35">
        <v>595.20000000000005</v>
      </c>
      <c r="J117" s="35">
        <v>10.070564516129032</v>
      </c>
      <c r="K117" s="35">
        <v>6.8162500000000001</v>
      </c>
      <c r="L117" s="35">
        <v>74.213333333333324</v>
      </c>
      <c r="M117" s="35">
        <v>1.1452032930107527</v>
      </c>
      <c r="N117" s="35">
        <v>97.68</v>
      </c>
      <c r="O117" s="35">
        <v>46.848475000000001</v>
      </c>
    </row>
    <row r="118" spans="1:15" x14ac:dyDescent="0.3">
      <c r="A118" s="35" t="s">
        <v>243</v>
      </c>
      <c r="B118" s="35">
        <v>5</v>
      </c>
      <c r="C118" s="35">
        <v>650</v>
      </c>
      <c r="D118" s="36" t="s">
        <v>421</v>
      </c>
      <c r="E118" s="36" t="s">
        <v>416</v>
      </c>
      <c r="F118" s="35">
        <v>18.5</v>
      </c>
      <c r="G118" s="35">
        <v>9844</v>
      </c>
      <c r="H118" s="35">
        <v>58.06</v>
      </c>
      <c r="I118" s="35">
        <v>1074.2</v>
      </c>
      <c r="J118" s="35">
        <v>5.1666356358220069</v>
      </c>
      <c r="K118" s="35">
        <v>12.284000000000001</v>
      </c>
      <c r="L118" s="35">
        <v>54.7</v>
      </c>
      <c r="M118" s="35">
        <v>1.1435486873952709</v>
      </c>
      <c r="N118" s="35">
        <v>97.68</v>
      </c>
      <c r="O118" s="35">
        <v>46.848475000000001</v>
      </c>
    </row>
    <row r="119" spans="1:15" x14ac:dyDescent="0.3">
      <c r="A119" s="35" t="s">
        <v>242</v>
      </c>
      <c r="B119" s="35">
        <v>4</v>
      </c>
      <c r="C119" s="35">
        <v>760</v>
      </c>
      <c r="D119" s="36" t="s">
        <v>420</v>
      </c>
      <c r="E119" s="36" t="s">
        <v>414</v>
      </c>
      <c r="F119" s="35">
        <v>14.8</v>
      </c>
      <c r="G119" s="35">
        <v>8572</v>
      </c>
      <c r="H119" s="35">
        <v>56.72</v>
      </c>
      <c r="I119" s="35">
        <v>839.4</v>
      </c>
      <c r="J119" s="35">
        <v>6.9821300929235175</v>
      </c>
      <c r="K119" s="35">
        <v>9.5980000000000008</v>
      </c>
      <c r="L119" s="35">
        <v>71.400000000000006</v>
      </c>
      <c r="M119" s="35">
        <v>1.1434357874672385</v>
      </c>
      <c r="N119" s="35">
        <v>97.68</v>
      </c>
      <c r="O119" s="35">
        <v>46.848475000000001</v>
      </c>
    </row>
    <row r="120" spans="1:15" x14ac:dyDescent="0.3">
      <c r="A120" s="35" t="s">
        <v>97</v>
      </c>
      <c r="B120" s="35">
        <v>5</v>
      </c>
      <c r="C120" s="35">
        <v>520</v>
      </c>
      <c r="D120" s="36" t="s">
        <v>422</v>
      </c>
      <c r="E120" s="36" t="s">
        <v>414</v>
      </c>
      <c r="F120" s="35">
        <v>18.5</v>
      </c>
      <c r="G120" s="35">
        <v>8659</v>
      </c>
      <c r="H120" s="35">
        <v>66.239999999999995</v>
      </c>
      <c r="I120" s="35">
        <v>1225.5999999999999</v>
      </c>
      <c r="J120" s="35">
        <v>4.5283942558746739</v>
      </c>
      <c r="K120" s="35">
        <v>14.008749999999999</v>
      </c>
      <c r="L120" s="35">
        <v>72.16</v>
      </c>
      <c r="M120" s="35">
        <v>1.1430115861618799</v>
      </c>
      <c r="N120" s="35">
        <v>97.68</v>
      </c>
      <c r="O120" s="35">
        <v>46.848475000000001</v>
      </c>
    </row>
    <row r="121" spans="1:15" x14ac:dyDescent="0.3">
      <c r="A121" s="35" t="s">
        <v>277</v>
      </c>
      <c r="B121" s="35">
        <v>2.9999999999999996</v>
      </c>
      <c r="C121" s="35">
        <v>890</v>
      </c>
      <c r="D121" s="36" t="s">
        <v>420</v>
      </c>
      <c r="E121" s="36" t="s">
        <v>414</v>
      </c>
      <c r="F121" s="35">
        <v>11.1</v>
      </c>
      <c r="G121" s="35">
        <v>7951</v>
      </c>
      <c r="H121" s="35">
        <v>71.900000000000006</v>
      </c>
      <c r="I121" s="35">
        <v>798.2</v>
      </c>
      <c r="J121" s="35">
        <v>7.509396141317966</v>
      </c>
      <c r="K121" s="35">
        <v>9.1059999999999999</v>
      </c>
      <c r="L121" s="35">
        <v>66.3</v>
      </c>
      <c r="M121" s="35">
        <v>1.1408168378852417</v>
      </c>
      <c r="N121" s="35">
        <v>97.68</v>
      </c>
      <c r="O121" s="35">
        <v>46.848475000000001</v>
      </c>
    </row>
    <row r="122" spans="1:15" x14ac:dyDescent="0.3">
      <c r="A122" s="35" t="s">
        <v>92</v>
      </c>
      <c r="B122" s="35">
        <v>5</v>
      </c>
      <c r="C122" s="35">
        <v>420</v>
      </c>
      <c r="D122" s="36" t="s">
        <v>422</v>
      </c>
      <c r="E122" s="36">
        <v>8.5</v>
      </c>
      <c r="F122" s="35">
        <v>18.5</v>
      </c>
      <c r="G122" s="35">
        <v>7117</v>
      </c>
      <c r="H122" s="35">
        <v>55.82</v>
      </c>
      <c r="I122" s="35">
        <v>1032.8</v>
      </c>
      <c r="J122" s="35">
        <v>5.3737412858249423</v>
      </c>
      <c r="K122" s="35">
        <v>11.755000000000001</v>
      </c>
      <c r="L122" s="35">
        <v>84.039999999999992</v>
      </c>
      <c r="M122" s="35">
        <v>1.1381680867544539</v>
      </c>
      <c r="N122" s="35">
        <v>97.68</v>
      </c>
      <c r="O122" s="35">
        <v>46.848475000000001</v>
      </c>
    </row>
    <row r="123" spans="1:15" x14ac:dyDescent="0.3">
      <c r="A123" s="35" t="s">
        <v>92</v>
      </c>
      <c r="B123" s="35">
        <v>5</v>
      </c>
      <c r="C123" s="35">
        <v>420</v>
      </c>
      <c r="D123" s="36" t="s">
        <v>424</v>
      </c>
      <c r="E123" s="36" t="s">
        <v>412</v>
      </c>
      <c r="F123" s="35">
        <v>18.5</v>
      </c>
      <c r="G123" s="35">
        <v>6838</v>
      </c>
      <c r="H123" s="35">
        <v>72.319999999999993</v>
      </c>
      <c r="I123" s="35">
        <v>1338</v>
      </c>
      <c r="J123" s="35">
        <v>4.1479820627802688</v>
      </c>
      <c r="K123" s="35">
        <v>15.2125</v>
      </c>
      <c r="L123" s="35">
        <v>66.44</v>
      </c>
      <c r="M123" s="35">
        <v>1.1369581464872947</v>
      </c>
      <c r="N123" s="35">
        <v>97.68</v>
      </c>
      <c r="O123" s="35">
        <v>46.848475000000001</v>
      </c>
    </row>
    <row r="124" spans="1:15" x14ac:dyDescent="0.3">
      <c r="A124" s="35" t="s">
        <v>216</v>
      </c>
      <c r="B124" s="35">
        <v>2.9999999999999996</v>
      </c>
      <c r="C124" s="35">
        <v>970</v>
      </c>
      <c r="D124" s="36" t="s">
        <v>419</v>
      </c>
      <c r="E124" s="36">
        <v>5.5</v>
      </c>
      <c r="F124" s="35">
        <v>11.1</v>
      </c>
      <c r="G124" s="35">
        <v>8756</v>
      </c>
      <c r="H124" s="35">
        <v>57.76</v>
      </c>
      <c r="I124" s="35">
        <v>641.20000000000005</v>
      </c>
      <c r="J124" s="35">
        <v>9.348097317529632</v>
      </c>
      <c r="K124" s="35">
        <v>7.2887500000000003</v>
      </c>
      <c r="L124" s="35">
        <v>66.88</v>
      </c>
      <c r="M124" s="35">
        <v>1.1367358078602621</v>
      </c>
      <c r="N124" s="35">
        <v>97.68</v>
      </c>
      <c r="O124" s="35">
        <v>46.848475000000001</v>
      </c>
    </row>
    <row r="125" spans="1:15" x14ac:dyDescent="0.3">
      <c r="A125" s="35" t="s">
        <v>243</v>
      </c>
      <c r="B125" s="35">
        <v>4</v>
      </c>
      <c r="C125" s="35">
        <v>650</v>
      </c>
      <c r="D125" s="36" t="s">
        <v>421</v>
      </c>
      <c r="E125" s="36">
        <v>6.5</v>
      </c>
      <c r="F125" s="35">
        <v>14.8</v>
      </c>
      <c r="G125" s="35">
        <v>7689</v>
      </c>
      <c r="H125" s="35">
        <v>64.180000000000007</v>
      </c>
      <c r="I125" s="35">
        <v>950</v>
      </c>
      <c r="J125" s="35">
        <v>6.1692631578947372</v>
      </c>
      <c r="K125" s="35">
        <v>10.794</v>
      </c>
      <c r="L125" s="35">
        <v>69.400000000000006</v>
      </c>
      <c r="M125" s="35">
        <v>1.1362105263157896</v>
      </c>
      <c r="N125" s="35">
        <v>97.68</v>
      </c>
      <c r="O125" s="35">
        <v>46.848475000000001</v>
      </c>
    </row>
    <row r="126" spans="1:15" x14ac:dyDescent="0.3">
      <c r="A126" s="35" t="s">
        <v>110</v>
      </c>
      <c r="B126" s="35">
        <v>5</v>
      </c>
      <c r="C126" s="35">
        <v>400</v>
      </c>
      <c r="D126" s="36" t="s">
        <v>422</v>
      </c>
      <c r="E126" s="36" t="s">
        <v>417</v>
      </c>
      <c r="F126" s="35">
        <v>18.5</v>
      </c>
      <c r="G126" s="35">
        <v>6729</v>
      </c>
      <c r="H126" s="35">
        <v>72.48</v>
      </c>
      <c r="I126" s="35">
        <v>1340.8</v>
      </c>
      <c r="J126" s="35">
        <v>4.139319809069212</v>
      </c>
      <c r="K126" s="35">
        <v>15.19</v>
      </c>
      <c r="L126" s="35">
        <v>84.039999999999992</v>
      </c>
      <c r="M126" s="35">
        <v>1.1329057279236276</v>
      </c>
      <c r="N126" s="35">
        <v>97.68</v>
      </c>
      <c r="O126" s="35">
        <v>46.848475000000001</v>
      </c>
    </row>
    <row r="127" spans="1:15" x14ac:dyDescent="0.3">
      <c r="A127" s="35" t="s">
        <v>277</v>
      </c>
      <c r="B127" s="35">
        <v>2.9999999999999996</v>
      </c>
      <c r="C127" s="35">
        <v>890</v>
      </c>
      <c r="D127" s="36" t="s">
        <v>418</v>
      </c>
      <c r="E127" s="36" t="s">
        <v>412</v>
      </c>
      <c r="F127" s="35">
        <v>11.1</v>
      </c>
      <c r="G127" s="35">
        <v>8435</v>
      </c>
      <c r="H127" s="35">
        <v>53.82</v>
      </c>
      <c r="I127" s="35">
        <v>597.4</v>
      </c>
      <c r="J127" s="35">
        <v>10.033478406427855</v>
      </c>
      <c r="K127" s="35">
        <v>6.758</v>
      </c>
      <c r="L127" s="35">
        <v>82</v>
      </c>
      <c r="M127" s="35">
        <v>1.1312353531971879</v>
      </c>
      <c r="N127" s="35">
        <v>92.5</v>
      </c>
      <c r="O127" s="35">
        <v>47.624503000000004</v>
      </c>
    </row>
    <row r="128" spans="1:15" x14ac:dyDescent="0.3">
      <c r="A128" s="35" t="s">
        <v>111</v>
      </c>
      <c r="B128" s="35">
        <v>4</v>
      </c>
      <c r="C128" s="35">
        <v>460</v>
      </c>
      <c r="D128" s="36" t="s">
        <v>424</v>
      </c>
      <c r="E128" s="36" t="s">
        <v>418</v>
      </c>
      <c r="F128" s="35">
        <v>14.8</v>
      </c>
      <c r="G128" s="35">
        <v>6164</v>
      </c>
      <c r="H128" s="35">
        <v>90.6</v>
      </c>
      <c r="I128" s="35">
        <v>1340.8</v>
      </c>
      <c r="J128" s="35">
        <v>4.371121718377089</v>
      </c>
      <c r="K128" s="35">
        <v>15.1625</v>
      </c>
      <c r="L128" s="35">
        <v>85.653333333333322</v>
      </c>
      <c r="M128" s="35">
        <v>1.1308547136038187</v>
      </c>
      <c r="N128" s="35">
        <v>92.5</v>
      </c>
      <c r="O128" s="35">
        <v>47.624503000000004</v>
      </c>
    </row>
    <row r="129" spans="1:15" x14ac:dyDescent="0.3">
      <c r="A129" s="35" t="s">
        <v>97</v>
      </c>
      <c r="B129" s="35">
        <v>4</v>
      </c>
      <c r="C129" s="35">
        <v>520</v>
      </c>
      <c r="D129" s="36" t="s">
        <v>423</v>
      </c>
      <c r="E129" s="36" t="s">
        <v>412</v>
      </c>
      <c r="F129" s="35">
        <v>14.8</v>
      </c>
      <c r="G129" s="35">
        <v>6511</v>
      </c>
      <c r="H129" s="35">
        <v>91.26</v>
      </c>
      <c r="I129" s="35">
        <v>1350.6</v>
      </c>
      <c r="J129" s="35">
        <v>4.3394047090182148</v>
      </c>
      <c r="K129" s="35">
        <v>15.265000000000001</v>
      </c>
      <c r="L129" s="35">
        <v>63.36</v>
      </c>
      <c r="M129" s="35">
        <v>1.1302384125573821</v>
      </c>
      <c r="N129" s="35">
        <v>92.5</v>
      </c>
      <c r="O129" s="35">
        <v>47.624503000000004</v>
      </c>
    </row>
    <row r="130" spans="1:15" x14ac:dyDescent="0.3">
      <c r="A130" s="35" t="s">
        <v>277</v>
      </c>
      <c r="B130" s="35">
        <v>2.9999999999999996</v>
      </c>
      <c r="C130" s="35">
        <v>890</v>
      </c>
      <c r="D130" s="36" t="s">
        <v>419</v>
      </c>
      <c r="E130" s="36" t="s">
        <v>412</v>
      </c>
      <c r="F130" s="35">
        <v>11.1</v>
      </c>
      <c r="G130" s="35">
        <v>8130</v>
      </c>
      <c r="H130" s="35">
        <v>64.84</v>
      </c>
      <c r="I130" s="35">
        <v>719.6</v>
      </c>
      <c r="J130" s="35">
        <v>8.3296275708727077</v>
      </c>
      <c r="K130" s="35">
        <v>8.0860000000000003</v>
      </c>
      <c r="L130" s="35">
        <v>79.099999999999994</v>
      </c>
      <c r="M130" s="35">
        <v>1.1236798221234019</v>
      </c>
      <c r="N130" s="35">
        <v>92.5</v>
      </c>
      <c r="O130" s="35">
        <v>47.624503000000004</v>
      </c>
    </row>
    <row r="131" spans="1:15" x14ac:dyDescent="0.3">
      <c r="A131" s="35" t="s">
        <v>260</v>
      </c>
      <c r="B131" s="35">
        <v>4</v>
      </c>
      <c r="C131" s="35">
        <v>470</v>
      </c>
      <c r="D131" s="36" t="s">
        <v>424</v>
      </c>
      <c r="E131" s="36" t="s">
        <v>418</v>
      </c>
      <c r="F131" s="35">
        <v>14.8</v>
      </c>
      <c r="G131" s="35">
        <v>5753</v>
      </c>
      <c r="H131" s="35">
        <v>83.2</v>
      </c>
      <c r="I131" s="35">
        <v>1231.4000000000001</v>
      </c>
      <c r="J131" s="35">
        <v>4.7594607763521202</v>
      </c>
      <c r="K131" s="35">
        <v>13.805999999999999</v>
      </c>
      <c r="L131" s="35">
        <v>79.900000000000006</v>
      </c>
      <c r="M131" s="35">
        <v>1.1211629040116939</v>
      </c>
      <c r="N131" s="35">
        <v>92.5</v>
      </c>
      <c r="O131" s="35">
        <v>47.624503000000004</v>
      </c>
    </row>
    <row r="132" spans="1:15" x14ac:dyDescent="0.3">
      <c r="A132" s="35" t="s">
        <v>97</v>
      </c>
      <c r="B132" s="35">
        <v>4</v>
      </c>
      <c r="C132" s="35">
        <v>520</v>
      </c>
      <c r="D132" s="36" t="s">
        <v>425</v>
      </c>
      <c r="E132" s="36" t="s">
        <v>414</v>
      </c>
      <c r="F132" s="35">
        <v>14.8</v>
      </c>
      <c r="G132" s="35">
        <v>6465</v>
      </c>
      <c r="H132" s="35">
        <v>94.98</v>
      </c>
      <c r="I132" s="35">
        <v>1405.6</v>
      </c>
      <c r="J132" s="35">
        <v>4.1696072851451342</v>
      </c>
      <c r="K132" s="35">
        <v>15.744999999999999</v>
      </c>
      <c r="L132" s="35">
        <v>53.826666666666668</v>
      </c>
      <c r="M132" s="35">
        <v>1.1201622083096188</v>
      </c>
      <c r="N132" s="35">
        <v>92.5</v>
      </c>
      <c r="O132" s="35">
        <v>47.624503000000004</v>
      </c>
    </row>
    <row r="133" spans="1:15" x14ac:dyDescent="0.3">
      <c r="A133" s="35" t="s">
        <v>92</v>
      </c>
      <c r="B133" s="35">
        <v>5</v>
      </c>
      <c r="C133" s="35">
        <v>420</v>
      </c>
      <c r="D133" s="36" t="s">
        <v>422</v>
      </c>
      <c r="E133" s="36" t="s">
        <v>418</v>
      </c>
      <c r="F133" s="35">
        <v>18.5</v>
      </c>
      <c r="G133" s="35">
        <v>7110</v>
      </c>
      <c r="H133" s="35">
        <v>56.24</v>
      </c>
      <c r="I133" s="35">
        <v>1040.4000000000001</v>
      </c>
      <c r="J133" s="35">
        <v>5.3344867358708186</v>
      </c>
      <c r="K133" s="35">
        <v>11.64875</v>
      </c>
      <c r="L133" s="35">
        <v>98.706666666666649</v>
      </c>
      <c r="M133" s="35">
        <v>1.1196414840445983</v>
      </c>
      <c r="N133" s="35">
        <v>92.5</v>
      </c>
      <c r="O133" s="35">
        <v>47.624503000000004</v>
      </c>
    </row>
    <row r="134" spans="1:15" x14ac:dyDescent="0.3">
      <c r="A134" s="35" t="s">
        <v>207</v>
      </c>
      <c r="B134" s="35">
        <v>2.9999999999999996</v>
      </c>
      <c r="C134" s="35">
        <v>850</v>
      </c>
      <c r="D134" s="36" t="s">
        <v>419</v>
      </c>
      <c r="E134" s="36" t="s">
        <v>414</v>
      </c>
      <c r="F134" s="35">
        <v>11.1</v>
      </c>
      <c r="G134" s="35">
        <v>8241</v>
      </c>
      <c r="H134" s="35">
        <v>47.28</v>
      </c>
      <c r="I134" s="35">
        <v>524.79999999999995</v>
      </c>
      <c r="J134" s="35">
        <v>11.421493902439027</v>
      </c>
      <c r="K134" s="35">
        <v>5.8724999999999996</v>
      </c>
      <c r="L134" s="35">
        <v>68.639999999999986</v>
      </c>
      <c r="M134" s="35">
        <v>1.1189977134146343</v>
      </c>
      <c r="N134" s="35">
        <v>92.5</v>
      </c>
      <c r="O134" s="35">
        <v>47.624503000000004</v>
      </c>
    </row>
    <row r="135" spans="1:15" x14ac:dyDescent="0.3">
      <c r="A135" s="35" t="s">
        <v>216</v>
      </c>
      <c r="B135" s="35">
        <v>2.9999999999999996</v>
      </c>
      <c r="C135" s="35">
        <v>970</v>
      </c>
      <c r="D135" s="36" t="s">
        <v>421</v>
      </c>
      <c r="E135" s="36">
        <v>5.5</v>
      </c>
      <c r="F135" s="35">
        <v>11.1</v>
      </c>
      <c r="G135" s="35">
        <v>8003</v>
      </c>
      <c r="H135" s="35">
        <v>76.22</v>
      </c>
      <c r="I135" s="35">
        <v>846</v>
      </c>
      <c r="J135" s="35">
        <v>7.085106382978724</v>
      </c>
      <c r="K135" s="35">
        <v>9.4662500000000005</v>
      </c>
      <c r="L135" s="35">
        <v>61.16</v>
      </c>
      <c r="M135" s="35">
        <v>1.1189420803782506</v>
      </c>
      <c r="N135" s="35">
        <v>92.5</v>
      </c>
      <c r="O135" s="35">
        <v>47.624503000000004</v>
      </c>
    </row>
    <row r="136" spans="1:15" x14ac:dyDescent="0.3">
      <c r="A136" s="35" t="s">
        <v>277</v>
      </c>
      <c r="B136" s="35">
        <v>2.9999999999999996</v>
      </c>
      <c r="C136" s="35">
        <v>890</v>
      </c>
      <c r="D136" s="36" t="s">
        <v>419</v>
      </c>
      <c r="E136" s="36" t="s">
        <v>412</v>
      </c>
      <c r="F136" s="35">
        <v>11.1</v>
      </c>
      <c r="G136" s="35">
        <v>8281</v>
      </c>
      <c r="H136" s="35">
        <v>59.42</v>
      </c>
      <c r="I136" s="35">
        <v>659.6</v>
      </c>
      <c r="J136" s="35">
        <v>9.0873256519102501</v>
      </c>
      <c r="K136" s="35">
        <v>7.3680000000000003</v>
      </c>
      <c r="L136" s="35">
        <v>80.5</v>
      </c>
      <c r="M136" s="35">
        <v>1.1170406306852638</v>
      </c>
      <c r="N136" s="35">
        <v>99.9</v>
      </c>
      <c r="O136" s="35">
        <v>52.033753000000004</v>
      </c>
    </row>
    <row r="137" spans="1:15" x14ac:dyDescent="0.3">
      <c r="A137" s="35" t="s">
        <v>244</v>
      </c>
      <c r="B137" s="35">
        <v>4</v>
      </c>
      <c r="C137" s="35">
        <v>610</v>
      </c>
      <c r="D137" s="36" t="s">
        <v>423</v>
      </c>
      <c r="E137" s="36" t="s">
        <v>415</v>
      </c>
      <c r="F137" s="35">
        <v>14.8</v>
      </c>
      <c r="G137" s="35">
        <v>7339</v>
      </c>
      <c r="H137" s="35">
        <v>89.46</v>
      </c>
      <c r="I137" s="35">
        <v>1324.2</v>
      </c>
      <c r="J137" s="35">
        <v>4.4259175351155422</v>
      </c>
      <c r="K137" s="35">
        <v>14.79</v>
      </c>
      <c r="L137" s="35">
        <v>81.5</v>
      </c>
      <c r="M137" s="35">
        <v>1.1169007702763931</v>
      </c>
      <c r="N137" s="35">
        <v>99.9</v>
      </c>
      <c r="O137" s="35">
        <v>52.033753000000004</v>
      </c>
    </row>
    <row r="138" spans="1:15" x14ac:dyDescent="0.3">
      <c r="A138" s="35" t="s">
        <v>108</v>
      </c>
      <c r="B138" s="35">
        <v>5.9999999999999991</v>
      </c>
      <c r="C138" s="35">
        <v>310</v>
      </c>
      <c r="D138" s="36" t="s">
        <v>424</v>
      </c>
      <c r="E138" s="36" t="s">
        <v>418</v>
      </c>
      <c r="F138" s="35">
        <v>22.2</v>
      </c>
      <c r="G138" s="35">
        <v>6285</v>
      </c>
      <c r="H138" s="35">
        <v>65.040000000000006</v>
      </c>
      <c r="I138" s="35">
        <v>1443.6</v>
      </c>
      <c r="J138" s="35">
        <v>4.1521197007481296</v>
      </c>
      <c r="K138" s="35">
        <v>16.0975</v>
      </c>
      <c r="L138" s="35">
        <v>87.266666666666666</v>
      </c>
      <c r="M138" s="35">
        <v>1.1150942089221392</v>
      </c>
      <c r="N138" s="35">
        <v>99.9</v>
      </c>
      <c r="O138" s="35">
        <v>52.033753000000004</v>
      </c>
    </row>
    <row r="139" spans="1:15" x14ac:dyDescent="0.3">
      <c r="A139" s="35" t="s">
        <v>213</v>
      </c>
      <c r="B139" s="35">
        <v>2.9999999999999996</v>
      </c>
      <c r="C139" s="35">
        <v>840</v>
      </c>
      <c r="D139" s="36" t="s">
        <v>421</v>
      </c>
      <c r="E139" s="36">
        <v>6.5</v>
      </c>
      <c r="F139" s="35">
        <v>11.1</v>
      </c>
      <c r="G139" s="35">
        <v>6950</v>
      </c>
      <c r="H139" s="35">
        <v>69.06</v>
      </c>
      <c r="I139" s="35">
        <v>766.4</v>
      </c>
      <c r="J139" s="35">
        <v>7.8209812108559511</v>
      </c>
      <c r="K139" s="35">
        <v>8.53125</v>
      </c>
      <c r="L139" s="35">
        <v>62.773333333333326</v>
      </c>
      <c r="M139" s="35">
        <v>1.1131589248434237</v>
      </c>
      <c r="N139" s="35">
        <v>99.9</v>
      </c>
      <c r="O139" s="35">
        <v>52.033753000000004</v>
      </c>
    </row>
    <row r="140" spans="1:15" x14ac:dyDescent="0.3">
      <c r="A140" s="35" t="s">
        <v>102</v>
      </c>
      <c r="B140" s="35">
        <v>4</v>
      </c>
      <c r="C140" s="35">
        <v>600</v>
      </c>
      <c r="D140" s="36" t="s">
        <v>423</v>
      </c>
      <c r="E140" s="36" t="s">
        <v>412</v>
      </c>
      <c r="F140" s="35">
        <v>14.8</v>
      </c>
      <c r="G140" s="35">
        <v>7799</v>
      </c>
      <c r="H140" s="35">
        <v>97.38</v>
      </c>
      <c r="I140" s="35">
        <v>1441.2</v>
      </c>
      <c r="J140" s="35">
        <v>4.0666111573688593</v>
      </c>
      <c r="K140" s="35">
        <v>16.02375</v>
      </c>
      <c r="L140" s="35">
        <v>75.826666666666668</v>
      </c>
      <c r="M140" s="35">
        <v>1.1118338884263115</v>
      </c>
      <c r="N140" s="35">
        <v>99.9</v>
      </c>
      <c r="O140" s="35">
        <v>52.033753000000004</v>
      </c>
    </row>
    <row r="141" spans="1:15" x14ac:dyDescent="0.3">
      <c r="A141" s="35" t="s">
        <v>116</v>
      </c>
      <c r="B141" s="35">
        <v>4</v>
      </c>
      <c r="C141" s="35">
        <v>540</v>
      </c>
      <c r="D141" s="36" t="s">
        <v>424</v>
      </c>
      <c r="E141" s="36" t="s">
        <v>412</v>
      </c>
      <c r="F141" s="35">
        <v>14.8</v>
      </c>
      <c r="G141" s="35">
        <v>7076</v>
      </c>
      <c r="H141" s="35">
        <v>98.68</v>
      </c>
      <c r="I141" s="35">
        <v>1460.6</v>
      </c>
      <c r="J141" s="35">
        <v>4.0125975626454888</v>
      </c>
      <c r="K141" s="35">
        <v>16.236249999999998</v>
      </c>
      <c r="L141" s="35">
        <v>68.786666666666662</v>
      </c>
      <c r="M141" s="35">
        <v>1.1116150896891688</v>
      </c>
      <c r="N141" s="35">
        <v>99.9</v>
      </c>
      <c r="O141" s="35">
        <v>52.033753000000004</v>
      </c>
    </row>
    <row r="142" spans="1:15" x14ac:dyDescent="0.3">
      <c r="A142" s="35" t="s">
        <v>254</v>
      </c>
      <c r="B142" s="35">
        <v>2.9999999999999996</v>
      </c>
      <c r="C142" s="35">
        <v>1080</v>
      </c>
      <c r="D142" s="36" t="s">
        <v>421</v>
      </c>
      <c r="E142" s="36" t="s">
        <v>416</v>
      </c>
      <c r="F142" s="35">
        <v>11.1</v>
      </c>
      <c r="G142" s="35">
        <v>9708</v>
      </c>
      <c r="H142" s="35">
        <v>92.02</v>
      </c>
      <c r="I142" s="35">
        <v>1021.4</v>
      </c>
      <c r="J142" s="35">
        <v>5.8684158997454476</v>
      </c>
      <c r="K142" s="35">
        <v>11.35</v>
      </c>
      <c r="L142" s="35">
        <v>54</v>
      </c>
      <c r="M142" s="35">
        <v>1.1112198942627767</v>
      </c>
      <c r="N142" s="35">
        <v>99.9</v>
      </c>
      <c r="O142" s="35">
        <v>52.033753000000004</v>
      </c>
    </row>
    <row r="143" spans="1:15" x14ac:dyDescent="0.3">
      <c r="A143" s="35" t="s">
        <v>213</v>
      </c>
      <c r="B143" s="35">
        <v>2.9999999999999996</v>
      </c>
      <c r="C143" s="35">
        <v>840</v>
      </c>
      <c r="D143" s="36" t="s">
        <v>420</v>
      </c>
      <c r="E143" s="36" t="s">
        <v>412</v>
      </c>
      <c r="F143" s="35">
        <v>11.1</v>
      </c>
      <c r="G143" s="35">
        <v>7468</v>
      </c>
      <c r="H143" s="35">
        <v>58.1</v>
      </c>
      <c r="I143" s="35">
        <v>645</v>
      </c>
      <c r="J143" s="35">
        <v>9.2930232558139529</v>
      </c>
      <c r="K143" s="35">
        <v>7.16</v>
      </c>
      <c r="L143" s="35">
        <v>72.599999999999994</v>
      </c>
      <c r="M143" s="35">
        <v>1.1100775193798449</v>
      </c>
      <c r="N143" s="35">
        <v>99.9</v>
      </c>
      <c r="O143" s="35">
        <v>52.033753000000004</v>
      </c>
    </row>
    <row r="144" spans="1:15" x14ac:dyDescent="0.3">
      <c r="A144" s="35" t="s">
        <v>242</v>
      </c>
      <c r="B144" s="35">
        <v>2.9999999999999996</v>
      </c>
      <c r="C144" s="35">
        <v>760</v>
      </c>
      <c r="D144" s="36" t="s">
        <v>423</v>
      </c>
      <c r="E144" s="36" t="s">
        <v>414</v>
      </c>
      <c r="F144" s="35">
        <v>11.1</v>
      </c>
      <c r="G144" s="35">
        <v>6063</v>
      </c>
      <c r="H144" s="35">
        <v>61.14</v>
      </c>
      <c r="I144" s="35">
        <v>678.6</v>
      </c>
      <c r="J144" s="35">
        <v>8.8328912466843494</v>
      </c>
      <c r="K144" s="35">
        <v>7.532</v>
      </c>
      <c r="L144" s="35">
        <v>50.5</v>
      </c>
      <c r="M144" s="35">
        <v>1.1099322133804892</v>
      </c>
      <c r="N144" s="35">
        <v>99.9</v>
      </c>
      <c r="O144" s="35">
        <v>52.033753000000004</v>
      </c>
    </row>
    <row r="145" spans="1:15" x14ac:dyDescent="0.3">
      <c r="A145" s="35" t="s">
        <v>241</v>
      </c>
      <c r="B145" s="35">
        <v>2.9999999999999996</v>
      </c>
      <c r="C145" s="35">
        <v>840</v>
      </c>
      <c r="D145" s="36" t="s">
        <v>419</v>
      </c>
      <c r="E145" s="36">
        <v>8.5</v>
      </c>
      <c r="F145" s="35">
        <v>11.1</v>
      </c>
      <c r="G145" s="35">
        <v>7147</v>
      </c>
      <c r="H145" s="35">
        <v>46.46</v>
      </c>
      <c r="I145" s="35">
        <v>516</v>
      </c>
      <c r="J145" s="35">
        <v>11.616279069767442</v>
      </c>
      <c r="K145" s="35">
        <v>5.726</v>
      </c>
      <c r="L145" s="35">
        <v>84.3</v>
      </c>
      <c r="M145" s="35">
        <v>1.1096899224806203</v>
      </c>
      <c r="N145" s="35">
        <v>99.9</v>
      </c>
      <c r="O145" s="35">
        <v>52.033753000000004</v>
      </c>
    </row>
    <row r="146" spans="1:15" x14ac:dyDescent="0.3">
      <c r="A146" s="35" t="s">
        <v>97</v>
      </c>
      <c r="B146" s="35">
        <v>4</v>
      </c>
      <c r="C146" s="35">
        <v>520</v>
      </c>
      <c r="D146" s="36" t="s">
        <v>423</v>
      </c>
      <c r="E146" s="36" t="s">
        <v>415</v>
      </c>
      <c r="F146" s="35">
        <v>14.8</v>
      </c>
      <c r="G146" s="35">
        <v>6750</v>
      </c>
      <c r="H146" s="35">
        <v>72.900000000000006</v>
      </c>
      <c r="I146" s="35">
        <v>1079</v>
      </c>
      <c r="J146" s="35">
        <v>5.431696014828546</v>
      </c>
      <c r="K146" s="35">
        <v>11.97125</v>
      </c>
      <c r="L146" s="35">
        <v>74.946666666666658</v>
      </c>
      <c r="M146" s="35">
        <v>1.1094763670064873</v>
      </c>
      <c r="N146" s="35">
        <v>99.9</v>
      </c>
      <c r="O146" s="35">
        <v>59.513753000000001</v>
      </c>
    </row>
    <row r="147" spans="1:15" x14ac:dyDescent="0.3">
      <c r="A147" s="35" t="s">
        <v>244</v>
      </c>
      <c r="B147" s="35">
        <v>4</v>
      </c>
      <c r="C147" s="35">
        <v>610</v>
      </c>
      <c r="D147" s="36" t="s">
        <v>420</v>
      </c>
      <c r="E147" s="36" t="s">
        <v>415</v>
      </c>
      <c r="F147" s="35">
        <v>14.8</v>
      </c>
      <c r="G147" s="35">
        <v>7646</v>
      </c>
      <c r="H147" s="35">
        <v>73.2</v>
      </c>
      <c r="I147" s="35">
        <v>1083.2</v>
      </c>
      <c r="J147" s="35">
        <v>5.4106351550960117</v>
      </c>
      <c r="K147" s="35">
        <v>12.002000000000001</v>
      </c>
      <c r="L147" s="35">
        <v>84.9</v>
      </c>
      <c r="M147" s="35">
        <v>1.10801329394387</v>
      </c>
      <c r="N147" s="35">
        <v>99.9</v>
      </c>
      <c r="O147" s="35">
        <v>59.513753000000001</v>
      </c>
    </row>
    <row r="148" spans="1:15" x14ac:dyDescent="0.3">
      <c r="A148" s="35" t="s">
        <v>244</v>
      </c>
      <c r="B148" s="35">
        <v>4</v>
      </c>
      <c r="C148" s="35">
        <v>610</v>
      </c>
      <c r="D148" s="36" t="s">
        <v>422</v>
      </c>
      <c r="E148" s="36" t="s">
        <v>412</v>
      </c>
      <c r="F148" s="35">
        <v>14.8</v>
      </c>
      <c r="G148" s="35">
        <v>7277</v>
      </c>
      <c r="H148" s="35">
        <v>93.88</v>
      </c>
      <c r="I148" s="35">
        <v>1389.4</v>
      </c>
      <c r="J148" s="35">
        <v>4.2182236936807254</v>
      </c>
      <c r="K148" s="35">
        <v>15.382</v>
      </c>
      <c r="L148" s="35">
        <v>70.7</v>
      </c>
      <c r="M148" s="35">
        <v>1.1070965884554484</v>
      </c>
      <c r="N148" s="35">
        <v>99.9</v>
      </c>
      <c r="O148" s="35">
        <v>59.513753000000001</v>
      </c>
    </row>
    <row r="149" spans="1:15" x14ac:dyDescent="0.3">
      <c r="A149" s="35" t="s">
        <v>260</v>
      </c>
      <c r="B149" s="35">
        <v>5.9999999999999991</v>
      </c>
      <c r="C149" s="35">
        <v>470</v>
      </c>
      <c r="D149" s="36" t="s">
        <v>422</v>
      </c>
      <c r="E149" s="36" t="s">
        <v>414</v>
      </c>
      <c r="F149" s="35">
        <v>22.2</v>
      </c>
      <c r="G149" s="35">
        <v>9194</v>
      </c>
      <c r="H149" s="35">
        <v>64.36</v>
      </c>
      <c r="I149" s="35">
        <v>1428.8</v>
      </c>
      <c r="J149" s="35">
        <v>4.1951287793952972</v>
      </c>
      <c r="K149" s="35">
        <v>15.814</v>
      </c>
      <c r="L149" s="35">
        <v>76.599999999999994</v>
      </c>
      <c r="M149" s="35">
        <v>1.1068029115341544</v>
      </c>
      <c r="N149" s="35">
        <v>99.9</v>
      </c>
      <c r="O149" s="35">
        <v>59.513753000000001</v>
      </c>
    </row>
    <row r="150" spans="1:15" x14ac:dyDescent="0.3">
      <c r="A150" s="35" t="s">
        <v>97</v>
      </c>
      <c r="B150" s="35">
        <v>4</v>
      </c>
      <c r="C150" s="35">
        <v>520</v>
      </c>
      <c r="D150" s="36" t="s">
        <v>422</v>
      </c>
      <c r="E150" s="36" t="s">
        <v>417</v>
      </c>
      <c r="F150" s="35">
        <v>14.8</v>
      </c>
      <c r="G150" s="35">
        <v>6543</v>
      </c>
      <c r="H150" s="35">
        <v>86.66</v>
      </c>
      <c r="I150" s="35">
        <v>1282.5999999999999</v>
      </c>
      <c r="J150" s="35">
        <v>4.5694682675814757</v>
      </c>
      <c r="K150" s="35">
        <v>14.19375</v>
      </c>
      <c r="L150" s="35">
        <v>81.839999999999989</v>
      </c>
      <c r="M150" s="35">
        <v>1.1066388585685327</v>
      </c>
      <c r="N150" s="35">
        <v>99.9</v>
      </c>
      <c r="O150" s="35">
        <v>59.513753000000001</v>
      </c>
    </row>
    <row r="151" spans="1:15" x14ac:dyDescent="0.3">
      <c r="A151" s="35" t="s">
        <v>216</v>
      </c>
      <c r="B151" s="35">
        <v>2.9999999999999996</v>
      </c>
      <c r="C151" s="35">
        <v>970</v>
      </c>
      <c r="D151" s="36" t="s">
        <v>419</v>
      </c>
      <c r="E151" s="36" t="s">
        <v>412</v>
      </c>
      <c r="F151" s="35">
        <v>11.1</v>
      </c>
      <c r="G151" s="35">
        <v>8457</v>
      </c>
      <c r="H151" s="35">
        <v>65.16</v>
      </c>
      <c r="I151" s="35">
        <v>723.2</v>
      </c>
      <c r="J151" s="35">
        <v>8.2881637168141591</v>
      </c>
      <c r="K151" s="35">
        <v>8.0024999999999995</v>
      </c>
      <c r="L151" s="35">
        <v>82.28</v>
      </c>
      <c r="M151" s="35">
        <v>1.1065403761061945</v>
      </c>
      <c r="N151" s="35">
        <v>99.9</v>
      </c>
      <c r="O151" s="35">
        <v>59.513753000000001</v>
      </c>
    </row>
    <row r="152" spans="1:15" x14ac:dyDescent="0.3">
      <c r="A152" s="35" t="s">
        <v>260</v>
      </c>
      <c r="B152" s="35">
        <v>5</v>
      </c>
      <c r="C152" s="35">
        <v>470</v>
      </c>
      <c r="D152" s="36" t="s">
        <v>422</v>
      </c>
      <c r="E152" s="36" t="s">
        <v>412</v>
      </c>
      <c r="F152" s="35">
        <v>18.5</v>
      </c>
      <c r="G152" s="35">
        <v>7632</v>
      </c>
      <c r="H152" s="35">
        <v>64.56</v>
      </c>
      <c r="I152" s="35">
        <v>1194.4000000000001</v>
      </c>
      <c r="J152" s="35">
        <v>4.6466845277963822</v>
      </c>
      <c r="K152" s="35">
        <v>13.206</v>
      </c>
      <c r="L152" s="35">
        <v>74.2</v>
      </c>
      <c r="M152" s="35">
        <v>1.1056597454789014</v>
      </c>
      <c r="N152" s="35">
        <v>99.9</v>
      </c>
      <c r="O152" s="35">
        <v>59.513753000000001</v>
      </c>
    </row>
    <row r="153" spans="1:15" x14ac:dyDescent="0.3">
      <c r="A153" s="35" t="s">
        <v>242</v>
      </c>
      <c r="B153" s="35">
        <v>5</v>
      </c>
      <c r="C153" s="35">
        <v>760</v>
      </c>
      <c r="D153" s="36" t="s">
        <v>421</v>
      </c>
      <c r="E153" s="36" t="s">
        <v>416</v>
      </c>
      <c r="F153" s="35">
        <v>18.5</v>
      </c>
      <c r="G153" s="35">
        <v>10735</v>
      </c>
      <c r="H153" s="35">
        <v>64.319999999999993</v>
      </c>
      <c r="I153" s="35">
        <v>1189.8</v>
      </c>
      <c r="J153" s="35">
        <v>4.6646495209278873</v>
      </c>
      <c r="K153" s="35">
        <v>13.092000000000001</v>
      </c>
      <c r="L153" s="35">
        <v>59.7</v>
      </c>
      <c r="M153" s="35">
        <v>1.1003530005042865</v>
      </c>
      <c r="N153" s="35">
        <v>99.9</v>
      </c>
      <c r="O153" s="35">
        <v>59.513753000000001</v>
      </c>
    </row>
    <row r="154" spans="1:15" x14ac:dyDescent="0.3">
      <c r="A154" s="35" t="s">
        <v>241</v>
      </c>
      <c r="B154" s="35">
        <v>4</v>
      </c>
      <c r="C154" s="35">
        <v>840</v>
      </c>
      <c r="D154" s="36" t="s">
        <v>418</v>
      </c>
      <c r="E154" s="36" t="s">
        <v>413</v>
      </c>
      <c r="F154" s="35">
        <v>14.8</v>
      </c>
      <c r="G154" s="35">
        <v>10171</v>
      </c>
      <c r="H154" s="35">
        <v>40.58</v>
      </c>
      <c r="I154" s="35">
        <v>600.4</v>
      </c>
      <c r="J154" s="35">
        <v>9.761492338441041</v>
      </c>
      <c r="K154" s="35">
        <v>6.6040000000000001</v>
      </c>
      <c r="L154" s="35">
        <v>70.7</v>
      </c>
      <c r="M154" s="35">
        <v>1.0999333777481679</v>
      </c>
      <c r="N154" s="35">
        <v>99.9</v>
      </c>
      <c r="O154" s="35">
        <v>59.513753000000001</v>
      </c>
    </row>
    <row r="155" spans="1:15" x14ac:dyDescent="0.3">
      <c r="A155" s="35" t="s">
        <v>207</v>
      </c>
      <c r="B155" s="35">
        <v>2.9999999999999996</v>
      </c>
      <c r="C155" s="35">
        <v>850</v>
      </c>
      <c r="D155" s="36" t="s">
        <v>419</v>
      </c>
      <c r="E155" s="36" t="s">
        <v>412</v>
      </c>
      <c r="F155" s="35">
        <v>11.1</v>
      </c>
      <c r="G155" s="35">
        <v>8205</v>
      </c>
      <c r="H155" s="35">
        <v>47.86</v>
      </c>
      <c r="I155" s="35">
        <v>531.20000000000005</v>
      </c>
      <c r="J155" s="35">
        <v>11.283885542168676</v>
      </c>
      <c r="K155" s="35">
        <v>5.8375000000000004</v>
      </c>
      <c r="L155" s="35">
        <v>79.786666666666662</v>
      </c>
      <c r="M155" s="35">
        <v>1.0989269578313252</v>
      </c>
      <c r="N155" s="35">
        <v>99.9</v>
      </c>
      <c r="O155" s="35">
        <v>59.513753000000001</v>
      </c>
    </row>
    <row r="156" spans="1:15" x14ac:dyDescent="0.3">
      <c r="A156" s="35" t="s">
        <v>244</v>
      </c>
      <c r="B156" s="35">
        <v>4</v>
      </c>
      <c r="C156" s="35">
        <v>610</v>
      </c>
      <c r="D156" s="36" t="s">
        <v>422</v>
      </c>
      <c r="E156" s="36" t="s">
        <v>412</v>
      </c>
      <c r="F156" s="35">
        <v>14.8</v>
      </c>
      <c r="G156" s="35">
        <v>7493</v>
      </c>
      <c r="H156" s="35">
        <v>81.38</v>
      </c>
      <c r="I156" s="35">
        <v>1204.4000000000001</v>
      </c>
      <c r="J156" s="35">
        <v>4.8661574227831288</v>
      </c>
      <c r="K156" s="35">
        <v>13.224</v>
      </c>
      <c r="L156" s="35">
        <v>72.900000000000006</v>
      </c>
      <c r="M156" s="35">
        <v>1.0979740949850547</v>
      </c>
      <c r="N156" s="35">
        <v>99.9</v>
      </c>
      <c r="O156" s="35">
        <v>59.513753000000001</v>
      </c>
    </row>
    <row r="157" spans="1:15" x14ac:dyDescent="0.3">
      <c r="A157" s="35" t="s">
        <v>216</v>
      </c>
      <c r="B157" s="35">
        <v>2.9999999999999996</v>
      </c>
      <c r="C157" s="35">
        <v>970</v>
      </c>
      <c r="D157" s="36" t="s">
        <v>419</v>
      </c>
      <c r="E157" s="36" t="s">
        <v>414</v>
      </c>
      <c r="F157" s="35">
        <v>11.1</v>
      </c>
      <c r="G157" s="35">
        <v>8828</v>
      </c>
      <c r="H157" s="35">
        <v>56.54</v>
      </c>
      <c r="I157" s="35">
        <v>627.6</v>
      </c>
      <c r="J157" s="35">
        <v>9.5506692160611859</v>
      </c>
      <c r="K157" s="35">
        <v>6.8787500000000001</v>
      </c>
      <c r="L157" s="35">
        <v>73.626666666666665</v>
      </c>
      <c r="M157" s="35">
        <v>1.0960404716379859</v>
      </c>
      <c r="N157" s="35">
        <v>99.9</v>
      </c>
      <c r="O157" s="35">
        <v>66.133752999999999</v>
      </c>
    </row>
    <row r="158" spans="1:15" x14ac:dyDescent="0.3">
      <c r="A158" s="35" t="s">
        <v>242</v>
      </c>
      <c r="B158" s="35">
        <v>2.9999999999999996</v>
      </c>
      <c r="C158" s="35">
        <v>760</v>
      </c>
      <c r="D158" s="36" t="s">
        <v>420</v>
      </c>
      <c r="E158" s="36" t="s">
        <v>418</v>
      </c>
      <c r="F158" s="35">
        <v>11.1</v>
      </c>
      <c r="G158" s="35">
        <v>6373</v>
      </c>
      <c r="H158" s="35">
        <v>50.52</v>
      </c>
      <c r="I158" s="35">
        <v>560.79999999999995</v>
      </c>
      <c r="J158" s="35">
        <v>10.688302425106992</v>
      </c>
      <c r="K158" s="35">
        <v>6.14</v>
      </c>
      <c r="L158" s="35">
        <v>88.6</v>
      </c>
      <c r="M158" s="35">
        <v>1.094864479315264</v>
      </c>
      <c r="N158" s="35">
        <v>99.9</v>
      </c>
      <c r="O158" s="35">
        <v>66.133752999999999</v>
      </c>
    </row>
    <row r="159" spans="1:15" x14ac:dyDescent="0.3">
      <c r="A159" s="35" t="s">
        <v>102</v>
      </c>
      <c r="B159" s="35">
        <v>4</v>
      </c>
      <c r="C159" s="35">
        <v>600</v>
      </c>
      <c r="D159" s="36" t="s">
        <v>423</v>
      </c>
      <c r="E159" s="36" t="s">
        <v>414</v>
      </c>
      <c r="F159" s="35">
        <v>14.8</v>
      </c>
      <c r="G159" s="35">
        <v>7784</v>
      </c>
      <c r="H159" s="35">
        <v>98.2</v>
      </c>
      <c r="I159" s="35">
        <v>1453.4</v>
      </c>
      <c r="J159" s="35">
        <v>4.0324755745149305</v>
      </c>
      <c r="K159" s="35">
        <v>15.9125</v>
      </c>
      <c r="L159" s="35">
        <v>64.826666666666668</v>
      </c>
      <c r="M159" s="35">
        <v>1.0948465666712535</v>
      </c>
      <c r="N159" s="35">
        <v>99.9</v>
      </c>
      <c r="O159" s="35">
        <v>66.133752999999999</v>
      </c>
    </row>
    <row r="160" spans="1:15" x14ac:dyDescent="0.3">
      <c r="A160" s="35" t="s">
        <v>244</v>
      </c>
      <c r="B160" s="35">
        <v>4</v>
      </c>
      <c r="C160" s="35">
        <v>610</v>
      </c>
      <c r="D160" s="36" t="s">
        <v>421</v>
      </c>
      <c r="E160" s="36" t="s">
        <v>415</v>
      </c>
      <c r="F160" s="35">
        <v>14.8</v>
      </c>
      <c r="G160" s="35">
        <v>7511</v>
      </c>
      <c r="H160" s="35">
        <v>80.98</v>
      </c>
      <c r="I160" s="35">
        <v>1198.5999999999999</v>
      </c>
      <c r="J160" s="35">
        <v>4.8897046554313368</v>
      </c>
      <c r="K160" s="35">
        <v>13.122</v>
      </c>
      <c r="L160" s="35">
        <v>83.5</v>
      </c>
      <c r="M160" s="35">
        <v>1.0947772401134659</v>
      </c>
      <c r="N160" s="35">
        <v>99.9</v>
      </c>
      <c r="O160" s="35">
        <v>66.133752999999999</v>
      </c>
    </row>
    <row r="161" spans="1:15" x14ac:dyDescent="0.3">
      <c r="A161" s="35" t="s">
        <v>260</v>
      </c>
      <c r="B161" s="35">
        <v>5</v>
      </c>
      <c r="C161" s="35">
        <v>470</v>
      </c>
      <c r="D161" s="36" t="s">
        <v>421</v>
      </c>
      <c r="E161" s="36" t="s">
        <v>415</v>
      </c>
      <c r="F161" s="35">
        <v>18.5</v>
      </c>
      <c r="G161" s="35">
        <v>7604</v>
      </c>
      <c r="H161" s="35">
        <v>65.3</v>
      </c>
      <c r="I161" s="35">
        <v>1208.2</v>
      </c>
      <c r="J161" s="35">
        <v>4.5936103294156601</v>
      </c>
      <c r="K161" s="35">
        <v>13.198</v>
      </c>
      <c r="L161" s="35">
        <v>84.5</v>
      </c>
      <c r="M161" s="35">
        <v>1.0923688131104121</v>
      </c>
      <c r="N161" s="35">
        <v>99.9</v>
      </c>
      <c r="O161" s="35">
        <v>66.133752999999999</v>
      </c>
    </row>
    <row r="162" spans="1:15" x14ac:dyDescent="0.3">
      <c r="A162" s="35" t="s">
        <v>244</v>
      </c>
      <c r="B162" s="35">
        <v>4</v>
      </c>
      <c r="C162" s="35">
        <v>610</v>
      </c>
      <c r="D162" s="36" t="s">
        <v>422</v>
      </c>
      <c r="E162" s="36">
        <v>8.5</v>
      </c>
      <c r="F162" s="35">
        <v>14.8</v>
      </c>
      <c r="G162" s="35">
        <v>7338</v>
      </c>
      <c r="H162" s="35">
        <v>82.86</v>
      </c>
      <c r="I162" s="35">
        <v>1226.2</v>
      </c>
      <c r="J162" s="35">
        <v>4.7796444299461749</v>
      </c>
      <c r="K162" s="35">
        <v>13.388</v>
      </c>
      <c r="L162" s="35">
        <v>86.7</v>
      </c>
      <c r="M162" s="35">
        <v>1.0918284129832001</v>
      </c>
      <c r="N162" s="35">
        <v>99.9</v>
      </c>
      <c r="O162" s="35">
        <v>66.133752999999999</v>
      </c>
    </row>
    <row r="163" spans="1:15" x14ac:dyDescent="0.3">
      <c r="A163" s="35" t="s">
        <v>213</v>
      </c>
      <c r="B163" s="35">
        <v>2.9999999999999996</v>
      </c>
      <c r="C163" s="35">
        <v>840</v>
      </c>
      <c r="D163" s="36" t="s">
        <v>419</v>
      </c>
      <c r="E163" s="36" t="s">
        <v>415</v>
      </c>
      <c r="F163" s="35">
        <v>11.1</v>
      </c>
      <c r="G163" s="35">
        <v>7463</v>
      </c>
      <c r="H163" s="35">
        <v>57.52</v>
      </c>
      <c r="I163" s="35">
        <v>638.6</v>
      </c>
      <c r="J163" s="35">
        <v>9.3861572189163791</v>
      </c>
      <c r="K163" s="35">
        <v>6.9662499999999996</v>
      </c>
      <c r="L163" s="35">
        <v>82.86666666666666</v>
      </c>
      <c r="M163" s="35">
        <v>1.0908628249295333</v>
      </c>
      <c r="N163" s="35">
        <v>99.9</v>
      </c>
      <c r="O163" s="35">
        <v>66.133752999999999</v>
      </c>
    </row>
    <row r="164" spans="1:15" x14ac:dyDescent="0.3">
      <c r="A164" s="35" t="s">
        <v>92</v>
      </c>
      <c r="B164" s="35">
        <v>5</v>
      </c>
      <c r="C164" s="35">
        <v>420</v>
      </c>
      <c r="D164" s="36" t="s">
        <v>423</v>
      </c>
      <c r="E164" s="36" t="s">
        <v>415</v>
      </c>
      <c r="F164" s="35">
        <v>18.5</v>
      </c>
      <c r="G164" s="35">
        <v>6984</v>
      </c>
      <c r="H164" s="35">
        <v>64.3</v>
      </c>
      <c r="I164" s="35">
        <v>1189.5999999999999</v>
      </c>
      <c r="J164" s="35">
        <v>4.665433759246806</v>
      </c>
      <c r="K164" s="35">
        <v>12.95</v>
      </c>
      <c r="L164" s="35">
        <v>77.586666666666659</v>
      </c>
      <c r="M164" s="35">
        <v>1.0886012104909213</v>
      </c>
      <c r="N164" s="35">
        <v>99.9</v>
      </c>
      <c r="O164" s="35">
        <v>39.233000000000004</v>
      </c>
    </row>
    <row r="165" spans="1:15" x14ac:dyDescent="0.3">
      <c r="A165" s="35" t="s">
        <v>213</v>
      </c>
      <c r="B165" s="35">
        <v>2.9999999999999996</v>
      </c>
      <c r="C165" s="35">
        <v>840</v>
      </c>
      <c r="D165" s="36" t="s">
        <v>422</v>
      </c>
      <c r="E165" s="36" t="s">
        <v>414</v>
      </c>
      <c r="F165" s="35">
        <v>11.1</v>
      </c>
      <c r="G165" s="35">
        <v>6843</v>
      </c>
      <c r="H165" s="35">
        <v>71.680000000000007</v>
      </c>
      <c r="I165" s="35">
        <v>795.6</v>
      </c>
      <c r="J165" s="35">
        <v>7.5339366515837103</v>
      </c>
      <c r="K165" s="35">
        <v>8.66</v>
      </c>
      <c r="L165" s="35">
        <v>57.053333333333327</v>
      </c>
      <c r="M165" s="35">
        <v>1.0884866767219707</v>
      </c>
      <c r="N165" s="35">
        <v>99.9</v>
      </c>
      <c r="O165" s="35">
        <v>39.233000000000004</v>
      </c>
    </row>
    <row r="166" spans="1:15" x14ac:dyDescent="0.3">
      <c r="A166" s="35" t="s">
        <v>260</v>
      </c>
      <c r="B166" s="35">
        <v>5</v>
      </c>
      <c r="C166" s="35">
        <v>470</v>
      </c>
      <c r="D166" s="36" t="s">
        <v>423</v>
      </c>
      <c r="E166" s="36" t="s">
        <v>415</v>
      </c>
      <c r="F166" s="35">
        <v>18.5</v>
      </c>
      <c r="G166" s="35">
        <v>7440</v>
      </c>
      <c r="H166" s="35">
        <v>74.98</v>
      </c>
      <c r="I166" s="35">
        <v>1387.2</v>
      </c>
      <c r="J166" s="35">
        <v>4.0008650519031148</v>
      </c>
      <c r="K166" s="35">
        <v>15.09</v>
      </c>
      <c r="L166" s="35">
        <v>82.7</v>
      </c>
      <c r="M166" s="35">
        <v>1.08780276816609</v>
      </c>
      <c r="N166" s="35">
        <v>99.9</v>
      </c>
      <c r="O166" s="35">
        <v>39.233000000000004</v>
      </c>
    </row>
    <row r="167" spans="1:15" x14ac:dyDescent="0.3">
      <c r="A167" s="35" t="s">
        <v>241</v>
      </c>
      <c r="B167" s="35">
        <v>4</v>
      </c>
      <c r="C167" s="35">
        <v>840</v>
      </c>
      <c r="D167" s="36" t="s">
        <v>418</v>
      </c>
      <c r="E167" s="36" t="s">
        <v>414</v>
      </c>
      <c r="F167" s="35">
        <v>14.8</v>
      </c>
      <c r="G167" s="35">
        <v>10048</v>
      </c>
      <c r="H167" s="35">
        <v>43.7</v>
      </c>
      <c r="I167" s="35">
        <v>646.6</v>
      </c>
      <c r="J167" s="35">
        <v>9.064027219300959</v>
      </c>
      <c r="K167" s="35">
        <v>7.032</v>
      </c>
      <c r="L167" s="35">
        <v>83.7</v>
      </c>
      <c r="M167" s="35">
        <v>1.0875347974017939</v>
      </c>
      <c r="N167" s="35">
        <v>97.68</v>
      </c>
      <c r="O167" s="35">
        <v>34.788474999999998</v>
      </c>
    </row>
    <row r="168" spans="1:15" x14ac:dyDescent="0.3">
      <c r="A168" s="35" t="s">
        <v>243</v>
      </c>
      <c r="B168" s="35">
        <v>4</v>
      </c>
      <c r="C168" s="35">
        <v>650</v>
      </c>
      <c r="D168" s="36" t="s">
        <v>420</v>
      </c>
      <c r="E168" s="36" t="s">
        <v>415</v>
      </c>
      <c r="F168" s="35">
        <v>14.8</v>
      </c>
      <c r="G168" s="35">
        <v>7503</v>
      </c>
      <c r="H168" s="35">
        <v>69.959999999999994</v>
      </c>
      <c r="I168" s="35">
        <v>1035.4000000000001</v>
      </c>
      <c r="J168" s="35">
        <v>5.6604210932972761</v>
      </c>
      <c r="K168" s="35">
        <v>11.252000000000001</v>
      </c>
      <c r="L168" s="35">
        <v>83.3</v>
      </c>
      <c r="M168" s="35">
        <v>1.0867297662739037</v>
      </c>
      <c r="N168" s="35">
        <v>97.68</v>
      </c>
      <c r="O168" s="35">
        <v>34.788474999999998</v>
      </c>
    </row>
    <row r="169" spans="1:15" x14ac:dyDescent="0.3">
      <c r="A169" s="35" t="s">
        <v>243</v>
      </c>
      <c r="B169" s="35">
        <v>4</v>
      </c>
      <c r="C169" s="35">
        <v>650</v>
      </c>
      <c r="D169" s="36" t="s">
        <v>422</v>
      </c>
      <c r="E169" s="36" t="s">
        <v>412</v>
      </c>
      <c r="F169" s="35">
        <v>14.8</v>
      </c>
      <c r="G169" s="35">
        <v>7317</v>
      </c>
      <c r="H169" s="35">
        <v>76.959999999999994</v>
      </c>
      <c r="I169" s="35">
        <v>1139</v>
      </c>
      <c r="J169" s="35">
        <v>5.1455662862159794</v>
      </c>
      <c r="K169" s="35">
        <v>12.35</v>
      </c>
      <c r="L169" s="35">
        <v>71.099999999999994</v>
      </c>
      <c r="M169" s="35">
        <v>1.0842844600526778</v>
      </c>
      <c r="N169" s="35">
        <v>97.68</v>
      </c>
      <c r="O169" s="35">
        <v>34.788474999999998</v>
      </c>
    </row>
    <row r="170" spans="1:15" x14ac:dyDescent="0.3">
      <c r="A170" s="35" t="s">
        <v>213</v>
      </c>
      <c r="B170" s="35">
        <v>2.9999999999999996</v>
      </c>
      <c r="C170" s="35">
        <v>840</v>
      </c>
      <c r="D170" s="36" t="s">
        <v>421</v>
      </c>
      <c r="E170" s="36" t="s">
        <v>415</v>
      </c>
      <c r="F170" s="35">
        <v>11.1</v>
      </c>
      <c r="G170" s="35">
        <v>7086</v>
      </c>
      <c r="H170" s="35">
        <v>66.78</v>
      </c>
      <c r="I170" s="35">
        <v>741.2</v>
      </c>
      <c r="J170" s="35">
        <v>8.0868861305990283</v>
      </c>
      <c r="K170" s="35">
        <v>8.0287500000000005</v>
      </c>
      <c r="L170" s="35">
        <v>78.760000000000005</v>
      </c>
      <c r="M170" s="35">
        <v>1.0832096600107932</v>
      </c>
      <c r="N170" s="35">
        <v>97.68</v>
      </c>
      <c r="O170" s="35">
        <v>34.788474999999998</v>
      </c>
    </row>
    <row r="171" spans="1:15" x14ac:dyDescent="0.3">
      <c r="A171" s="35" t="s">
        <v>111</v>
      </c>
      <c r="B171" s="35">
        <v>4</v>
      </c>
      <c r="C171" s="35">
        <v>460</v>
      </c>
      <c r="D171" s="36" t="s">
        <v>423</v>
      </c>
      <c r="E171" s="36" t="s">
        <v>418</v>
      </c>
      <c r="F171" s="35">
        <v>14.8</v>
      </c>
      <c r="G171" s="35">
        <v>6200</v>
      </c>
      <c r="H171" s="35">
        <v>79.180000000000007</v>
      </c>
      <c r="I171" s="35">
        <v>1171.8</v>
      </c>
      <c r="J171" s="35">
        <v>5.0015360983102921</v>
      </c>
      <c r="K171" s="35">
        <v>12.68125</v>
      </c>
      <c r="L171" s="35">
        <v>86.093333333333334</v>
      </c>
      <c r="M171" s="35">
        <v>1.0822025942993685</v>
      </c>
      <c r="N171" s="35">
        <v>97.68</v>
      </c>
      <c r="O171" s="35">
        <v>34.788474999999998</v>
      </c>
    </row>
    <row r="172" spans="1:15" x14ac:dyDescent="0.3">
      <c r="A172" s="35" t="s">
        <v>277</v>
      </c>
      <c r="B172" s="35">
        <v>2.9999999999999996</v>
      </c>
      <c r="C172" s="35">
        <v>890</v>
      </c>
      <c r="D172" s="36" t="s">
        <v>418</v>
      </c>
      <c r="E172" s="36" t="s">
        <v>412</v>
      </c>
      <c r="F172" s="35">
        <v>11.1</v>
      </c>
      <c r="G172" s="35">
        <v>8636</v>
      </c>
      <c r="H172" s="35">
        <v>46.34</v>
      </c>
      <c r="I172" s="35">
        <v>514.4</v>
      </c>
      <c r="J172" s="35">
        <v>11.652410575427684</v>
      </c>
      <c r="K172" s="35">
        <v>5.5659999999999998</v>
      </c>
      <c r="L172" s="35">
        <v>83.9</v>
      </c>
      <c r="M172" s="35">
        <v>1.0820373250388804</v>
      </c>
      <c r="N172" s="35">
        <v>92.5</v>
      </c>
      <c r="O172" s="35">
        <v>35.564503000000002</v>
      </c>
    </row>
    <row r="173" spans="1:15" x14ac:dyDescent="0.3">
      <c r="A173" s="35" t="s">
        <v>243</v>
      </c>
      <c r="B173" s="35">
        <v>4</v>
      </c>
      <c r="C173" s="35">
        <v>650</v>
      </c>
      <c r="D173" s="36" t="s">
        <v>421</v>
      </c>
      <c r="E173" s="36" t="s">
        <v>415</v>
      </c>
      <c r="F173" s="35">
        <v>14.8</v>
      </c>
      <c r="G173" s="35">
        <v>7388</v>
      </c>
      <c r="H173" s="35">
        <v>77.36</v>
      </c>
      <c r="I173" s="35">
        <v>1144.8</v>
      </c>
      <c r="J173" s="35">
        <v>5.119496855345913</v>
      </c>
      <c r="K173" s="35">
        <v>12.385999999999999</v>
      </c>
      <c r="L173" s="35">
        <v>82.1</v>
      </c>
      <c r="M173" s="35">
        <v>1.0819357092941997</v>
      </c>
      <c r="N173" s="35">
        <v>92.5</v>
      </c>
      <c r="O173" s="35">
        <v>35.564503000000002</v>
      </c>
    </row>
    <row r="174" spans="1:15" x14ac:dyDescent="0.3">
      <c r="A174" s="35" t="s">
        <v>102</v>
      </c>
      <c r="B174" s="35">
        <v>4</v>
      </c>
      <c r="C174" s="35">
        <v>600</v>
      </c>
      <c r="D174" s="36" t="s">
        <v>421</v>
      </c>
      <c r="E174" s="36">
        <v>6.5</v>
      </c>
      <c r="F174" s="35">
        <v>14.8</v>
      </c>
      <c r="G174" s="35">
        <v>8075</v>
      </c>
      <c r="H174" s="35">
        <v>72.34</v>
      </c>
      <c r="I174" s="35">
        <v>1070.5999999999999</v>
      </c>
      <c r="J174" s="35">
        <v>5.4743134690827588</v>
      </c>
      <c r="K174" s="35">
        <v>11.57</v>
      </c>
      <c r="L174" s="35">
        <v>72.893333333333331</v>
      </c>
      <c r="M174" s="35">
        <v>1.080702409863628</v>
      </c>
      <c r="N174" s="35">
        <v>92.5</v>
      </c>
      <c r="O174" s="35">
        <v>35.564503000000002</v>
      </c>
    </row>
    <row r="175" spans="1:15" x14ac:dyDescent="0.3">
      <c r="A175" s="35" t="s">
        <v>216</v>
      </c>
      <c r="B175" s="35">
        <v>2.9999999999999996</v>
      </c>
      <c r="C175" s="35">
        <v>970</v>
      </c>
      <c r="D175" s="36" t="s">
        <v>420</v>
      </c>
      <c r="E175" s="36" t="s">
        <v>414</v>
      </c>
      <c r="F175" s="35">
        <v>11.1</v>
      </c>
      <c r="G175" s="35">
        <v>8184</v>
      </c>
      <c r="H175" s="35">
        <v>72.06</v>
      </c>
      <c r="I175" s="35">
        <v>800</v>
      </c>
      <c r="J175" s="35">
        <v>7.4925000000000006</v>
      </c>
      <c r="K175" s="35">
        <v>8.6425000000000001</v>
      </c>
      <c r="L175" s="35">
        <v>68.199999999999989</v>
      </c>
      <c r="M175" s="35">
        <v>1.0803125</v>
      </c>
      <c r="N175" s="35">
        <v>99.9</v>
      </c>
      <c r="O175" s="35">
        <v>41.353000000000002</v>
      </c>
    </row>
    <row r="176" spans="1:15" x14ac:dyDescent="0.3">
      <c r="A176" s="35" t="s">
        <v>260</v>
      </c>
      <c r="B176" s="35">
        <v>4</v>
      </c>
      <c r="C176" s="35">
        <v>470</v>
      </c>
      <c r="D176" s="36" t="s">
        <v>423</v>
      </c>
      <c r="E176" s="36" t="s">
        <v>418</v>
      </c>
      <c r="F176" s="35">
        <v>14.8</v>
      </c>
      <c r="G176" s="35">
        <v>5928</v>
      </c>
      <c r="H176" s="35">
        <v>72.38</v>
      </c>
      <c r="I176" s="35">
        <v>1071.2</v>
      </c>
      <c r="J176" s="35">
        <v>5.4712471994025398</v>
      </c>
      <c r="K176" s="35">
        <v>11.53</v>
      </c>
      <c r="L176" s="35">
        <v>82.3</v>
      </c>
      <c r="M176" s="35">
        <v>1.0763629574309186</v>
      </c>
      <c r="N176" s="35">
        <v>99.9</v>
      </c>
      <c r="O176" s="35">
        <v>41.353000000000002</v>
      </c>
    </row>
    <row r="177" spans="1:15" x14ac:dyDescent="0.3">
      <c r="A177" s="35" t="s">
        <v>105</v>
      </c>
      <c r="B177" s="35">
        <v>4</v>
      </c>
      <c r="C177" s="35">
        <v>700</v>
      </c>
      <c r="D177" s="36" t="s">
        <v>422</v>
      </c>
      <c r="E177" s="36" t="s">
        <v>414</v>
      </c>
      <c r="F177" s="35">
        <v>14.8</v>
      </c>
      <c r="G177" s="35">
        <v>9045</v>
      </c>
      <c r="H177" s="35">
        <v>95.3</v>
      </c>
      <c r="I177" s="35">
        <v>1410.4</v>
      </c>
      <c r="J177" s="35">
        <v>4.1554169030062393</v>
      </c>
      <c r="K177" s="35">
        <v>15.17625</v>
      </c>
      <c r="L177" s="35">
        <v>75.386666666666656</v>
      </c>
      <c r="M177" s="35">
        <v>1.076024532047646</v>
      </c>
      <c r="N177" s="35">
        <v>99.9</v>
      </c>
      <c r="O177" s="35">
        <v>41.353000000000002</v>
      </c>
    </row>
    <row r="178" spans="1:15" x14ac:dyDescent="0.3">
      <c r="A178" s="35" t="s">
        <v>111</v>
      </c>
      <c r="B178" s="35">
        <v>4</v>
      </c>
      <c r="C178" s="35">
        <v>460</v>
      </c>
      <c r="D178" s="36" t="s">
        <v>424</v>
      </c>
      <c r="E178" s="36" t="s">
        <v>418</v>
      </c>
      <c r="F178" s="35">
        <v>14.8</v>
      </c>
      <c r="G178" s="35">
        <v>6061</v>
      </c>
      <c r="H178" s="35">
        <v>95.78</v>
      </c>
      <c r="I178" s="35">
        <v>1417.4</v>
      </c>
      <c r="J178" s="35">
        <v>4.1348948779455341</v>
      </c>
      <c r="K178" s="35">
        <v>15.23</v>
      </c>
      <c r="L178" s="35">
        <v>84.186666666666653</v>
      </c>
      <c r="M178" s="35">
        <v>1.074502610413433</v>
      </c>
      <c r="N178" s="35">
        <v>99.9</v>
      </c>
      <c r="O178" s="35">
        <v>41.353000000000002</v>
      </c>
    </row>
    <row r="179" spans="1:15" x14ac:dyDescent="0.3">
      <c r="A179" s="35" t="s">
        <v>242</v>
      </c>
      <c r="B179" s="35">
        <v>4</v>
      </c>
      <c r="C179" s="35">
        <v>760</v>
      </c>
      <c r="D179" s="36" t="s">
        <v>419</v>
      </c>
      <c r="E179" s="36" t="s">
        <v>412</v>
      </c>
      <c r="F179" s="35">
        <v>14.8</v>
      </c>
      <c r="G179" s="35">
        <v>8764</v>
      </c>
      <c r="H179" s="35">
        <v>52.02</v>
      </c>
      <c r="I179" s="35">
        <v>770</v>
      </c>
      <c r="J179" s="35">
        <v>7.6114285714285721</v>
      </c>
      <c r="K179" s="35">
        <v>8.2680000000000007</v>
      </c>
      <c r="L179" s="35">
        <v>85.2</v>
      </c>
      <c r="M179" s="35">
        <v>1.0737662337662339</v>
      </c>
      <c r="N179" s="35">
        <v>99.9</v>
      </c>
      <c r="O179" s="35">
        <v>41.353000000000002</v>
      </c>
    </row>
    <row r="180" spans="1:15" x14ac:dyDescent="0.3">
      <c r="A180" s="35" t="s">
        <v>242</v>
      </c>
      <c r="B180" s="35">
        <v>2.9999999999999996</v>
      </c>
      <c r="C180" s="35">
        <v>760</v>
      </c>
      <c r="D180" s="36" t="s">
        <v>421</v>
      </c>
      <c r="E180" s="36" t="s">
        <v>418</v>
      </c>
      <c r="F180" s="35">
        <v>11.1</v>
      </c>
      <c r="G180" s="35">
        <v>6061</v>
      </c>
      <c r="H180" s="35">
        <v>61.08</v>
      </c>
      <c r="I180" s="35">
        <v>678</v>
      </c>
      <c r="J180" s="35">
        <v>8.8407079646017692</v>
      </c>
      <c r="K180" s="35">
        <v>7.2779999999999996</v>
      </c>
      <c r="L180" s="35">
        <v>84.2</v>
      </c>
      <c r="M180" s="35">
        <v>1.0734513274336281</v>
      </c>
      <c r="N180" s="35">
        <v>99.9</v>
      </c>
      <c r="O180" s="35">
        <v>41.353000000000002</v>
      </c>
    </row>
    <row r="181" spans="1:15" x14ac:dyDescent="0.3">
      <c r="A181" s="35" t="s">
        <v>241</v>
      </c>
      <c r="B181" s="35">
        <v>4</v>
      </c>
      <c r="C181" s="35">
        <v>840</v>
      </c>
      <c r="D181" s="36" t="s">
        <v>419</v>
      </c>
      <c r="E181" s="36">
        <v>5.5</v>
      </c>
      <c r="F181" s="35">
        <v>14.8</v>
      </c>
      <c r="G181" s="35">
        <v>9583</v>
      </c>
      <c r="H181" s="35">
        <v>55.14</v>
      </c>
      <c r="I181" s="35">
        <v>816</v>
      </c>
      <c r="J181" s="35">
        <v>7.1823529411764717</v>
      </c>
      <c r="K181" s="35">
        <v>8.7520000000000007</v>
      </c>
      <c r="L181" s="35">
        <v>73.2</v>
      </c>
      <c r="M181" s="35">
        <v>1.0725490196078431</v>
      </c>
      <c r="N181" s="35">
        <v>99.9</v>
      </c>
      <c r="O181" s="35">
        <v>41.353000000000002</v>
      </c>
    </row>
    <row r="182" spans="1:15" x14ac:dyDescent="0.3">
      <c r="A182" s="35" t="s">
        <v>207</v>
      </c>
      <c r="B182" s="35">
        <v>2.9999999999999996</v>
      </c>
      <c r="C182" s="35">
        <v>850</v>
      </c>
      <c r="D182" s="36" t="s">
        <v>419</v>
      </c>
      <c r="E182" s="36" t="s">
        <v>415</v>
      </c>
      <c r="F182" s="35">
        <v>11.1</v>
      </c>
      <c r="G182" s="35">
        <v>8044</v>
      </c>
      <c r="H182" s="35">
        <v>50.9</v>
      </c>
      <c r="I182" s="35">
        <v>565</v>
      </c>
      <c r="J182" s="35">
        <v>10.608849557522126</v>
      </c>
      <c r="K182" s="35">
        <v>6.05375</v>
      </c>
      <c r="L182" s="35">
        <v>89.32</v>
      </c>
      <c r="M182" s="35">
        <v>1.0714601769911505</v>
      </c>
      <c r="N182" s="35">
        <v>99.9</v>
      </c>
      <c r="O182" s="35">
        <v>41.353000000000002</v>
      </c>
    </row>
    <row r="183" spans="1:15" x14ac:dyDescent="0.3">
      <c r="A183" s="35" t="s">
        <v>97</v>
      </c>
      <c r="B183" s="35">
        <v>4</v>
      </c>
      <c r="C183" s="35">
        <v>520</v>
      </c>
      <c r="D183" s="36" t="s">
        <v>424</v>
      </c>
      <c r="E183" s="36" t="s">
        <v>415</v>
      </c>
      <c r="F183" s="35">
        <v>14.8</v>
      </c>
      <c r="G183" s="35">
        <v>6479</v>
      </c>
      <c r="H183" s="35">
        <v>94.1</v>
      </c>
      <c r="I183" s="35">
        <v>1392.8</v>
      </c>
      <c r="J183" s="35">
        <v>4.2079264790350379</v>
      </c>
      <c r="K183" s="35">
        <v>14.907500000000001</v>
      </c>
      <c r="L183" s="35">
        <v>72.013333333333335</v>
      </c>
      <c r="M183" s="35">
        <v>1.0703259620907524</v>
      </c>
      <c r="N183" s="35">
        <v>99.9</v>
      </c>
      <c r="O183" s="35">
        <v>41.353000000000002</v>
      </c>
    </row>
    <row r="184" spans="1:15" x14ac:dyDescent="0.3">
      <c r="A184" s="35" t="s">
        <v>216</v>
      </c>
      <c r="B184" s="35">
        <v>2.9999999999999996</v>
      </c>
      <c r="C184" s="35">
        <v>970</v>
      </c>
      <c r="D184" s="36" t="s">
        <v>419</v>
      </c>
      <c r="E184" s="36" t="s">
        <v>412</v>
      </c>
      <c r="F184" s="35">
        <v>11.1</v>
      </c>
      <c r="G184" s="35">
        <v>8790</v>
      </c>
      <c r="H184" s="35">
        <v>57.1</v>
      </c>
      <c r="I184" s="35">
        <v>633.79999999999995</v>
      </c>
      <c r="J184" s="35">
        <v>9.4572420321868123</v>
      </c>
      <c r="K184" s="35">
        <v>6.7725</v>
      </c>
      <c r="L184" s="35">
        <v>85.506666666666661</v>
      </c>
      <c r="M184" s="35">
        <v>1.0685547491322185</v>
      </c>
      <c r="N184" s="35">
        <v>97.68</v>
      </c>
      <c r="O184" s="35">
        <v>36.908474999999996</v>
      </c>
    </row>
    <row r="185" spans="1:15" x14ac:dyDescent="0.3">
      <c r="A185" s="35" t="s">
        <v>213</v>
      </c>
      <c r="B185" s="35">
        <v>2.9999999999999996</v>
      </c>
      <c r="C185" s="35">
        <v>840</v>
      </c>
      <c r="D185" s="36" t="s">
        <v>419</v>
      </c>
      <c r="E185" s="36" t="s">
        <v>415</v>
      </c>
      <c r="F185" s="35">
        <v>11.1</v>
      </c>
      <c r="G185" s="35">
        <v>7658</v>
      </c>
      <c r="H185" s="35">
        <v>52.8</v>
      </c>
      <c r="I185" s="35">
        <v>586.20000000000005</v>
      </c>
      <c r="J185" s="35">
        <v>10.225179119754349</v>
      </c>
      <c r="K185" s="35">
        <v>6.2525000000000004</v>
      </c>
      <c r="L185" s="35">
        <v>85.066666666666663</v>
      </c>
      <c r="M185" s="35">
        <v>1.0666154895939952</v>
      </c>
      <c r="N185" s="35">
        <v>97.68</v>
      </c>
      <c r="O185" s="35">
        <v>36.908474999999996</v>
      </c>
    </row>
    <row r="186" spans="1:15" x14ac:dyDescent="0.3">
      <c r="A186" s="35" t="s">
        <v>102</v>
      </c>
      <c r="B186" s="35">
        <v>4</v>
      </c>
      <c r="C186" s="35">
        <v>600</v>
      </c>
      <c r="D186" s="36" t="s">
        <v>422</v>
      </c>
      <c r="E186" s="36" t="s">
        <v>414</v>
      </c>
      <c r="F186" s="35">
        <v>14.8</v>
      </c>
      <c r="G186" s="35">
        <v>8031</v>
      </c>
      <c r="H186" s="35">
        <v>75.319999999999993</v>
      </c>
      <c r="I186" s="35">
        <v>1114.8</v>
      </c>
      <c r="J186" s="35">
        <v>5.2572658772874066</v>
      </c>
      <c r="K186" s="35">
        <v>11.8825</v>
      </c>
      <c r="L186" s="35">
        <v>66.88</v>
      </c>
      <c r="M186" s="35">
        <v>1.0658862576246861</v>
      </c>
      <c r="N186" s="35">
        <v>97.68</v>
      </c>
      <c r="O186" s="35">
        <v>36.908474999999996</v>
      </c>
    </row>
    <row r="187" spans="1:15" x14ac:dyDescent="0.3">
      <c r="A187" s="35" t="s">
        <v>207</v>
      </c>
      <c r="B187" s="35">
        <v>2.9999999999999996</v>
      </c>
      <c r="C187" s="35">
        <v>850</v>
      </c>
      <c r="D187" s="36" t="s">
        <v>418</v>
      </c>
      <c r="E187" s="36" t="s">
        <v>412</v>
      </c>
      <c r="F187" s="35">
        <v>11.1</v>
      </c>
      <c r="G187" s="35">
        <v>8082</v>
      </c>
      <c r="H187" s="35">
        <v>50.32</v>
      </c>
      <c r="I187" s="35">
        <v>558.4</v>
      </c>
      <c r="J187" s="35">
        <v>10.734240687679083</v>
      </c>
      <c r="K187" s="35">
        <v>5.9474999999999998</v>
      </c>
      <c r="L187" s="35">
        <v>78.61333333333333</v>
      </c>
      <c r="M187" s="35">
        <v>1.0650967048710602</v>
      </c>
      <c r="N187" s="35">
        <v>97.68</v>
      </c>
      <c r="O187" s="35">
        <v>36.908474999999996</v>
      </c>
    </row>
    <row r="188" spans="1:15" x14ac:dyDescent="0.3">
      <c r="A188" s="35" t="s">
        <v>244</v>
      </c>
      <c r="B188" s="35">
        <v>4</v>
      </c>
      <c r="C188" s="35">
        <v>610</v>
      </c>
      <c r="D188" s="36" t="s">
        <v>422</v>
      </c>
      <c r="E188" s="36" t="s">
        <v>418</v>
      </c>
      <c r="F188" s="35">
        <v>14.8</v>
      </c>
      <c r="G188" s="35">
        <v>7433</v>
      </c>
      <c r="H188" s="35">
        <v>84.66</v>
      </c>
      <c r="I188" s="35">
        <v>1253</v>
      </c>
      <c r="J188" s="35">
        <v>4.6774142059058263</v>
      </c>
      <c r="K188" s="35">
        <v>13.337999999999999</v>
      </c>
      <c r="L188" s="35">
        <v>103.3</v>
      </c>
      <c r="M188" s="35">
        <v>1.0644852354349559</v>
      </c>
      <c r="N188" s="35">
        <v>92.5</v>
      </c>
      <c r="O188" s="35">
        <v>37.684502999999999</v>
      </c>
    </row>
    <row r="189" spans="1:15" x14ac:dyDescent="0.3">
      <c r="A189" s="35" t="s">
        <v>277</v>
      </c>
      <c r="B189" s="35">
        <v>2.9999999999999996</v>
      </c>
      <c r="C189" s="35">
        <v>890</v>
      </c>
      <c r="D189" s="36" t="s">
        <v>419</v>
      </c>
      <c r="E189" s="36" t="s">
        <v>415</v>
      </c>
      <c r="F189" s="35">
        <v>11.1</v>
      </c>
      <c r="G189" s="35">
        <v>8002</v>
      </c>
      <c r="H189" s="35">
        <v>69.8</v>
      </c>
      <c r="I189" s="35">
        <v>774.8</v>
      </c>
      <c r="J189" s="35">
        <v>7.7361899845121327</v>
      </c>
      <c r="K189" s="35">
        <v>8.2460000000000004</v>
      </c>
      <c r="L189" s="35">
        <v>88.9</v>
      </c>
      <c r="M189" s="35">
        <v>1.0642746515229737</v>
      </c>
      <c r="N189" s="35">
        <v>92.5</v>
      </c>
      <c r="O189" s="35">
        <v>37.684502999999999</v>
      </c>
    </row>
    <row r="190" spans="1:15" x14ac:dyDescent="0.3">
      <c r="A190" s="35" t="s">
        <v>243</v>
      </c>
      <c r="B190" s="35">
        <v>4</v>
      </c>
      <c r="C190" s="35">
        <v>650</v>
      </c>
      <c r="D190" s="36" t="s">
        <v>422</v>
      </c>
      <c r="E190" s="36">
        <v>8.5</v>
      </c>
      <c r="F190" s="35">
        <v>14.8</v>
      </c>
      <c r="G190" s="35">
        <v>7282</v>
      </c>
      <c r="H190" s="35">
        <v>82.02</v>
      </c>
      <c r="I190" s="35">
        <v>1213.8</v>
      </c>
      <c r="J190" s="35">
        <v>4.8284725654967877</v>
      </c>
      <c r="K190" s="35">
        <v>12.916</v>
      </c>
      <c r="L190" s="35">
        <v>85.9</v>
      </c>
      <c r="M190" s="35">
        <v>1.0640962267259846</v>
      </c>
      <c r="N190" s="35">
        <v>99.9</v>
      </c>
      <c r="O190" s="35">
        <v>39.093000000000004</v>
      </c>
    </row>
    <row r="191" spans="1:15" x14ac:dyDescent="0.3">
      <c r="A191" s="35" t="s">
        <v>108</v>
      </c>
      <c r="B191" s="35">
        <v>5.9999999999999991</v>
      </c>
      <c r="C191" s="35">
        <v>310</v>
      </c>
      <c r="D191" s="36" t="s">
        <v>423</v>
      </c>
      <c r="E191" s="36" t="s">
        <v>418</v>
      </c>
      <c r="F191" s="35">
        <v>22.2</v>
      </c>
      <c r="G191" s="35">
        <v>6339</v>
      </c>
      <c r="H191" s="35">
        <v>56.88</v>
      </c>
      <c r="I191" s="35">
        <v>1262.8</v>
      </c>
      <c r="J191" s="35">
        <v>4.7465948685460884</v>
      </c>
      <c r="K191" s="35">
        <v>13.435</v>
      </c>
      <c r="L191" s="35">
        <v>88</v>
      </c>
      <c r="M191" s="35">
        <v>1.0639056065885335</v>
      </c>
      <c r="N191" s="35">
        <v>99.9</v>
      </c>
      <c r="O191" s="35">
        <v>39.093000000000004</v>
      </c>
    </row>
    <row r="192" spans="1:15" x14ac:dyDescent="0.3">
      <c r="A192" s="35" t="s">
        <v>117</v>
      </c>
      <c r="B192" s="35">
        <v>4</v>
      </c>
      <c r="C192" s="35">
        <v>690</v>
      </c>
      <c r="D192" s="36" t="s">
        <v>422</v>
      </c>
      <c r="E192" s="36" t="s">
        <v>414</v>
      </c>
      <c r="F192" s="35">
        <v>14.8</v>
      </c>
      <c r="G192" s="35">
        <v>9120</v>
      </c>
      <c r="H192" s="35">
        <v>96.1</v>
      </c>
      <c r="I192" s="35">
        <v>1422.4</v>
      </c>
      <c r="J192" s="35">
        <v>4.1203599550056245</v>
      </c>
      <c r="K192" s="35">
        <v>15.1325</v>
      </c>
      <c r="L192" s="35">
        <v>75.973333333333329</v>
      </c>
      <c r="M192" s="35">
        <v>1.0638709223847018</v>
      </c>
      <c r="N192" s="35">
        <v>99.9</v>
      </c>
      <c r="O192" s="35">
        <v>39.093000000000004</v>
      </c>
    </row>
    <row r="193" spans="1:15" x14ac:dyDescent="0.3">
      <c r="A193" s="35" t="s">
        <v>217</v>
      </c>
      <c r="B193" s="35">
        <v>2.9999999999999996</v>
      </c>
      <c r="C193" s="35">
        <v>1140</v>
      </c>
      <c r="D193" s="36" t="s">
        <v>421</v>
      </c>
      <c r="E193" s="36" t="s">
        <v>416</v>
      </c>
      <c r="F193" s="35">
        <v>11.1</v>
      </c>
      <c r="G193" s="35">
        <v>9752</v>
      </c>
      <c r="H193" s="35">
        <v>101.04</v>
      </c>
      <c r="I193" s="35">
        <v>1121.5999999999999</v>
      </c>
      <c r="J193" s="35">
        <v>5.3441512125534958</v>
      </c>
      <c r="K193" s="35">
        <v>11.922499999999999</v>
      </c>
      <c r="L193" s="35">
        <v>54.12</v>
      </c>
      <c r="M193" s="35">
        <v>1.0629903708987163</v>
      </c>
      <c r="N193" s="35">
        <v>99.9</v>
      </c>
      <c r="O193" s="35">
        <v>39.093000000000004</v>
      </c>
    </row>
    <row r="194" spans="1:15" x14ac:dyDescent="0.3">
      <c r="A194" s="35" t="s">
        <v>92</v>
      </c>
      <c r="B194" s="35">
        <v>4</v>
      </c>
      <c r="C194" s="35">
        <v>420</v>
      </c>
      <c r="D194" s="36" t="s">
        <v>423</v>
      </c>
      <c r="E194" s="36" t="s">
        <v>418</v>
      </c>
      <c r="F194" s="35">
        <v>14.8</v>
      </c>
      <c r="G194" s="35">
        <v>5584</v>
      </c>
      <c r="H194" s="35">
        <v>58.36</v>
      </c>
      <c r="I194" s="35">
        <v>863.8</v>
      </c>
      <c r="J194" s="35">
        <v>6.784903912942811</v>
      </c>
      <c r="K194" s="35">
        <v>9.1362500000000004</v>
      </c>
      <c r="L194" s="35">
        <v>77.586666666666659</v>
      </c>
      <c r="M194" s="35">
        <v>1.0576811761981941</v>
      </c>
      <c r="N194" s="35">
        <v>99.9</v>
      </c>
      <c r="O194" s="35">
        <v>39.093000000000004</v>
      </c>
    </row>
    <row r="195" spans="1:15" x14ac:dyDescent="0.3">
      <c r="A195" s="35" t="s">
        <v>244</v>
      </c>
      <c r="B195" s="35">
        <v>4</v>
      </c>
      <c r="C195" s="35">
        <v>610</v>
      </c>
      <c r="D195" s="36" t="s">
        <v>421</v>
      </c>
      <c r="E195" s="36" t="s">
        <v>415</v>
      </c>
      <c r="F195" s="35">
        <v>14.8</v>
      </c>
      <c r="G195" s="35">
        <v>7676</v>
      </c>
      <c r="H195" s="35">
        <v>71.12</v>
      </c>
      <c r="I195" s="35">
        <v>1052.5999999999999</v>
      </c>
      <c r="J195" s="35">
        <v>5.5679270378111347</v>
      </c>
      <c r="K195" s="35">
        <v>11.124000000000001</v>
      </c>
      <c r="L195" s="35">
        <v>85.4</v>
      </c>
      <c r="M195" s="35">
        <v>1.0568117043511307</v>
      </c>
      <c r="N195" s="35">
        <v>99.9</v>
      </c>
      <c r="O195" s="35">
        <v>39.093000000000004</v>
      </c>
    </row>
    <row r="196" spans="1:15" x14ac:dyDescent="0.3">
      <c r="A196" s="35" t="s">
        <v>260</v>
      </c>
      <c r="B196" s="35">
        <v>5</v>
      </c>
      <c r="C196" s="35">
        <v>470</v>
      </c>
      <c r="D196" s="36" t="s">
        <v>422</v>
      </c>
      <c r="E196" s="36" t="s">
        <v>418</v>
      </c>
      <c r="F196" s="35">
        <v>18.5</v>
      </c>
      <c r="G196" s="35">
        <v>7487</v>
      </c>
      <c r="H196" s="35">
        <v>72.14</v>
      </c>
      <c r="I196" s="35">
        <v>1334.6</v>
      </c>
      <c r="J196" s="35">
        <v>4.1585493780908136</v>
      </c>
      <c r="K196" s="35">
        <v>14.058</v>
      </c>
      <c r="L196" s="35">
        <v>104</v>
      </c>
      <c r="M196" s="35">
        <v>1.0533493181477596</v>
      </c>
      <c r="N196" s="35">
        <v>99.9</v>
      </c>
      <c r="O196" s="35">
        <v>39.093000000000004</v>
      </c>
    </row>
    <row r="197" spans="1:15" x14ac:dyDescent="0.3">
      <c r="A197" s="35" t="s">
        <v>102</v>
      </c>
      <c r="B197" s="35">
        <v>4</v>
      </c>
      <c r="C197" s="35">
        <v>600</v>
      </c>
      <c r="D197" s="36" t="s">
        <v>423</v>
      </c>
      <c r="E197" s="36" t="s">
        <v>414</v>
      </c>
      <c r="F197" s="35">
        <v>14.8</v>
      </c>
      <c r="G197" s="35">
        <v>7782</v>
      </c>
      <c r="H197" s="35">
        <v>98.18</v>
      </c>
      <c r="I197" s="35">
        <v>1453</v>
      </c>
      <c r="J197" s="35">
        <v>4.0335856847900891</v>
      </c>
      <c r="K197" s="35">
        <v>15.3</v>
      </c>
      <c r="L197" s="35">
        <v>64.826666666666668</v>
      </c>
      <c r="M197" s="35">
        <v>1.0529938059187889</v>
      </c>
      <c r="N197" s="35">
        <v>99.9</v>
      </c>
      <c r="O197" s="35">
        <v>39.093000000000004</v>
      </c>
    </row>
    <row r="198" spans="1:15" x14ac:dyDescent="0.3">
      <c r="A198" s="35" t="s">
        <v>216</v>
      </c>
      <c r="B198" s="35">
        <v>2.9999999999999996</v>
      </c>
      <c r="C198" s="35">
        <v>970</v>
      </c>
      <c r="D198" s="36" t="s">
        <v>421</v>
      </c>
      <c r="E198" s="36" t="s">
        <v>414</v>
      </c>
      <c r="F198" s="35">
        <v>11.1</v>
      </c>
      <c r="G198" s="35">
        <v>7955</v>
      </c>
      <c r="H198" s="35">
        <v>77.34</v>
      </c>
      <c r="I198" s="35">
        <v>858.4</v>
      </c>
      <c r="J198" s="35">
        <v>6.9827586206896557</v>
      </c>
      <c r="K198" s="35">
        <v>9.0387500000000003</v>
      </c>
      <c r="L198" s="35">
        <v>66.293333333333337</v>
      </c>
      <c r="M198" s="35">
        <v>1.0529764678471576</v>
      </c>
      <c r="N198" s="35">
        <v>99.9</v>
      </c>
      <c r="O198" s="35">
        <v>39.093000000000004</v>
      </c>
    </row>
    <row r="199" spans="1:15" x14ac:dyDescent="0.3">
      <c r="A199" s="35" t="s">
        <v>260</v>
      </c>
      <c r="B199" s="35">
        <v>5</v>
      </c>
      <c r="C199" s="35">
        <v>470</v>
      </c>
      <c r="D199" s="36" t="s">
        <v>422</v>
      </c>
      <c r="E199" s="36">
        <v>8.5</v>
      </c>
      <c r="F199" s="35">
        <v>18.5</v>
      </c>
      <c r="G199" s="35">
        <v>7535</v>
      </c>
      <c r="H199" s="35">
        <v>69.36</v>
      </c>
      <c r="I199" s="35">
        <v>1283</v>
      </c>
      <c r="J199" s="35">
        <v>4.3257989088074824</v>
      </c>
      <c r="K199" s="35">
        <v>13.48</v>
      </c>
      <c r="L199" s="35">
        <v>89</v>
      </c>
      <c r="M199" s="35">
        <v>1.0506625097427902</v>
      </c>
      <c r="N199" s="35">
        <v>99.9</v>
      </c>
      <c r="O199" s="35">
        <v>39.093000000000004</v>
      </c>
    </row>
    <row r="200" spans="1:15" x14ac:dyDescent="0.3">
      <c r="A200" s="35" t="s">
        <v>216</v>
      </c>
      <c r="B200" s="35">
        <v>2.9999999999999996</v>
      </c>
      <c r="C200" s="35">
        <v>970</v>
      </c>
      <c r="D200" s="36" t="s">
        <v>420</v>
      </c>
      <c r="E200" s="36" t="s">
        <v>414</v>
      </c>
      <c r="F200" s="35">
        <v>11.1</v>
      </c>
      <c r="G200" s="35">
        <v>8403</v>
      </c>
      <c r="H200" s="35">
        <v>66.48</v>
      </c>
      <c r="I200" s="35">
        <v>737.8</v>
      </c>
      <c r="J200" s="35">
        <v>8.1241528869612374</v>
      </c>
      <c r="K200" s="35">
        <v>7.7424999999999997</v>
      </c>
      <c r="L200" s="35">
        <v>69.959999999999994</v>
      </c>
      <c r="M200" s="35">
        <v>1.0494036324207101</v>
      </c>
      <c r="N200" s="35">
        <v>99.9</v>
      </c>
      <c r="O200" s="35">
        <v>39.093000000000004</v>
      </c>
    </row>
    <row r="201" spans="1:15" x14ac:dyDescent="0.3">
      <c r="A201" s="35" t="s">
        <v>213</v>
      </c>
      <c r="B201" s="35">
        <v>4</v>
      </c>
      <c r="C201" s="35">
        <v>840</v>
      </c>
      <c r="D201" s="36" t="s">
        <v>418</v>
      </c>
      <c r="E201" s="36" t="s">
        <v>413</v>
      </c>
      <c r="F201" s="35">
        <v>14.8</v>
      </c>
      <c r="G201" s="35">
        <v>10734</v>
      </c>
      <c r="H201" s="35">
        <v>49.64</v>
      </c>
      <c r="I201" s="35">
        <v>734.6</v>
      </c>
      <c r="J201" s="35">
        <v>7.9782194391505579</v>
      </c>
      <c r="K201" s="35">
        <v>7.6987500000000004</v>
      </c>
      <c r="L201" s="35">
        <v>74.506666666666661</v>
      </c>
      <c r="M201" s="35">
        <v>1.0480193302477538</v>
      </c>
      <c r="N201" s="35">
        <v>97.68</v>
      </c>
      <c r="O201" s="35">
        <v>34.648474999999998</v>
      </c>
    </row>
    <row r="202" spans="1:15" x14ac:dyDescent="0.3">
      <c r="A202" s="35" t="s">
        <v>216</v>
      </c>
      <c r="B202" s="35">
        <v>2.9999999999999996</v>
      </c>
      <c r="C202" s="35">
        <v>970</v>
      </c>
      <c r="D202" s="36" t="s">
        <v>418</v>
      </c>
      <c r="E202" s="36" t="s">
        <v>412</v>
      </c>
      <c r="F202" s="35">
        <v>11.1</v>
      </c>
      <c r="G202" s="35">
        <v>8670</v>
      </c>
      <c r="H202" s="35">
        <v>60.8</v>
      </c>
      <c r="I202" s="35">
        <v>675</v>
      </c>
      <c r="J202" s="35">
        <v>8.8800000000000008</v>
      </c>
      <c r="K202" s="35">
        <v>7.0324999999999998</v>
      </c>
      <c r="L202" s="35">
        <v>84.333333333333329</v>
      </c>
      <c r="M202" s="35">
        <v>1.0418518518518518</v>
      </c>
      <c r="N202" s="35">
        <v>97.68</v>
      </c>
      <c r="O202" s="35">
        <v>34.648474999999998</v>
      </c>
    </row>
    <row r="203" spans="1:15" x14ac:dyDescent="0.3">
      <c r="A203" s="35" t="s">
        <v>201</v>
      </c>
      <c r="B203" s="35">
        <v>2.9999999999999996</v>
      </c>
      <c r="C203" s="35">
        <v>1050</v>
      </c>
      <c r="D203" s="36" t="s">
        <v>418</v>
      </c>
      <c r="E203" s="36" t="s">
        <v>413</v>
      </c>
      <c r="F203" s="35">
        <v>11.1</v>
      </c>
      <c r="G203" s="35">
        <v>9971</v>
      </c>
      <c r="H203" s="35">
        <v>56.48</v>
      </c>
      <c r="I203" s="35">
        <v>626.79999999999995</v>
      </c>
      <c r="J203" s="35">
        <v>9.5628589661774104</v>
      </c>
      <c r="K203" s="35">
        <v>6.5250000000000004</v>
      </c>
      <c r="L203" s="35">
        <v>69.226666666666659</v>
      </c>
      <c r="M203" s="35">
        <v>1.0410019144862797</v>
      </c>
      <c r="N203" s="35">
        <v>97.68</v>
      </c>
      <c r="O203" s="35">
        <v>34.648474999999998</v>
      </c>
    </row>
    <row r="204" spans="1:15" x14ac:dyDescent="0.3">
      <c r="A204" s="35" t="s">
        <v>207</v>
      </c>
      <c r="B204" s="35">
        <v>4</v>
      </c>
      <c r="C204" s="35">
        <v>850</v>
      </c>
      <c r="D204" s="36" t="s">
        <v>417</v>
      </c>
      <c r="E204" s="36">
        <v>4.5</v>
      </c>
      <c r="F204" s="35">
        <v>14.8</v>
      </c>
      <c r="G204" s="35">
        <v>11739</v>
      </c>
      <c r="H204" s="35">
        <v>40.24</v>
      </c>
      <c r="I204" s="35">
        <v>595.6</v>
      </c>
      <c r="J204" s="35">
        <v>9.8401611820013422</v>
      </c>
      <c r="K204" s="35">
        <v>6.1862500000000002</v>
      </c>
      <c r="L204" s="35">
        <v>73.333333333333329</v>
      </c>
      <c r="M204" s="35">
        <v>1.0386584956346541</v>
      </c>
      <c r="N204" s="35">
        <v>97.68</v>
      </c>
      <c r="O204" s="35">
        <v>34.648474999999998</v>
      </c>
    </row>
    <row r="205" spans="1:15" x14ac:dyDescent="0.3">
      <c r="A205" s="35" t="s">
        <v>243</v>
      </c>
      <c r="B205" s="35">
        <v>4</v>
      </c>
      <c r="C205" s="35">
        <v>650</v>
      </c>
      <c r="D205" s="36" t="s">
        <v>421</v>
      </c>
      <c r="E205" s="36" t="s">
        <v>415</v>
      </c>
      <c r="F205" s="35">
        <v>14.8</v>
      </c>
      <c r="G205" s="35">
        <v>7569</v>
      </c>
      <c r="H205" s="35">
        <v>68.900000000000006</v>
      </c>
      <c r="I205" s="35">
        <v>1019.6</v>
      </c>
      <c r="J205" s="35">
        <v>5.7481365241271094</v>
      </c>
      <c r="K205" s="35">
        <v>10.59</v>
      </c>
      <c r="L205" s="35">
        <v>84</v>
      </c>
      <c r="M205" s="35">
        <v>1.038642604943115</v>
      </c>
      <c r="N205" s="35">
        <v>97.68</v>
      </c>
      <c r="O205" s="35">
        <v>34.648474999999998</v>
      </c>
    </row>
    <row r="206" spans="1:15" x14ac:dyDescent="0.3">
      <c r="A206" s="35" t="s">
        <v>260</v>
      </c>
      <c r="B206" s="35">
        <v>5</v>
      </c>
      <c r="C206" s="35">
        <v>470</v>
      </c>
      <c r="D206" s="36" t="s">
        <v>422</v>
      </c>
      <c r="E206" s="36" t="s">
        <v>418</v>
      </c>
      <c r="F206" s="35">
        <v>18.5</v>
      </c>
      <c r="G206" s="35">
        <v>7526</v>
      </c>
      <c r="H206" s="35">
        <v>69.319999999999993</v>
      </c>
      <c r="I206" s="35">
        <v>1282.4000000000001</v>
      </c>
      <c r="J206" s="35">
        <v>4.3278228321896437</v>
      </c>
      <c r="K206" s="35">
        <v>13.304</v>
      </c>
      <c r="L206" s="35">
        <v>104.6</v>
      </c>
      <c r="M206" s="35">
        <v>1.0374298190892077</v>
      </c>
      <c r="N206" s="35">
        <v>92.5</v>
      </c>
      <c r="O206" s="35">
        <v>35.424503000000001</v>
      </c>
    </row>
    <row r="207" spans="1:15" x14ac:dyDescent="0.3">
      <c r="A207" s="35" t="s">
        <v>243</v>
      </c>
      <c r="B207" s="35">
        <v>4</v>
      </c>
      <c r="C207" s="35">
        <v>650</v>
      </c>
      <c r="D207" s="36" t="s">
        <v>422</v>
      </c>
      <c r="E207" s="36" t="s">
        <v>418</v>
      </c>
      <c r="F207" s="35">
        <v>14.8</v>
      </c>
      <c r="G207" s="35">
        <v>7294</v>
      </c>
      <c r="H207" s="35">
        <v>81.900000000000006</v>
      </c>
      <c r="I207" s="35">
        <v>1212.2</v>
      </c>
      <c r="J207" s="35">
        <v>4.8348457350272236</v>
      </c>
      <c r="K207" s="35">
        <v>12.571999999999999</v>
      </c>
      <c r="L207" s="35">
        <v>101.3</v>
      </c>
      <c r="M207" s="35">
        <v>1.0371225870318428</v>
      </c>
      <c r="N207" s="35">
        <v>92.5</v>
      </c>
      <c r="O207" s="35">
        <v>35.424503000000001</v>
      </c>
    </row>
    <row r="208" spans="1:15" x14ac:dyDescent="0.3">
      <c r="A208" s="35" t="s">
        <v>216</v>
      </c>
      <c r="B208" s="35">
        <v>2.9999999999999996</v>
      </c>
      <c r="C208" s="35">
        <v>970</v>
      </c>
      <c r="D208" s="36" t="s">
        <v>419</v>
      </c>
      <c r="E208" s="36" t="s">
        <v>415</v>
      </c>
      <c r="F208" s="35">
        <v>11.1</v>
      </c>
      <c r="G208" s="35">
        <v>8630</v>
      </c>
      <c r="H208" s="35">
        <v>62.02</v>
      </c>
      <c r="I208" s="35">
        <v>688.4</v>
      </c>
      <c r="J208" s="35">
        <v>8.7071470075537487</v>
      </c>
      <c r="K208" s="35">
        <v>7.125</v>
      </c>
      <c r="L208" s="35">
        <v>95.92</v>
      </c>
      <c r="M208" s="35">
        <v>1.0350087158628705</v>
      </c>
      <c r="N208" s="35">
        <v>92.5</v>
      </c>
      <c r="O208" s="35">
        <v>35.424503000000001</v>
      </c>
    </row>
    <row r="209" spans="1:15" x14ac:dyDescent="0.3">
      <c r="A209" s="35" t="s">
        <v>102</v>
      </c>
      <c r="B209" s="35">
        <v>4</v>
      </c>
      <c r="C209" s="35">
        <v>600</v>
      </c>
      <c r="D209" s="36" t="s">
        <v>420</v>
      </c>
      <c r="E209" s="36" t="s">
        <v>415</v>
      </c>
      <c r="F209" s="35">
        <v>14.8</v>
      </c>
      <c r="G209" s="35">
        <v>7961</v>
      </c>
      <c r="H209" s="35">
        <v>81.36</v>
      </c>
      <c r="I209" s="35">
        <v>1204.2</v>
      </c>
      <c r="J209" s="35">
        <v>4.8669656203288492</v>
      </c>
      <c r="K209" s="35">
        <v>12.45125</v>
      </c>
      <c r="L209" s="35">
        <v>88.439999999999984</v>
      </c>
      <c r="M209" s="35">
        <v>1.0339852184022587</v>
      </c>
      <c r="N209" s="35">
        <v>99.9</v>
      </c>
      <c r="O209" s="35">
        <v>39.833753000000002</v>
      </c>
    </row>
    <row r="210" spans="1:15" x14ac:dyDescent="0.3">
      <c r="A210" s="35" t="s">
        <v>201</v>
      </c>
      <c r="B210" s="35">
        <v>2.9999999999999996</v>
      </c>
      <c r="C210" s="35">
        <v>1050</v>
      </c>
      <c r="D210" s="36" t="s">
        <v>418</v>
      </c>
      <c r="E210" s="36" t="s">
        <v>413</v>
      </c>
      <c r="F210" s="35">
        <v>11.1</v>
      </c>
      <c r="G210" s="35">
        <v>10013</v>
      </c>
      <c r="H210" s="35">
        <v>54.2</v>
      </c>
      <c r="I210" s="35">
        <v>601.6</v>
      </c>
      <c r="J210" s="35">
        <v>9.9634308510638299</v>
      </c>
      <c r="K210" s="35">
        <v>6.22</v>
      </c>
      <c r="L210" s="35">
        <v>69.52</v>
      </c>
      <c r="M210" s="35">
        <v>1.0339095744680848</v>
      </c>
      <c r="N210" s="35">
        <v>99.9</v>
      </c>
      <c r="O210" s="35">
        <v>39.833753000000002</v>
      </c>
    </row>
    <row r="211" spans="1:15" x14ac:dyDescent="0.3">
      <c r="A211" s="35" t="s">
        <v>216</v>
      </c>
      <c r="B211" s="35">
        <v>2.9999999999999996</v>
      </c>
      <c r="C211" s="35">
        <v>970</v>
      </c>
      <c r="D211" s="36" t="s">
        <v>420</v>
      </c>
      <c r="E211" s="36" t="s">
        <v>414</v>
      </c>
      <c r="F211" s="35">
        <v>11.1</v>
      </c>
      <c r="G211" s="35">
        <v>7990</v>
      </c>
      <c r="H211" s="35">
        <v>77.72</v>
      </c>
      <c r="I211" s="35">
        <v>862.8</v>
      </c>
      <c r="J211" s="35">
        <v>6.9471488178025043</v>
      </c>
      <c r="K211" s="35">
        <v>8.8712499999999999</v>
      </c>
      <c r="L211" s="35">
        <v>66.586666666666659</v>
      </c>
      <c r="M211" s="35">
        <v>1.0281930922577656</v>
      </c>
      <c r="N211" s="35">
        <v>99.9</v>
      </c>
      <c r="O211" s="35">
        <v>39.833753000000002</v>
      </c>
    </row>
    <row r="212" spans="1:15" x14ac:dyDescent="0.3">
      <c r="A212" s="35" t="s">
        <v>254</v>
      </c>
      <c r="B212" s="35">
        <v>2.9999999999999996</v>
      </c>
      <c r="C212" s="35">
        <v>1080</v>
      </c>
      <c r="D212" s="36" t="s">
        <v>419</v>
      </c>
      <c r="E212" s="36">
        <v>5.5</v>
      </c>
      <c r="F212" s="35">
        <v>11.1</v>
      </c>
      <c r="G212" s="35">
        <v>9965</v>
      </c>
      <c r="H212" s="35">
        <v>81.400000000000006</v>
      </c>
      <c r="I212" s="35">
        <v>903.4</v>
      </c>
      <c r="J212" s="35">
        <v>6.6349346911667038</v>
      </c>
      <c r="K212" s="35">
        <v>9.2680000000000007</v>
      </c>
      <c r="L212" s="35">
        <v>76.099999999999994</v>
      </c>
      <c r="M212" s="35">
        <v>1.0259021474429932</v>
      </c>
      <c r="N212" s="35">
        <v>99.9</v>
      </c>
      <c r="O212" s="35">
        <v>39.833753000000002</v>
      </c>
    </row>
    <row r="213" spans="1:15" x14ac:dyDescent="0.3">
      <c r="A213" s="35" t="s">
        <v>213</v>
      </c>
      <c r="B213" s="35">
        <v>4</v>
      </c>
      <c r="C213" s="35">
        <v>840</v>
      </c>
      <c r="D213" s="36" t="s">
        <v>418</v>
      </c>
      <c r="E213" s="36" t="s">
        <v>414</v>
      </c>
      <c r="F213" s="35">
        <v>14.8</v>
      </c>
      <c r="G213" s="35">
        <v>10800</v>
      </c>
      <c r="H213" s="35">
        <v>48.08</v>
      </c>
      <c r="I213" s="35">
        <v>711.6</v>
      </c>
      <c r="J213" s="35">
        <v>8.2360876897133224</v>
      </c>
      <c r="K213" s="35">
        <v>7.2887500000000003</v>
      </c>
      <c r="L213" s="35">
        <v>90.053333333333327</v>
      </c>
      <c r="M213" s="35">
        <v>1.0242762788083193</v>
      </c>
      <c r="N213" s="35">
        <v>99.9</v>
      </c>
      <c r="O213" s="35">
        <v>41.273000000000003</v>
      </c>
    </row>
    <row r="214" spans="1:15" x14ac:dyDescent="0.3">
      <c r="A214" s="35" t="s">
        <v>277</v>
      </c>
      <c r="B214" s="35">
        <v>2.9999999999999996</v>
      </c>
      <c r="C214" s="35">
        <v>890</v>
      </c>
      <c r="D214" s="36" t="s">
        <v>419</v>
      </c>
      <c r="E214" s="36" t="s">
        <v>415</v>
      </c>
      <c r="F214" s="35">
        <v>11.1</v>
      </c>
      <c r="G214" s="35">
        <v>8154</v>
      </c>
      <c r="H214" s="35">
        <v>63.74</v>
      </c>
      <c r="I214" s="35">
        <v>707.6</v>
      </c>
      <c r="J214" s="35">
        <v>8.4708875070661396</v>
      </c>
      <c r="K214" s="35">
        <v>7.2380000000000004</v>
      </c>
      <c r="L214" s="35">
        <v>90.6</v>
      </c>
      <c r="M214" s="35">
        <v>1.0228942905596383</v>
      </c>
      <c r="N214" s="35">
        <v>99.9</v>
      </c>
      <c r="O214" s="35">
        <v>41.273000000000003</v>
      </c>
    </row>
    <row r="215" spans="1:15" x14ac:dyDescent="0.3">
      <c r="A215" s="35" t="s">
        <v>253</v>
      </c>
      <c r="B215" s="35">
        <v>2.9999999999999996</v>
      </c>
      <c r="C215" s="35">
        <v>1300</v>
      </c>
      <c r="D215" s="36" t="s">
        <v>417</v>
      </c>
      <c r="E215" s="36">
        <v>4.5</v>
      </c>
      <c r="F215" s="35">
        <v>11.1</v>
      </c>
      <c r="G215" s="35">
        <v>12370</v>
      </c>
      <c r="H215" s="35">
        <v>60.88</v>
      </c>
      <c r="I215" s="35">
        <v>675.8</v>
      </c>
      <c r="J215" s="35">
        <v>8.8694880142053876</v>
      </c>
      <c r="K215" s="35">
        <v>6.9119999999999999</v>
      </c>
      <c r="L215" s="35">
        <v>77.3</v>
      </c>
      <c r="M215" s="35">
        <v>1.0227878070435041</v>
      </c>
      <c r="N215" s="35">
        <v>99.9</v>
      </c>
      <c r="O215" s="35">
        <v>41.273000000000003</v>
      </c>
    </row>
    <row r="216" spans="1:15" x14ac:dyDescent="0.3">
      <c r="A216" s="35" t="s">
        <v>216</v>
      </c>
      <c r="B216" s="35">
        <v>2.9999999999999996</v>
      </c>
      <c r="C216" s="35">
        <v>970</v>
      </c>
      <c r="D216" s="36" t="s">
        <v>419</v>
      </c>
      <c r="E216" s="36" t="s">
        <v>412</v>
      </c>
      <c r="F216" s="35">
        <v>11.1</v>
      </c>
      <c r="G216" s="35">
        <v>8425</v>
      </c>
      <c r="H216" s="35">
        <v>66.260000000000005</v>
      </c>
      <c r="I216" s="35">
        <v>735.6</v>
      </c>
      <c r="J216" s="35">
        <v>8.148450244698207</v>
      </c>
      <c r="K216" s="35">
        <v>7.5225</v>
      </c>
      <c r="L216" s="35">
        <v>81.839999999999989</v>
      </c>
      <c r="M216" s="35">
        <v>1.0226345840130504</v>
      </c>
      <c r="N216" s="35">
        <v>99.9</v>
      </c>
      <c r="O216" s="35">
        <v>41.273000000000003</v>
      </c>
    </row>
    <row r="217" spans="1:15" x14ac:dyDescent="0.3">
      <c r="A217" s="35" t="s">
        <v>201</v>
      </c>
      <c r="B217" s="35">
        <v>2.9999999999999996</v>
      </c>
      <c r="C217" s="35">
        <v>1050</v>
      </c>
      <c r="D217" s="36" t="s">
        <v>418</v>
      </c>
      <c r="E217" s="36" t="s">
        <v>414</v>
      </c>
      <c r="F217" s="35">
        <v>11.1</v>
      </c>
      <c r="G217" s="35">
        <v>10035</v>
      </c>
      <c r="H217" s="35">
        <v>55.24</v>
      </c>
      <c r="I217" s="35">
        <v>613</v>
      </c>
      <c r="J217" s="35">
        <v>9.778140293637847</v>
      </c>
      <c r="K217" s="35">
        <v>6.2612500000000004</v>
      </c>
      <c r="L217" s="35">
        <v>83.6</v>
      </c>
      <c r="M217" s="35">
        <v>1.0214110929853182</v>
      </c>
      <c r="N217" s="35">
        <v>99.9</v>
      </c>
      <c r="O217" s="35">
        <v>41.273000000000003</v>
      </c>
    </row>
    <row r="218" spans="1:15" x14ac:dyDescent="0.3">
      <c r="A218" s="35" t="s">
        <v>207</v>
      </c>
      <c r="B218" s="35">
        <v>4</v>
      </c>
      <c r="C218" s="35">
        <v>850</v>
      </c>
      <c r="D218" s="36" t="s">
        <v>417</v>
      </c>
      <c r="E218" s="36" t="s">
        <v>413</v>
      </c>
      <c r="F218" s="35">
        <v>14.8</v>
      </c>
      <c r="G218" s="35">
        <v>11899</v>
      </c>
      <c r="H218" s="35">
        <v>38.74</v>
      </c>
      <c r="I218" s="35">
        <v>573.20000000000005</v>
      </c>
      <c r="J218" s="35">
        <v>10.22470341939986</v>
      </c>
      <c r="K218" s="35">
        <v>5.8512500000000003</v>
      </c>
      <c r="L218" s="35">
        <v>82.573333333333323</v>
      </c>
      <c r="M218" s="35">
        <v>1.0208042568039077</v>
      </c>
      <c r="N218" s="35">
        <v>99.9</v>
      </c>
      <c r="O218" s="35">
        <v>41.273000000000003</v>
      </c>
    </row>
    <row r="219" spans="1:15" x14ac:dyDescent="0.3">
      <c r="A219" s="35" t="s">
        <v>102</v>
      </c>
      <c r="B219" s="35">
        <v>4</v>
      </c>
      <c r="C219" s="35">
        <v>600</v>
      </c>
      <c r="D219" s="36" t="s">
        <v>422</v>
      </c>
      <c r="E219" s="36" t="s">
        <v>415</v>
      </c>
      <c r="F219" s="35">
        <v>14.8</v>
      </c>
      <c r="G219" s="35">
        <v>7880</v>
      </c>
      <c r="H219" s="35">
        <v>92.2</v>
      </c>
      <c r="I219" s="35">
        <v>1364.6</v>
      </c>
      <c r="J219" s="35">
        <v>4.2948849479701021</v>
      </c>
      <c r="K219" s="35">
        <v>13.925000000000001</v>
      </c>
      <c r="L219" s="35">
        <v>87.56</v>
      </c>
      <c r="M219" s="35">
        <v>1.0204455518100544</v>
      </c>
      <c r="N219" s="35">
        <v>99.9</v>
      </c>
      <c r="O219" s="35">
        <v>41.273000000000003</v>
      </c>
    </row>
    <row r="220" spans="1:15" x14ac:dyDescent="0.3">
      <c r="A220" s="35" t="s">
        <v>102</v>
      </c>
      <c r="B220" s="35">
        <v>4</v>
      </c>
      <c r="C220" s="35">
        <v>600</v>
      </c>
      <c r="D220" s="36" t="s">
        <v>421</v>
      </c>
      <c r="E220" s="36" t="s">
        <v>415</v>
      </c>
      <c r="F220" s="35">
        <v>14.8</v>
      </c>
      <c r="G220" s="35">
        <v>7867</v>
      </c>
      <c r="H220" s="35">
        <v>92.92</v>
      </c>
      <c r="I220" s="35">
        <v>1375</v>
      </c>
      <c r="J220" s="35">
        <v>4.2624000000000004</v>
      </c>
      <c r="K220" s="35">
        <v>14.03</v>
      </c>
      <c r="L220" s="35">
        <v>87.413333333333327</v>
      </c>
      <c r="M220" s="35">
        <v>1.0203636363636364</v>
      </c>
      <c r="N220" s="35">
        <v>99.9</v>
      </c>
      <c r="O220" s="35">
        <v>41.273000000000003</v>
      </c>
    </row>
    <row r="221" spans="1:15" x14ac:dyDescent="0.3">
      <c r="A221" s="35" t="s">
        <v>201</v>
      </c>
      <c r="B221" s="35">
        <v>2.9999999999999996</v>
      </c>
      <c r="C221" s="35">
        <v>1050</v>
      </c>
      <c r="D221" s="36" t="s">
        <v>418</v>
      </c>
      <c r="E221" s="36" t="s">
        <v>414</v>
      </c>
      <c r="F221" s="35">
        <v>11.1</v>
      </c>
      <c r="G221" s="35">
        <v>10299</v>
      </c>
      <c r="H221" s="35">
        <v>50.86</v>
      </c>
      <c r="I221" s="35">
        <v>564.4</v>
      </c>
      <c r="J221" s="35">
        <v>10.62012756909993</v>
      </c>
      <c r="K221" s="35">
        <v>5.7537500000000001</v>
      </c>
      <c r="L221" s="35">
        <v>85.8</v>
      </c>
      <c r="M221" s="35">
        <v>1.0194454287739192</v>
      </c>
      <c r="N221" s="35">
        <v>99.9</v>
      </c>
      <c r="O221" s="35">
        <v>41.273000000000003</v>
      </c>
    </row>
    <row r="222" spans="1:15" x14ac:dyDescent="0.3">
      <c r="A222" s="35" t="s">
        <v>213</v>
      </c>
      <c r="B222" s="35">
        <v>4</v>
      </c>
      <c r="C222" s="35">
        <v>840</v>
      </c>
      <c r="D222" s="36" t="s">
        <v>418</v>
      </c>
      <c r="E222" s="36" t="s">
        <v>413</v>
      </c>
      <c r="F222" s="35">
        <v>14.8</v>
      </c>
      <c r="G222" s="35">
        <v>10768</v>
      </c>
      <c r="H222" s="35">
        <v>48.78</v>
      </c>
      <c r="I222" s="35">
        <v>722</v>
      </c>
      <c r="J222" s="35">
        <v>8.1174515235457054</v>
      </c>
      <c r="K222" s="35">
        <v>7.35</v>
      </c>
      <c r="L222" s="35">
        <v>74.8</v>
      </c>
      <c r="M222" s="35">
        <v>1.0180055401662049</v>
      </c>
      <c r="N222" s="35">
        <v>99.9</v>
      </c>
      <c r="O222" s="35">
        <v>41.273000000000003</v>
      </c>
    </row>
    <row r="223" spans="1:15" x14ac:dyDescent="0.3">
      <c r="A223" s="35" t="s">
        <v>216</v>
      </c>
      <c r="B223" s="35">
        <v>2.9999999999999996</v>
      </c>
      <c r="C223" s="35">
        <v>970</v>
      </c>
      <c r="D223" s="36" t="s">
        <v>420</v>
      </c>
      <c r="E223" s="36">
        <v>8.5</v>
      </c>
      <c r="F223" s="35">
        <v>11.1</v>
      </c>
      <c r="G223" s="35">
        <v>8077</v>
      </c>
      <c r="H223" s="35">
        <v>75.42</v>
      </c>
      <c r="I223" s="35">
        <v>837.2</v>
      </c>
      <c r="J223" s="35">
        <v>7.1595795508838984</v>
      </c>
      <c r="K223" s="35">
        <v>8.4962499999999999</v>
      </c>
      <c r="L223" s="35">
        <v>95.333333333333329</v>
      </c>
      <c r="M223" s="35">
        <v>1.0148411371237458</v>
      </c>
      <c r="N223" s="35">
        <v>99.9</v>
      </c>
      <c r="O223" s="35">
        <v>41.273000000000003</v>
      </c>
    </row>
    <row r="224" spans="1:15" x14ac:dyDescent="0.3">
      <c r="A224" s="35" t="s">
        <v>92</v>
      </c>
      <c r="B224" s="35">
        <v>5.9999999999999991</v>
      </c>
      <c r="C224" s="35">
        <v>420</v>
      </c>
      <c r="D224" s="36" t="s">
        <v>421</v>
      </c>
      <c r="E224" s="36">
        <v>6.5</v>
      </c>
      <c r="F224" s="35">
        <v>22.2</v>
      </c>
      <c r="G224" s="35">
        <v>8625</v>
      </c>
      <c r="H224" s="35">
        <v>60.22</v>
      </c>
      <c r="I224" s="35">
        <v>1336.8</v>
      </c>
      <c r="J224" s="35">
        <v>4.4838420107719932</v>
      </c>
      <c r="K224" s="35">
        <v>13.55875</v>
      </c>
      <c r="L224" s="35">
        <v>77.88</v>
      </c>
      <c r="M224" s="35">
        <v>1.0142691502094554</v>
      </c>
      <c r="N224" s="35">
        <v>99.9</v>
      </c>
      <c r="O224" s="35">
        <v>41.273000000000003</v>
      </c>
    </row>
    <row r="225" spans="1:15" x14ac:dyDescent="0.3">
      <c r="A225" s="35" t="s">
        <v>216</v>
      </c>
      <c r="B225" s="35">
        <v>2.9999999999999996</v>
      </c>
      <c r="C225" s="35">
        <v>970</v>
      </c>
      <c r="D225" s="36" t="s">
        <v>419</v>
      </c>
      <c r="E225" s="36" t="s">
        <v>412</v>
      </c>
      <c r="F225" s="35">
        <v>11.1</v>
      </c>
      <c r="G225" s="35">
        <v>8256</v>
      </c>
      <c r="H225" s="35">
        <v>70.739999999999995</v>
      </c>
      <c r="I225" s="35">
        <v>785.2</v>
      </c>
      <c r="J225" s="35">
        <v>7.6337238920020383</v>
      </c>
      <c r="K225" s="35">
        <v>7.9625000000000004</v>
      </c>
      <c r="L225" s="35">
        <v>80.226666666666659</v>
      </c>
      <c r="M225" s="35">
        <v>1.0140728476821192</v>
      </c>
      <c r="N225" s="35">
        <v>99.9</v>
      </c>
      <c r="O225" s="35">
        <v>41.273000000000003</v>
      </c>
    </row>
    <row r="226" spans="1:15" x14ac:dyDescent="0.3">
      <c r="A226" s="35" t="s">
        <v>207</v>
      </c>
      <c r="B226" s="35">
        <v>4</v>
      </c>
      <c r="C226" s="35">
        <v>850</v>
      </c>
      <c r="D226" s="36" t="s">
        <v>417</v>
      </c>
      <c r="E226" s="36" t="s">
        <v>413</v>
      </c>
      <c r="F226" s="35">
        <v>14.8</v>
      </c>
      <c r="G226" s="35">
        <v>12130</v>
      </c>
      <c r="H226" s="35">
        <v>34.46</v>
      </c>
      <c r="I226" s="35">
        <v>510</v>
      </c>
      <c r="J226" s="35">
        <v>11.491764705882353</v>
      </c>
      <c r="K226" s="35">
        <v>5.1637500000000003</v>
      </c>
      <c r="L226" s="35">
        <v>84.186666666666653</v>
      </c>
      <c r="M226" s="35">
        <v>1.0125</v>
      </c>
      <c r="N226" s="35">
        <v>99.9</v>
      </c>
      <c r="O226" s="35">
        <v>41.273000000000003</v>
      </c>
    </row>
    <row r="227" spans="1:15" x14ac:dyDescent="0.3">
      <c r="A227" s="35" t="s">
        <v>244</v>
      </c>
      <c r="B227" s="35">
        <v>5</v>
      </c>
      <c r="C227" s="35">
        <v>610</v>
      </c>
      <c r="D227" s="36" t="s">
        <v>420</v>
      </c>
      <c r="E227" s="36" t="s">
        <v>414</v>
      </c>
      <c r="F227" s="35">
        <v>18.5</v>
      </c>
      <c r="G227" s="35">
        <v>9696</v>
      </c>
      <c r="H227" s="35">
        <v>73.319999999999993</v>
      </c>
      <c r="I227" s="35">
        <v>1356.2</v>
      </c>
      <c r="J227" s="35">
        <v>4.0923167674384313</v>
      </c>
      <c r="K227" s="35">
        <v>13.7</v>
      </c>
      <c r="L227" s="35">
        <v>80.8</v>
      </c>
      <c r="M227" s="35">
        <v>1.0101754903406577</v>
      </c>
      <c r="N227" s="35">
        <v>97.68</v>
      </c>
      <c r="O227" s="35">
        <v>36.828474999999997</v>
      </c>
    </row>
    <row r="228" spans="1:15" x14ac:dyDescent="0.3">
      <c r="A228" s="35" t="s">
        <v>244</v>
      </c>
      <c r="B228" s="35">
        <v>5</v>
      </c>
      <c r="C228" s="35">
        <v>610</v>
      </c>
      <c r="D228" s="36" t="s">
        <v>420</v>
      </c>
      <c r="E228" s="36" t="s">
        <v>414</v>
      </c>
      <c r="F228" s="35">
        <v>18.5</v>
      </c>
      <c r="G228" s="35">
        <v>9763</v>
      </c>
      <c r="H228" s="35">
        <v>70.680000000000007</v>
      </c>
      <c r="I228" s="35">
        <v>1307.8</v>
      </c>
      <c r="J228" s="35">
        <v>4.2437681602691537</v>
      </c>
      <c r="K228" s="35">
        <v>13.194000000000001</v>
      </c>
      <c r="L228" s="35">
        <v>81.400000000000006</v>
      </c>
      <c r="M228" s="35">
        <v>1.0088698577764186</v>
      </c>
      <c r="N228" s="35">
        <v>97.68</v>
      </c>
      <c r="O228" s="35">
        <v>36.828474999999997</v>
      </c>
    </row>
    <row r="229" spans="1:15" x14ac:dyDescent="0.3">
      <c r="A229" s="35" t="s">
        <v>216</v>
      </c>
      <c r="B229" s="35">
        <v>2.9999999999999996</v>
      </c>
      <c r="C229" s="35">
        <v>970</v>
      </c>
      <c r="D229" s="36" t="s">
        <v>417</v>
      </c>
      <c r="E229" s="36" t="s">
        <v>415</v>
      </c>
      <c r="F229" s="35">
        <v>11.1</v>
      </c>
      <c r="G229" s="35">
        <v>8877</v>
      </c>
      <c r="H229" s="35">
        <v>52.82</v>
      </c>
      <c r="I229" s="35">
        <v>586.4</v>
      </c>
      <c r="J229" s="35">
        <v>10.221691678035473</v>
      </c>
      <c r="K229" s="35">
        <v>5.9037499999999996</v>
      </c>
      <c r="L229" s="35">
        <v>98.706666666666649</v>
      </c>
      <c r="M229" s="35">
        <v>1.0067786493860844</v>
      </c>
      <c r="N229" s="35">
        <v>97.68</v>
      </c>
      <c r="O229" s="35">
        <v>36.828474999999997</v>
      </c>
    </row>
    <row r="230" spans="1:15" x14ac:dyDescent="0.3">
      <c r="A230" s="35" t="s">
        <v>92</v>
      </c>
      <c r="B230" s="35">
        <v>5.9999999999999991</v>
      </c>
      <c r="C230" s="35">
        <v>420</v>
      </c>
      <c r="D230" s="36" t="s">
        <v>422</v>
      </c>
      <c r="E230" s="36" t="s">
        <v>414</v>
      </c>
      <c r="F230" s="35">
        <v>22.2</v>
      </c>
      <c r="G230" s="35">
        <v>8590</v>
      </c>
      <c r="H230" s="35">
        <v>61.92</v>
      </c>
      <c r="I230" s="35">
        <v>1374.6</v>
      </c>
      <c r="J230" s="35">
        <v>4.3605412483631607</v>
      </c>
      <c r="K230" s="35">
        <v>13.831250000000001</v>
      </c>
      <c r="L230" s="35">
        <v>71.573333333333323</v>
      </c>
      <c r="M230" s="35">
        <v>1.0062018041612106</v>
      </c>
      <c r="N230" s="35">
        <v>97.68</v>
      </c>
      <c r="O230" s="35">
        <v>36.828474999999997</v>
      </c>
    </row>
    <row r="231" spans="1:15" x14ac:dyDescent="0.3">
      <c r="A231" s="35" t="s">
        <v>209</v>
      </c>
      <c r="B231" s="35">
        <v>2.9999999999999996</v>
      </c>
      <c r="C231" s="35">
        <v>1170</v>
      </c>
      <c r="D231" s="36" t="s">
        <v>418</v>
      </c>
      <c r="E231" s="36" t="s">
        <v>413</v>
      </c>
      <c r="F231" s="35">
        <v>11.1</v>
      </c>
      <c r="G231" s="35">
        <v>10881</v>
      </c>
      <c r="H231" s="35">
        <v>70.680000000000007</v>
      </c>
      <c r="I231" s="35">
        <v>784.6</v>
      </c>
      <c r="J231" s="35">
        <v>7.6395615600305895</v>
      </c>
      <c r="K231" s="35">
        <v>7.8925000000000001</v>
      </c>
      <c r="L231" s="35">
        <v>75.533333333333331</v>
      </c>
      <c r="M231" s="35">
        <v>1.0059265867958194</v>
      </c>
      <c r="N231" s="35">
        <v>97.68</v>
      </c>
      <c r="O231" s="35">
        <v>36.828474999999997</v>
      </c>
    </row>
    <row r="232" spans="1:15" x14ac:dyDescent="0.3">
      <c r="A232" s="35" t="s">
        <v>241</v>
      </c>
      <c r="B232" s="35">
        <v>4</v>
      </c>
      <c r="C232" s="35">
        <v>840</v>
      </c>
      <c r="D232" s="36" t="s">
        <v>418</v>
      </c>
      <c r="E232" s="36" t="s">
        <v>412</v>
      </c>
      <c r="F232" s="35">
        <v>14.8</v>
      </c>
      <c r="G232" s="35">
        <v>9767</v>
      </c>
      <c r="H232" s="35">
        <v>50.74</v>
      </c>
      <c r="I232" s="35">
        <v>750.8</v>
      </c>
      <c r="J232" s="35">
        <v>7.8060735215769856</v>
      </c>
      <c r="K232" s="35">
        <v>7.5259999999999998</v>
      </c>
      <c r="L232" s="35">
        <v>94.9</v>
      </c>
      <c r="M232" s="35">
        <v>1.0023974427277571</v>
      </c>
      <c r="N232" s="35">
        <v>97.68</v>
      </c>
      <c r="O232" s="35">
        <v>36.828474999999997</v>
      </c>
    </row>
    <row r="233" spans="1:15" x14ac:dyDescent="0.3">
      <c r="A233" s="35" t="s">
        <v>241</v>
      </c>
      <c r="B233" s="35">
        <v>2.9999999999999996</v>
      </c>
      <c r="C233" s="35">
        <v>840</v>
      </c>
      <c r="D233" s="36" t="s">
        <v>420</v>
      </c>
      <c r="E233" s="36" t="s">
        <v>415</v>
      </c>
      <c r="F233" s="35">
        <v>11.1</v>
      </c>
      <c r="G233" s="35">
        <v>6908</v>
      </c>
      <c r="H233" s="35">
        <v>54.8</v>
      </c>
      <c r="I233" s="35">
        <v>608.20000000000005</v>
      </c>
      <c r="J233" s="35">
        <v>9.8553107530417634</v>
      </c>
      <c r="K233" s="35">
        <v>6.0819999999999999</v>
      </c>
      <c r="L233" s="35">
        <v>76.7</v>
      </c>
      <c r="M233" s="35">
        <v>0.99999999999999989</v>
      </c>
      <c r="N233" s="35">
        <v>97.68</v>
      </c>
      <c r="O233" s="35">
        <v>36.828474999999997</v>
      </c>
    </row>
    <row r="234" spans="1:15" x14ac:dyDescent="0.3">
      <c r="A234" s="35" t="s">
        <v>201</v>
      </c>
      <c r="B234" s="35">
        <v>2.9999999999999996</v>
      </c>
      <c r="C234" s="35">
        <v>1050</v>
      </c>
      <c r="D234" s="36" t="s">
        <v>418</v>
      </c>
      <c r="E234" s="36" t="s">
        <v>413</v>
      </c>
      <c r="F234" s="35">
        <v>11.1</v>
      </c>
      <c r="G234" s="35">
        <v>10325</v>
      </c>
      <c r="H234" s="35">
        <v>50.74</v>
      </c>
      <c r="I234" s="35">
        <v>563.20000000000005</v>
      </c>
      <c r="J234" s="35">
        <v>10.642755681818182</v>
      </c>
      <c r="K234" s="35">
        <v>5.63</v>
      </c>
      <c r="L234" s="35">
        <v>71.72</v>
      </c>
      <c r="M234" s="35">
        <v>0.99964488636363624</v>
      </c>
      <c r="N234" s="35">
        <v>97.68</v>
      </c>
      <c r="O234" s="35">
        <v>36.828474999999997</v>
      </c>
    </row>
    <row r="235" spans="1:15" x14ac:dyDescent="0.3">
      <c r="A235" s="35" t="s">
        <v>97</v>
      </c>
      <c r="B235" s="35">
        <v>5</v>
      </c>
      <c r="C235" s="35">
        <v>520</v>
      </c>
      <c r="D235" s="36" t="s">
        <v>421</v>
      </c>
      <c r="E235" s="36">
        <v>6.5</v>
      </c>
      <c r="F235" s="35">
        <v>18.5</v>
      </c>
      <c r="G235" s="35">
        <v>8570</v>
      </c>
      <c r="H235" s="35">
        <v>71.7</v>
      </c>
      <c r="I235" s="35">
        <v>1326.4</v>
      </c>
      <c r="J235" s="35">
        <v>4.1842581423401688</v>
      </c>
      <c r="K235" s="35">
        <v>13.25375</v>
      </c>
      <c r="L235" s="35">
        <v>77.439999999999984</v>
      </c>
      <c r="M235" s="35">
        <v>0.99922723160434257</v>
      </c>
      <c r="N235" s="35">
        <v>92.5</v>
      </c>
      <c r="O235" s="35">
        <v>37.604503000000001</v>
      </c>
    </row>
    <row r="236" spans="1:15" x14ac:dyDescent="0.3">
      <c r="A236" s="35" t="s">
        <v>102</v>
      </c>
      <c r="B236" s="35">
        <v>4</v>
      </c>
      <c r="C236" s="35">
        <v>600</v>
      </c>
      <c r="D236" s="36" t="s">
        <v>422</v>
      </c>
      <c r="E236" s="36" t="s">
        <v>412</v>
      </c>
      <c r="F236" s="35">
        <v>14.8</v>
      </c>
      <c r="G236" s="35">
        <v>7828</v>
      </c>
      <c r="H236" s="35">
        <v>95.8</v>
      </c>
      <c r="I236" s="35">
        <v>1417.8</v>
      </c>
      <c r="J236" s="35">
        <v>4.1337283114684729</v>
      </c>
      <c r="K236" s="35">
        <v>14.0875</v>
      </c>
      <c r="L236" s="35">
        <v>76.11999999999999</v>
      </c>
      <c r="M236" s="35">
        <v>0.99361687120891518</v>
      </c>
      <c r="N236" s="35">
        <v>92.5</v>
      </c>
      <c r="O236" s="35">
        <v>37.604503000000001</v>
      </c>
    </row>
    <row r="237" spans="1:15" x14ac:dyDescent="0.3">
      <c r="A237" s="35" t="s">
        <v>209</v>
      </c>
      <c r="B237" s="35">
        <v>2.9999999999999996</v>
      </c>
      <c r="C237" s="35">
        <v>1170</v>
      </c>
      <c r="D237" s="36" t="s">
        <v>418</v>
      </c>
      <c r="E237" s="36" t="s">
        <v>414</v>
      </c>
      <c r="F237" s="35">
        <v>11.1</v>
      </c>
      <c r="G237" s="35">
        <v>10992</v>
      </c>
      <c r="H237" s="35">
        <v>67.760000000000005</v>
      </c>
      <c r="I237" s="35">
        <v>752.2</v>
      </c>
      <c r="J237" s="35">
        <v>7.9686253655942574</v>
      </c>
      <c r="K237" s="35">
        <v>7.46875</v>
      </c>
      <c r="L237" s="35">
        <v>91.666666666666657</v>
      </c>
      <c r="M237" s="35">
        <v>0.99292076575378874</v>
      </c>
      <c r="N237" s="35">
        <v>92.5</v>
      </c>
      <c r="O237" s="35">
        <v>37.604503000000001</v>
      </c>
    </row>
    <row r="238" spans="1:15" x14ac:dyDescent="0.3">
      <c r="A238" s="35" t="s">
        <v>213</v>
      </c>
      <c r="B238" s="35">
        <v>2.9999999999999996</v>
      </c>
      <c r="C238" s="35">
        <v>840</v>
      </c>
      <c r="D238" s="36" t="s">
        <v>419</v>
      </c>
      <c r="E238" s="36">
        <v>8.5</v>
      </c>
      <c r="F238" s="35">
        <v>11.1</v>
      </c>
      <c r="G238" s="35">
        <v>7500</v>
      </c>
      <c r="H238" s="35">
        <v>56.66</v>
      </c>
      <c r="I238" s="35">
        <v>628.79999999999995</v>
      </c>
      <c r="J238" s="35">
        <v>9.5324427480916043</v>
      </c>
      <c r="K238" s="35">
        <v>6.2262500000000003</v>
      </c>
      <c r="L238" s="35">
        <v>88.586666666666659</v>
      </c>
      <c r="M238" s="35">
        <v>0.99017970737913497</v>
      </c>
      <c r="N238" s="35">
        <v>92.5</v>
      </c>
      <c r="O238" s="35">
        <v>37.604503000000001</v>
      </c>
    </row>
    <row r="239" spans="1:15" x14ac:dyDescent="0.3">
      <c r="A239" s="35" t="s">
        <v>209</v>
      </c>
      <c r="B239" s="35">
        <v>2.9999999999999996</v>
      </c>
      <c r="C239" s="35">
        <v>1170</v>
      </c>
      <c r="D239" s="36" t="s">
        <v>418</v>
      </c>
      <c r="E239" s="36" t="s">
        <v>414</v>
      </c>
      <c r="F239" s="35">
        <v>11.1</v>
      </c>
      <c r="G239" s="35">
        <v>11195</v>
      </c>
      <c r="H239" s="35">
        <v>62.44</v>
      </c>
      <c r="I239" s="35">
        <v>693</v>
      </c>
      <c r="J239" s="35">
        <v>8.6493506493506498</v>
      </c>
      <c r="K239" s="35">
        <v>6.8612500000000001</v>
      </c>
      <c r="L239" s="35">
        <v>93.28</v>
      </c>
      <c r="M239" s="35">
        <v>0.99007936507936511</v>
      </c>
      <c r="N239" s="35">
        <v>99.9</v>
      </c>
      <c r="O239" s="35">
        <v>42.013753000000001</v>
      </c>
    </row>
    <row r="240" spans="1:15" x14ac:dyDescent="0.3">
      <c r="A240" s="35" t="s">
        <v>242</v>
      </c>
      <c r="B240" s="35">
        <v>4</v>
      </c>
      <c r="C240" s="35">
        <v>760</v>
      </c>
      <c r="D240" s="36" t="s">
        <v>419</v>
      </c>
      <c r="E240" s="36" t="s">
        <v>415</v>
      </c>
      <c r="F240" s="35">
        <v>14.8</v>
      </c>
      <c r="G240" s="35">
        <v>8639</v>
      </c>
      <c r="H240" s="35">
        <v>56.12</v>
      </c>
      <c r="I240" s="35">
        <v>830.6</v>
      </c>
      <c r="J240" s="35">
        <v>7.0561040211895021</v>
      </c>
      <c r="K240" s="35">
        <v>8.218</v>
      </c>
      <c r="L240" s="35">
        <v>95.9</v>
      </c>
      <c r="M240" s="35">
        <v>0.98940524921743311</v>
      </c>
      <c r="N240" s="35">
        <v>99.9</v>
      </c>
      <c r="O240" s="35">
        <v>42.013753000000001</v>
      </c>
    </row>
    <row r="241" spans="1:15" x14ac:dyDescent="0.3">
      <c r="A241" s="35" t="s">
        <v>102</v>
      </c>
      <c r="B241" s="35">
        <v>4</v>
      </c>
      <c r="C241" s="35">
        <v>600</v>
      </c>
      <c r="D241" s="36" t="s">
        <v>421</v>
      </c>
      <c r="E241" s="36" t="s">
        <v>415</v>
      </c>
      <c r="F241" s="35">
        <v>14.8</v>
      </c>
      <c r="G241" s="35">
        <v>7962</v>
      </c>
      <c r="H241" s="35">
        <v>79.88</v>
      </c>
      <c r="I241" s="35">
        <v>1182.2</v>
      </c>
      <c r="J241" s="35">
        <v>4.9575367958044332</v>
      </c>
      <c r="K241" s="35">
        <v>11.685</v>
      </c>
      <c r="L241" s="35">
        <v>88.439999999999984</v>
      </c>
      <c r="M241" s="35">
        <v>0.98841143630519368</v>
      </c>
      <c r="N241" s="35">
        <v>99.9</v>
      </c>
      <c r="O241" s="35">
        <v>42.013753000000001</v>
      </c>
    </row>
    <row r="242" spans="1:15" x14ac:dyDescent="0.3">
      <c r="A242" s="35" t="s">
        <v>243</v>
      </c>
      <c r="B242" s="35">
        <v>5</v>
      </c>
      <c r="C242" s="35">
        <v>650</v>
      </c>
      <c r="D242" s="36" t="s">
        <v>420</v>
      </c>
      <c r="E242" s="36" t="s">
        <v>414</v>
      </c>
      <c r="F242" s="35">
        <v>18.5</v>
      </c>
      <c r="G242" s="35">
        <v>9637</v>
      </c>
      <c r="H242" s="35">
        <v>69.14</v>
      </c>
      <c r="I242" s="35">
        <v>1279.2</v>
      </c>
      <c r="J242" s="35">
        <v>4.3386491557223268</v>
      </c>
      <c r="K242" s="35">
        <v>12.638</v>
      </c>
      <c r="L242" s="35">
        <v>80.400000000000006</v>
      </c>
      <c r="M242" s="35">
        <v>0.98796122576610379</v>
      </c>
      <c r="N242" s="35">
        <v>97.68</v>
      </c>
      <c r="O242" s="35">
        <v>48.468474999999998</v>
      </c>
    </row>
    <row r="243" spans="1:15" x14ac:dyDescent="0.3">
      <c r="A243" s="35" t="s">
        <v>244</v>
      </c>
      <c r="B243" s="35">
        <v>5</v>
      </c>
      <c r="C243" s="35">
        <v>610</v>
      </c>
      <c r="D243" s="36" t="s">
        <v>419</v>
      </c>
      <c r="E243" s="36" t="s">
        <v>412</v>
      </c>
      <c r="F243" s="35">
        <v>18.5</v>
      </c>
      <c r="G243" s="35">
        <v>9867</v>
      </c>
      <c r="H243" s="35">
        <v>65.02</v>
      </c>
      <c r="I243" s="35">
        <v>1202.8</v>
      </c>
      <c r="J243" s="35">
        <v>4.6142334552710347</v>
      </c>
      <c r="K243" s="35">
        <v>11.87</v>
      </c>
      <c r="L243" s="35">
        <v>95.9</v>
      </c>
      <c r="M243" s="35">
        <v>0.9868639840372464</v>
      </c>
      <c r="N243" s="35">
        <v>97.68</v>
      </c>
      <c r="O243" s="35">
        <v>48.468474999999998</v>
      </c>
    </row>
    <row r="244" spans="1:15" x14ac:dyDescent="0.3">
      <c r="A244" s="35" t="s">
        <v>102</v>
      </c>
      <c r="B244" s="35">
        <v>4</v>
      </c>
      <c r="C244" s="35">
        <v>600</v>
      </c>
      <c r="D244" s="36" t="s">
        <v>422</v>
      </c>
      <c r="E244" s="36">
        <v>8.5</v>
      </c>
      <c r="F244" s="35">
        <v>14.8</v>
      </c>
      <c r="G244" s="35">
        <v>7775</v>
      </c>
      <c r="H244" s="35">
        <v>98.78</v>
      </c>
      <c r="I244" s="35">
        <v>1462</v>
      </c>
      <c r="J244" s="35">
        <v>4.0087551299589608</v>
      </c>
      <c r="K244" s="35">
        <v>14.387499999999999</v>
      </c>
      <c r="L244" s="35">
        <v>91.813333333333333</v>
      </c>
      <c r="M244" s="35">
        <v>0.98409712722298226</v>
      </c>
      <c r="N244" s="35">
        <v>97.68</v>
      </c>
      <c r="O244" s="35">
        <v>48.468474999999998</v>
      </c>
    </row>
    <row r="245" spans="1:15" x14ac:dyDescent="0.3">
      <c r="A245" s="35" t="s">
        <v>209</v>
      </c>
      <c r="B245" s="35">
        <v>2.9999999999999996</v>
      </c>
      <c r="C245" s="35">
        <v>1170</v>
      </c>
      <c r="D245" s="36" t="s">
        <v>418</v>
      </c>
      <c r="E245" s="36" t="s">
        <v>413</v>
      </c>
      <c r="F245" s="35">
        <v>11.1</v>
      </c>
      <c r="G245" s="35">
        <v>10697</v>
      </c>
      <c r="H245" s="35">
        <v>66.48</v>
      </c>
      <c r="I245" s="35">
        <v>737.8</v>
      </c>
      <c r="J245" s="35">
        <v>8.1241528869612374</v>
      </c>
      <c r="K245" s="35">
        <v>7.2537500000000001</v>
      </c>
      <c r="L245" s="35">
        <v>74.213333333333324</v>
      </c>
      <c r="M245" s="35">
        <v>0.98315939278937392</v>
      </c>
      <c r="N245" s="35">
        <v>97.68</v>
      </c>
      <c r="O245" s="35">
        <v>48.468474999999998</v>
      </c>
    </row>
    <row r="246" spans="1:15" x14ac:dyDescent="0.3">
      <c r="A246" s="35" t="s">
        <v>216</v>
      </c>
      <c r="B246" s="35">
        <v>2.9999999999999996</v>
      </c>
      <c r="C246" s="35">
        <v>970</v>
      </c>
      <c r="D246" s="36" t="s">
        <v>418</v>
      </c>
      <c r="E246" s="36" t="s">
        <v>412</v>
      </c>
      <c r="F246" s="35">
        <v>11.1</v>
      </c>
      <c r="G246" s="35">
        <v>8900</v>
      </c>
      <c r="H246" s="35">
        <v>54.26</v>
      </c>
      <c r="I246" s="35">
        <v>602.4</v>
      </c>
      <c r="J246" s="35">
        <v>9.9501992031872515</v>
      </c>
      <c r="K246" s="35">
        <v>5.9212499999999997</v>
      </c>
      <c r="L246" s="35">
        <v>86.533333333333331</v>
      </c>
      <c r="M246" s="35">
        <v>0.98294322709163351</v>
      </c>
      <c r="N246" s="35">
        <v>97.68</v>
      </c>
      <c r="O246" s="35">
        <v>48.468474999999998</v>
      </c>
    </row>
    <row r="247" spans="1:15" x14ac:dyDescent="0.3">
      <c r="A247" s="35" t="s">
        <v>241</v>
      </c>
      <c r="B247" s="35">
        <v>5</v>
      </c>
      <c r="C247" s="35">
        <v>840</v>
      </c>
      <c r="D247" s="36" t="s">
        <v>417</v>
      </c>
      <c r="E247" s="36">
        <v>4.5</v>
      </c>
      <c r="F247" s="35">
        <v>18.5</v>
      </c>
      <c r="G247" s="35">
        <v>12845</v>
      </c>
      <c r="H247" s="35">
        <v>42.6</v>
      </c>
      <c r="I247" s="35">
        <v>788</v>
      </c>
      <c r="J247" s="35">
        <v>7.0431472081218276</v>
      </c>
      <c r="K247" s="35">
        <v>7.742</v>
      </c>
      <c r="L247" s="35">
        <v>80.2</v>
      </c>
      <c r="M247" s="35">
        <v>0.98248730964467013</v>
      </c>
      <c r="N247" s="35">
        <v>97.68</v>
      </c>
      <c r="O247" s="35">
        <v>48.468474999999998</v>
      </c>
    </row>
    <row r="248" spans="1:15" x14ac:dyDescent="0.3">
      <c r="A248" s="35" t="s">
        <v>216</v>
      </c>
      <c r="B248" s="35">
        <v>2.9999999999999996</v>
      </c>
      <c r="C248" s="35">
        <v>970</v>
      </c>
      <c r="D248" s="36" t="s">
        <v>420</v>
      </c>
      <c r="E248" s="36" t="s">
        <v>412</v>
      </c>
      <c r="F248" s="35">
        <v>11.1</v>
      </c>
      <c r="G248" s="35">
        <v>7993</v>
      </c>
      <c r="H248" s="35">
        <v>76.28</v>
      </c>
      <c r="I248" s="35">
        <v>846.8</v>
      </c>
      <c r="J248" s="35">
        <v>7.0784128483703359</v>
      </c>
      <c r="K248" s="35">
        <v>8.2799999999999994</v>
      </c>
      <c r="L248" s="35">
        <v>77.733333333333334</v>
      </c>
      <c r="M248" s="35">
        <v>0.97779877184695319</v>
      </c>
      <c r="N248" s="35">
        <v>97.68</v>
      </c>
      <c r="O248" s="35">
        <v>48.468474999999998</v>
      </c>
    </row>
    <row r="249" spans="1:15" x14ac:dyDescent="0.3">
      <c r="A249" s="35" t="s">
        <v>213</v>
      </c>
      <c r="B249" s="35">
        <v>4</v>
      </c>
      <c r="C249" s="35">
        <v>840</v>
      </c>
      <c r="D249" s="36" t="s">
        <v>419</v>
      </c>
      <c r="E249" s="36" t="s">
        <v>413</v>
      </c>
      <c r="F249" s="35">
        <v>14.8</v>
      </c>
      <c r="G249" s="35">
        <v>10446</v>
      </c>
      <c r="H249" s="35">
        <v>56.38</v>
      </c>
      <c r="I249" s="35">
        <v>834.4</v>
      </c>
      <c r="J249" s="35">
        <v>7.0239693192713331</v>
      </c>
      <c r="K249" s="35">
        <v>8.1487499999999997</v>
      </c>
      <c r="L249" s="35">
        <v>72.599999999999994</v>
      </c>
      <c r="M249" s="35">
        <v>0.97659995206136141</v>
      </c>
      <c r="N249" s="35">
        <v>97.68</v>
      </c>
      <c r="O249" s="35">
        <v>48.468474999999998</v>
      </c>
    </row>
    <row r="250" spans="1:15" x14ac:dyDescent="0.3">
      <c r="A250" s="35" t="s">
        <v>92</v>
      </c>
      <c r="B250" s="35">
        <v>5.9999999999999991</v>
      </c>
      <c r="C250" s="35">
        <v>420</v>
      </c>
      <c r="D250" s="36" t="s">
        <v>420</v>
      </c>
      <c r="E250" s="36" t="s">
        <v>415</v>
      </c>
      <c r="F250" s="35">
        <v>22.2</v>
      </c>
      <c r="G250" s="35">
        <v>8510</v>
      </c>
      <c r="H250" s="35">
        <v>65.8</v>
      </c>
      <c r="I250" s="35">
        <v>1460.8</v>
      </c>
      <c r="J250" s="35">
        <v>4.1032311062431548</v>
      </c>
      <c r="K250" s="35">
        <v>14.26</v>
      </c>
      <c r="L250" s="35">
        <v>94.6</v>
      </c>
      <c r="M250" s="35">
        <v>0.9761774370208105</v>
      </c>
      <c r="N250" s="35">
        <v>97.68</v>
      </c>
      <c r="O250" s="35">
        <v>48.468474999999998</v>
      </c>
    </row>
    <row r="251" spans="1:15" x14ac:dyDescent="0.3">
      <c r="A251" s="35" t="s">
        <v>243</v>
      </c>
      <c r="B251" s="35">
        <v>5</v>
      </c>
      <c r="C251" s="35">
        <v>650</v>
      </c>
      <c r="D251" s="36" t="s">
        <v>418</v>
      </c>
      <c r="E251" s="36" t="s">
        <v>412</v>
      </c>
      <c r="F251" s="35">
        <v>18.5</v>
      </c>
      <c r="G251" s="35">
        <v>10064</v>
      </c>
      <c r="H251" s="35">
        <v>53.24</v>
      </c>
      <c r="I251" s="35">
        <v>984.8</v>
      </c>
      <c r="J251" s="35">
        <v>5.63566206336312</v>
      </c>
      <c r="K251" s="35">
        <v>9.6120000000000001</v>
      </c>
      <c r="L251" s="35">
        <v>97.8</v>
      </c>
      <c r="M251" s="35">
        <v>0.9760357432981317</v>
      </c>
      <c r="N251" s="35">
        <v>97.68</v>
      </c>
      <c r="O251" s="35">
        <v>48.468474999999998</v>
      </c>
    </row>
    <row r="252" spans="1:15" x14ac:dyDescent="0.3">
      <c r="A252" s="35" t="s">
        <v>254</v>
      </c>
      <c r="B252" s="35">
        <v>2.9999999999999996</v>
      </c>
      <c r="C252" s="35">
        <v>1080</v>
      </c>
      <c r="D252" s="36" t="s">
        <v>420</v>
      </c>
      <c r="E252" s="36" t="s">
        <v>414</v>
      </c>
      <c r="F252" s="35">
        <v>11.1</v>
      </c>
      <c r="G252" s="35">
        <v>9387</v>
      </c>
      <c r="H252" s="35">
        <v>103.54</v>
      </c>
      <c r="I252" s="35">
        <v>1149.4000000000001</v>
      </c>
      <c r="J252" s="35">
        <v>5.2148947276840092</v>
      </c>
      <c r="K252" s="35">
        <v>11.218</v>
      </c>
      <c r="L252" s="35">
        <v>78.2</v>
      </c>
      <c r="M252" s="35">
        <v>0.97598747172437783</v>
      </c>
      <c r="N252" s="35">
        <v>97.68</v>
      </c>
      <c r="O252" s="35">
        <v>48.468474999999998</v>
      </c>
    </row>
    <row r="253" spans="1:15" x14ac:dyDescent="0.3">
      <c r="A253" s="35" t="s">
        <v>102</v>
      </c>
      <c r="B253" s="35">
        <v>4</v>
      </c>
      <c r="C253" s="35">
        <v>600</v>
      </c>
      <c r="D253" s="36" t="s">
        <v>422</v>
      </c>
      <c r="E253" s="36" t="s">
        <v>418</v>
      </c>
      <c r="F253" s="35">
        <v>14.8</v>
      </c>
      <c r="G253" s="35">
        <v>7775</v>
      </c>
      <c r="H253" s="35">
        <v>98.8</v>
      </c>
      <c r="I253" s="35">
        <v>1462.2</v>
      </c>
      <c r="J253" s="35">
        <v>4.0082068116536727</v>
      </c>
      <c r="K253" s="35">
        <v>14.255000000000001</v>
      </c>
      <c r="L253" s="35">
        <v>107.94666666666664</v>
      </c>
      <c r="M253" s="35">
        <v>0.97490083435918473</v>
      </c>
      <c r="N253" s="35">
        <v>92.5</v>
      </c>
      <c r="O253" s="35">
        <v>49.244502999999995</v>
      </c>
    </row>
    <row r="254" spans="1:15" x14ac:dyDescent="0.3">
      <c r="A254" s="35" t="s">
        <v>111</v>
      </c>
      <c r="B254" s="35">
        <v>4</v>
      </c>
      <c r="C254" s="35">
        <v>460</v>
      </c>
      <c r="D254" s="36" t="s">
        <v>423</v>
      </c>
      <c r="E254" s="36" t="s">
        <v>418</v>
      </c>
      <c r="F254" s="35">
        <v>14.8</v>
      </c>
      <c r="G254" s="35">
        <v>6207</v>
      </c>
      <c r="H254" s="35">
        <v>78.959999999999994</v>
      </c>
      <c r="I254" s="35">
        <v>1168.8</v>
      </c>
      <c r="J254" s="35">
        <v>5.014373716632444</v>
      </c>
      <c r="K254" s="35">
        <v>11.38875</v>
      </c>
      <c r="L254" s="35">
        <v>86.24</v>
      </c>
      <c r="M254" s="35">
        <v>0.97439681724845995</v>
      </c>
      <c r="N254" s="35">
        <v>92.5</v>
      </c>
      <c r="O254" s="35">
        <v>49.244502999999995</v>
      </c>
    </row>
    <row r="255" spans="1:15" x14ac:dyDescent="0.3">
      <c r="A255" s="35" t="s">
        <v>217</v>
      </c>
      <c r="B255" s="35">
        <v>2.9999999999999996</v>
      </c>
      <c r="C255" s="35">
        <v>1140</v>
      </c>
      <c r="D255" s="36" t="s">
        <v>419</v>
      </c>
      <c r="E255" s="36" t="s">
        <v>413</v>
      </c>
      <c r="F255" s="35">
        <v>11.1</v>
      </c>
      <c r="G255" s="35">
        <v>10565</v>
      </c>
      <c r="H255" s="35">
        <v>79.180000000000007</v>
      </c>
      <c r="I255" s="35">
        <v>878.8</v>
      </c>
      <c r="J255" s="35">
        <v>6.8206645425580348</v>
      </c>
      <c r="K255" s="35">
        <v>8.5399999999999991</v>
      </c>
      <c r="L255" s="35">
        <v>73.333333333333329</v>
      </c>
      <c r="M255" s="35">
        <v>0.97177969959035049</v>
      </c>
      <c r="N255" s="35">
        <v>92.5</v>
      </c>
      <c r="O255" s="35">
        <v>49.244502999999995</v>
      </c>
    </row>
    <row r="256" spans="1:15" x14ac:dyDescent="0.3">
      <c r="A256" s="35" t="s">
        <v>213</v>
      </c>
      <c r="B256" s="35">
        <v>4</v>
      </c>
      <c r="C256" s="35">
        <v>840</v>
      </c>
      <c r="D256" s="36" t="s">
        <v>419</v>
      </c>
      <c r="E256" s="36">
        <v>5.5</v>
      </c>
      <c r="F256" s="35">
        <v>14.8</v>
      </c>
      <c r="G256" s="35">
        <v>9965</v>
      </c>
      <c r="H256" s="35">
        <v>67.680000000000007</v>
      </c>
      <c r="I256" s="35">
        <v>1001.6</v>
      </c>
      <c r="J256" s="35">
        <v>5.8514376996805115</v>
      </c>
      <c r="K256" s="35">
        <v>9.7262500000000003</v>
      </c>
      <c r="L256" s="35">
        <v>76.11999999999999</v>
      </c>
      <c r="M256" s="35">
        <v>0.97107128594249204</v>
      </c>
      <c r="N256" s="35">
        <v>92.5</v>
      </c>
      <c r="O256" s="35">
        <v>49.244502999999995</v>
      </c>
    </row>
    <row r="257" spans="1:15" x14ac:dyDescent="0.3">
      <c r="A257" s="35" t="s">
        <v>201</v>
      </c>
      <c r="B257" s="35">
        <v>2.9999999999999996</v>
      </c>
      <c r="C257" s="35">
        <v>1050</v>
      </c>
      <c r="D257" s="36" t="s">
        <v>417</v>
      </c>
      <c r="E257" s="36" t="s">
        <v>414</v>
      </c>
      <c r="F257" s="35">
        <v>11.1</v>
      </c>
      <c r="G257" s="35">
        <v>10469</v>
      </c>
      <c r="H257" s="35">
        <v>47.54</v>
      </c>
      <c r="I257" s="35">
        <v>527.6</v>
      </c>
      <c r="J257" s="35">
        <v>11.360879454131918</v>
      </c>
      <c r="K257" s="35">
        <v>5.1187500000000004</v>
      </c>
      <c r="L257" s="35">
        <v>87.266666666666666</v>
      </c>
      <c r="M257" s="35">
        <v>0.97019522365428357</v>
      </c>
      <c r="N257" s="35">
        <v>92.5</v>
      </c>
      <c r="O257" s="35">
        <v>49.244502999999995</v>
      </c>
    </row>
    <row r="258" spans="1:15" x14ac:dyDescent="0.3">
      <c r="A258" s="35" t="s">
        <v>254</v>
      </c>
      <c r="B258" s="35">
        <v>2.9999999999999996</v>
      </c>
      <c r="C258" s="35">
        <v>1080</v>
      </c>
      <c r="D258" s="36" t="s">
        <v>418</v>
      </c>
      <c r="E258" s="36" t="s">
        <v>414</v>
      </c>
      <c r="F258" s="35">
        <v>11.1</v>
      </c>
      <c r="G258" s="35">
        <v>10356</v>
      </c>
      <c r="H258" s="35">
        <v>66.14</v>
      </c>
      <c r="I258" s="35">
        <v>734.2</v>
      </c>
      <c r="J258" s="35">
        <v>8.1639880141650778</v>
      </c>
      <c r="K258" s="35">
        <v>7.12</v>
      </c>
      <c r="L258" s="35">
        <v>86.2</v>
      </c>
      <c r="M258" s="35">
        <v>0.96976300735494414</v>
      </c>
      <c r="N258" s="35">
        <v>92.5</v>
      </c>
      <c r="O258" s="35">
        <v>49.244502999999995</v>
      </c>
    </row>
    <row r="259" spans="1:15" x14ac:dyDescent="0.3">
      <c r="A259" s="35" t="s">
        <v>216</v>
      </c>
      <c r="B259" s="35">
        <v>2.9999999999999996</v>
      </c>
      <c r="C259" s="35">
        <v>970</v>
      </c>
      <c r="D259" s="36" t="s">
        <v>419</v>
      </c>
      <c r="E259" s="36" t="s">
        <v>415</v>
      </c>
      <c r="F259" s="35">
        <v>11.1</v>
      </c>
      <c r="G259" s="35">
        <v>8056</v>
      </c>
      <c r="H259" s="35">
        <v>75.5</v>
      </c>
      <c r="I259" s="35">
        <v>838</v>
      </c>
      <c r="J259" s="35">
        <v>7.1527446300715996</v>
      </c>
      <c r="K259" s="35">
        <v>8.1125000000000007</v>
      </c>
      <c r="L259" s="35">
        <v>89.466666666666654</v>
      </c>
      <c r="M259" s="35">
        <v>0.96807875894988071</v>
      </c>
      <c r="N259" s="35">
        <v>92.5</v>
      </c>
      <c r="O259" s="35">
        <v>49.244502999999995</v>
      </c>
    </row>
    <row r="260" spans="1:15" x14ac:dyDescent="0.3">
      <c r="A260" s="35" t="s">
        <v>201</v>
      </c>
      <c r="B260" s="35">
        <v>2.9999999999999996</v>
      </c>
      <c r="C260" s="35">
        <v>1050</v>
      </c>
      <c r="D260" s="36" t="s">
        <v>418</v>
      </c>
      <c r="E260" s="36" t="s">
        <v>414</v>
      </c>
      <c r="F260" s="35">
        <v>11.1</v>
      </c>
      <c r="G260" s="35">
        <v>9730</v>
      </c>
      <c r="H260" s="35">
        <v>59.44</v>
      </c>
      <c r="I260" s="35">
        <v>659.6</v>
      </c>
      <c r="J260" s="35">
        <v>9.0873256519102501</v>
      </c>
      <c r="K260" s="35">
        <v>6.3849999999999998</v>
      </c>
      <c r="L260" s="35">
        <v>81.106666666666655</v>
      </c>
      <c r="M260" s="35">
        <v>0.96801091570648867</v>
      </c>
      <c r="N260" s="35">
        <v>92.5</v>
      </c>
      <c r="O260" s="35">
        <v>49.244502999999995</v>
      </c>
    </row>
    <row r="261" spans="1:15" x14ac:dyDescent="0.3">
      <c r="A261" s="35" t="s">
        <v>243</v>
      </c>
      <c r="B261" s="35">
        <v>5</v>
      </c>
      <c r="C261" s="35">
        <v>650</v>
      </c>
      <c r="D261" s="36" t="s">
        <v>420</v>
      </c>
      <c r="E261" s="36" t="s">
        <v>414</v>
      </c>
      <c r="F261" s="35">
        <v>18.5</v>
      </c>
      <c r="G261" s="35">
        <v>9509</v>
      </c>
      <c r="H261" s="35">
        <v>72.34</v>
      </c>
      <c r="I261" s="35">
        <v>1338.4</v>
      </c>
      <c r="J261" s="35">
        <v>4.146742378959952</v>
      </c>
      <c r="K261" s="35">
        <v>12.946</v>
      </c>
      <c r="L261" s="35">
        <v>79.2</v>
      </c>
      <c r="M261" s="35">
        <v>0.96727435744172141</v>
      </c>
      <c r="N261" s="35">
        <v>92.5</v>
      </c>
      <c r="O261" s="35">
        <v>49.244502999999995</v>
      </c>
    </row>
    <row r="262" spans="1:15" x14ac:dyDescent="0.3">
      <c r="A262" s="35" t="s">
        <v>217</v>
      </c>
      <c r="B262" s="35">
        <v>2.9999999999999996</v>
      </c>
      <c r="C262" s="35">
        <v>1140</v>
      </c>
      <c r="D262" s="36" t="s">
        <v>419</v>
      </c>
      <c r="E262" s="36">
        <v>5.5</v>
      </c>
      <c r="F262" s="35">
        <v>11.1</v>
      </c>
      <c r="G262" s="35">
        <v>10006</v>
      </c>
      <c r="H262" s="35">
        <v>92.34</v>
      </c>
      <c r="I262" s="35">
        <v>1025</v>
      </c>
      <c r="J262" s="35">
        <v>5.8478048780487804</v>
      </c>
      <c r="K262" s="35">
        <v>9.9075000000000006</v>
      </c>
      <c r="L262" s="35">
        <v>76.413333333333327</v>
      </c>
      <c r="M262" s="35">
        <v>0.96658536585365862</v>
      </c>
      <c r="N262" s="35">
        <v>92.5</v>
      </c>
      <c r="O262" s="35">
        <v>49.244502999999995</v>
      </c>
    </row>
    <row r="263" spans="1:15" x14ac:dyDescent="0.3">
      <c r="A263" s="35" t="s">
        <v>209</v>
      </c>
      <c r="B263" s="35">
        <v>2.9999999999999996</v>
      </c>
      <c r="C263" s="35">
        <v>1170</v>
      </c>
      <c r="D263" s="36" t="s">
        <v>418</v>
      </c>
      <c r="E263" s="36" t="s">
        <v>413</v>
      </c>
      <c r="F263" s="35">
        <v>11.1</v>
      </c>
      <c r="G263" s="35">
        <v>11194</v>
      </c>
      <c r="H263" s="35">
        <v>62.66</v>
      </c>
      <c r="I263" s="35">
        <v>695.6</v>
      </c>
      <c r="J263" s="35">
        <v>8.6170212765957448</v>
      </c>
      <c r="K263" s="35">
        <v>6.7149999999999999</v>
      </c>
      <c r="L263" s="35">
        <v>77.733333333333334</v>
      </c>
      <c r="M263" s="35">
        <v>0.96535365152386421</v>
      </c>
      <c r="N263" s="35">
        <v>92.5</v>
      </c>
      <c r="O263" s="35">
        <v>49.244502999999995</v>
      </c>
    </row>
    <row r="264" spans="1:15" x14ac:dyDescent="0.3">
      <c r="A264" s="35" t="s">
        <v>97</v>
      </c>
      <c r="B264" s="35">
        <v>4</v>
      </c>
      <c r="C264" s="35">
        <v>520</v>
      </c>
      <c r="D264" s="36" t="s">
        <v>423</v>
      </c>
      <c r="E264" s="36" t="s">
        <v>418</v>
      </c>
      <c r="F264" s="35">
        <v>14.8</v>
      </c>
      <c r="G264" s="35">
        <v>6445</v>
      </c>
      <c r="H264" s="35">
        <v>96.26</v>
      </c>
      <c r="I264" s="35">
        <v>1424.6</v>
      </c>
      <c r="J264" s="35">
        <v>4.1139969114137305</v>
      </c>
      <c r="K264" s="35">
        <v>13.734999999999999</v>
      </c>
      <c r="L264" s="35">
        <v>89.466666666666654</v>
      </c>
      <c r="M264" s="35">
        <v>0.96413028218447283</v>
      </c>
      <c r="N264" s="35">
        <v>92.5</v>
      </c>
      <c r="O264" s="35">
        <v>49.244502999999995</v>
      </c>
    </row>
    <row r="265" spans="1:15" x14ac:dyDescent="0.3">
      <c r="A265" s="35" t="s">
        <v>201</v>
      </c>
      <c r="B265" s="35">
        <v>2.9999999999999996</v>
      </c>
      <c r="C265" s="35">
        <v>1050</v>
      </c>
      <c r="D265" s="36" t="s">
        <v>419</v>
      </c>
      <c r="E265" s="36" t="s">
        <v>413</v>
      </c>
      <c r="F265" s="35">
        <v>11.1</v>
      </c>
      <c r="G265" s="35">
        <v>9629</v>
      </c>
      <c r="H265" s="35">
        <v>62.46</v>
      </c>
      <c r="I265" s="35">
        <v>693.2</v>
      </c>
      <c r="J265" s="35">
        <v>8.6468551644547027</v>
      </c>
      <c r="K265" s="35">
        <v>6.68</v>
      </c>
      <c r="L265" s="35">
        <v>66.88</v>
      </c>
      <c r="M265" s="35">
        <v>0.9636468551644547</v>
      </c>
      <c r="N265" s="35">
        <v>92.5</v>
      </c>
      <c r="O265" s="35">
        <v>49.244502999999995</v>
      </c>
    </row>
    <row r="266" spans="1:15" x14ac:dyDescent="0.3">
      <c r="A266" s="35" t="s">
        <v>254</v>
      </c>
      <c r="B266" s="35">
        <v>2.9999999999999996</v>
      </c>
      <c r="C266" s="35">
        <v>1080</v>
      </c>
      <c r="D266" s="36" t="s">
        <v>417</v>
      </c>
      <c r="E266" s="36" t="s">
        <v>412</v>
      </c>
      <c r="F266" s="35">
        <v>11.1</v>
      </c>
      <c r="G266" s="35">
        <v>10342</v>
      </c>
      <c r="H266" s="35">
        <v>67.08</v>
      </c>
      <c r="I266" s="35">
        <v>746.6</v>
      </c>
      <c r="J266" s="35">
        <v>8.0283953924457538</v>
      </c>
      <c r="K266" s="35">
        <v>7.1639999999999997</v>
      </c>
      <c r="L266" s="35">
        <v>100.6</v>
      </c>
      <c r="M266" s="35">
        <v>0.95954995981784086</v>
      </c>
      <c r="N266" s="35">
        <v>92.5</v>
      </c>
      <c r="O266" s="35">
        <v>49.244502999999995</v>
      </c>
    </row>
    <row r="267" spans="1:15" x14ac:dyDescent="0.3">
      <c r="A267" s="35" t="s">
        <v>108</v>
      </c>
      <c r="B267" s="35">
        <v>5.9999999999999991</v>
      </c>
      <c r="C267" s="35">
        <v>310</v>
      </c>
      <c r="D267" s="36" t="s">
        <v>423</v>
      </c>
      <c r="E267" s="36" t="s">
        <v>418</v>
      </c>
      <c r="F267" s="35">
        <v>22.2</v>
      </c>
      <c r="G267" s="35">
        <v>6346</v>
      </c>
      <c r="H267" s="35">
        <v>56.74</v>
      </c>
      <c r="I267" s="35">
        <v>1259.5999999999999</v>
      </c>
      <c r="J267" s="35">
        <v>4.7586535408066064</v>
      </c>
      <c r="K267" s="35">
        <v>12.06625</v>
      </c>
      <c r="L267" s="35">
        <v>88.146666666666661</v>
      </c>
      <c r="M267" s="35">
        <v>0.95794299777707226</v>
      </c>
      <c r="N267" s="35">
        <v>99.9</v>
      </c>
      <c r="O267" s="35">
        <v>53.653752999999995</v>
      </c>
    </row>
    <row r="268" spans="1:15" x14ac:dyDescent="0.3">
      <c r="A268" s="35" t="s">
        <v>203</v>
      </c>
      <c r="B268" s="35">
        <v>2.9999999999999996</v>
      </c>
      <c r="C268" s="35">
        <v>1400</v>
      </c>
      <c r="D268" s="36" t="s">
        <v>417</v>
      </c>
      <c r="E268" s="36" t="s">
        <v>413</v>
      </c>
      <c r="F268" s="35">
        <v>11.1</v>
      </c>
      <c r="G268" s="35">
        <v>12620</v>
      </c>
      <c r="H268" s="35">
        <v>62.04</v>
      </c>
      <c r="I268" s="35">
        <v>688.6</v>
      </c>
      <c r="J268" s="35">
        <v>8.7046180656404299</v>
      </c>
      <c r="K268" s="35">
        <v>6.5737500000000004</v>
      </c>
      <c r="L268" s="35">
        <v>87.706666666666649</v>
      </c>
      <c r="M268" s="35">
        <v>0.95465437118791752</v>
      </c>
      <c r="N268" s="35">
        <v>99.9</v>
      </c>
      <c r="O268" s="35">
        <v>53.653752999999995</v>
      </c>
    </row>
    <row r="269" spans="1:15" x14ac:dyDescent="0.3">
      <c r="A269" s="35" t="s">
        <v>207</v>
      </c>
      <c r="B269" s="35">
        <v>4</v>
      </c>
      <c r="C269" s="35">
        <v>850</v>
      </c>
      <c r="D269" s="36" t="s">
        <v>418</v>
      </c>
      <c r="E269" s="36" t="s">
        <v>414</v>
      </c>
      <c r="F269" s="35">
        <v>14.8</v>
      </c>
      <c r="G269" s="35">
        <v>11295</v>
      </c>
      <c r="H269" s="35">
        <v>49.42</v>
      </c>
      <c r="I269" s="35">
        <v>731.2</v>
      </c>
      <c r="J269" s="35">
        <v>8.0153172866520777</v>
      </c>
      <c r="K269" s="35">
        <v>6.98</v>
      </c>
      <c r="L269" s="35">
        <v>94.16</v>
      </c>
      <c r="M269" s="35">
        <v>0.95459518599562365</v>
      </c>
      <c r="N269" s="35">
        <v>99.9</v>
      </c>
      <c r="O269" s="35">
        <v>53.653752999999995</v>
      </c>
    </row>
    <row r="270" spans="1:15" x14ac:dyDescent="0.3">
      <c r="A270" s="35" t="s">
        <v>213</v>
      </c>
      <c r="B270" s="35">
        <v>4</v>
      </c>
      <c r="C270" s="35">
        <v>840</v>
      </c>
      <c r="D270" s="36" t="s">
        <v>418</v>
      </c>
      <c r="E270" s="36" t="s">
        <v>414</v>
      </c>
      <c r="F270" s="35">
        <v>14.8</v>
      </c>
      <c r="G270" s="35">
        <v>10548</v>
      </c>
      <c r="H270" s="35">
        <v>54.22</v>
      </c>
      <c r="I270" s="35">
        <v>802.6</v>
      </c>
      <c r="J270" s="35">
        <v>7.3022676302018441</v>
      </c>
      <c r="K270" s="35">
        <v>7.6587500000000004</v>
      </c>
      <c r="L270" s="35">
        <v>87.853333333333325</v>
      </c>
      <c r="M270" s="35">
        <v>0.95424246199850482</v>
      </c>
      <c r="N270" s="35">
        <v>99.9</v>
      </c>
      <c r="O270" s="35">
        <v>53.653752999999995</v>
      </c>
    </row>
    <row r="271" spans="1:15" x14ac:dyDescent="0.3">
      <c r="A271" s="35" t="s">
        <v>253</v>
      </c>
      <c r="B271" s="35">
        <v>2.9999999999999996</v>
      </c>
      <c r="C271" s="35">
        <v>1300</v>
      </c>
      <c r="D271" s="36" t="s">
        <v>418</v>
      </c>
      <c r="E271" s="36" t="s">
        <v>413</v>
      </c>
      <c r="F271" s="35">
        <v>11.1</v>
      </c>
      <c r="G271" s="35">
        <v>10988</v>
      </c>
      <c r="H271" s="35">
        <v>85.84</v>
      </c>
      <c r="I271" s="35">
        <v>952.8</v>
      </c>
      <c r="J271" s="35">
        <v>6.2909319899244336</v>
      </c>
      <c r="K271" s="35">
        <v>9.0779999999999994</v>
      </c>
      <c r="L271" s="35">
        <v>76.3</v>
      </c>
      <c r="M271" s="35">
        <v>0.95277078085642308</v>
      </c>
      <c r="N271" s="35">
        <v>99.9</v>
      </c>
      <c r="O271" s="35">
        <v>53.653752999999995</v>
      </c>
    </row>
    <row r="272" spans="1:15" x14ac:dyDescent="0.3">
      <c r="A272" s="35" t="s">
        <v>277</v>
      </c>
      <c r="B272" s="35">
        <v>4</v>
      </c>
      <c r="C272" s="35">
        <v>890</v>
      </c>
      <c r="D272" s="36" t="s">
        <v>418</v>
      </c>
      <c r="E272" s="36" t="s">
        <v>413</v>
      </c>
      <c r="F272" s="35">
        <v>14.8</v>
      </c>
      <c r="G272" s="35">
        <v>11384</v>
      </c>
      <c r="H272" s="35">
        <v>58.76</v>
      </c>
      <c r="I272" s="35">
        <v>869.6</v>
      </c>
      <c r="J272" s="35">
        <v>6.7396504139834406</v>
      </c>
      <c r="K272" s="35">
        <v>8.27</v>
      </c>
      <c r="L272" s="35">
        <v>79.099999999999994</v>
      </c>
      <c r="M272" s="35">
        <v>0.9510119595216191</v>
      </c>
      <c r="N272" s="35">
        <v>99.9</v>
      </c>
      <c r="O272" s="35">
        <v>53.653752999999995</v>
      </c>
    </row>
    <row r="273" spans="1:15" x14ac:dyDescent="0.3">
      <c r="A273" s="35" t="s">
        <v>217</v>
      </c>
      <c r="B273" s="35">
        <v>2.9999999999999996</v>
      </c>
      <c r="C273" s="35">
        <v>1140</v>
      </c>
      <c r="D273" s="36" t="s">
        <v>418</v>
      </c>
      <c r="E273" s="36" t="s">
        <v>414</v>
      </c>
      <c r="F273" s="35">
        <v>11.1</v>
      </c>
      <c r="G273" s="35">
        <v>10563</v>
      </c>
      <c r="H273" s="35">
        <v>73.16</v>
      </c>
      <c r="I273" s="35">
        <v>812</v>
      </c>
      <c r="J273" s="35">
        <v>7.3817733990147785</v>
      </c>
      <c r="K273" s="35">
        <v>7.7074999999999996</v>
      </c>
      <c r="L273" s="35">
        <v>88</v>
      </c>
      <c r="M273" s="35">
        <v>0.94919950738916248</v>
      </c>
      <c r="N273" s="35">
        <v>99.9</v>
      </c>
      <c r="O273" s="35">
        <v>53.653752999999995</v>
      </c>
    </row>
    <row r="274" spans="1:15" x14ac:dyDescent="0.3">
      <c r="A274" s="35" t="s">
        <v>243</v>
      </c>
      <c r="B274" s="35">
        <v>5</v>
      </c>
      <c r="C274" s="35">
        <v>650</v>
      </c>
      <c r="D274" s="36" t="s">
        <v>419</v>
      </c>
      <c r="E274" s="36" t="s">
        <v>412</v>
      </c>
      <c r="F274" s="35">
        <v>18.5</v>
      </c>
      <c r="G274" s="35">
        <v>9711</v>
      </c>
      <c r="H274" s="35">
        <v>64.680000000000007</v>
      </c>
      <c r="I274" s="35">
        <v>1196.5999999999999</v>
      </c>
      <c r="J274" s="35">
        <v>4.6381414006351331</v>
      </c>
      <c r="K274" s="35">
        <v>11.358000000000001</v>
      </c>
      <c r="L274" s="35">
        <v>94.5</v>
      </c>
      <c r="M274" s="35">
        <v>0.94918936988133051</v>
      </c>
      <c r="N274" s="35">
        <v>99.9</v>
      </c>
      <c r="O274" s="35">
        <v>53.653752999999995</v>
      </c>
    </row>
    <row r="275" spans="1:15" x14ac:dyDescent="0.3">
      <c r="A275" s="35" t="s">
        <v>242</v>
      </c>
      <c r="B275" s="35">
        <v>5</v>
      </c>
      <c r="C275" s="35">
        <v>760</v>
      </c>
      <c r="D275" s="36" t="s">
        <v>418</v>
      </c>
      <c r="E275" s="36" t="s">
        <v>414</v>
      </c>
      <c r="F275" s="35">
        <v>18.5</v>
      </c>
      <c r="G275" s="35">
        <v>11215</v>
      </c>
      <c r="H275" s="35">
        <v>51.36</v>
      </c>
      <c r="I275" s="35">
        <v>950</v>
      </c>
      <c r="J275" s="35">
        <v>5.8421052631578947</v>
      </c>
      <c r="K275" s="35">
        <v>9.0120000000000005</v>
      </c>
      <c r="L275" s="35">
        <v>93.4</v>
      </c>
      <c r="M275" s="35">
        <v>0.94863157894736849</v>
      </c>
      <c r="N275" s="35">
        <v>99.9</v>
      </c>
      <c r="O275" s="35">
        <v>53.653752999999995</v>
      </c>
    </row>
    <row r="276" spans="1:15" x14ac:dyDescent="0.3">
      <c r="A276" s="35" t="s">
        <v>213</v>
      </c>
      <c r="B276" s="35">
        <v>4</v>
      </c>
      <c r="C276" s="35">
        <v>840</v>
      </c>
      <c r="D276" s="36" t="s">
        <v>419</v>
      </c>
      <c r="E276" s="36" t="s">
        <v>414</v>
      </c>
      <c r="F276" s="35">
        <v>14.8</v>
      </c>
      <c r="G276" s="35">
        <v>10081</v>
      </c>
      <c r="H276" s="35">
        <v>64.900000000000006</v>
      </c>
      <c r="I276" s="35">
        <v>960.4</v>
      </c>
      <c r="J276" s="35">
        <v>6.1024573094543948</v>
      </c>
      <c r="K276" s="35">
        <v>9.0787499999999994</v>
      </c>
      <c r="L276" s="35">
        <v>84.039999999999992</v>
      </c>
      <c r="M276" s="35">
        <v>0.9453092461474385</v>
      </c>
      <c r="N276" s="35">
        <v>99.9</v>
      </c>
      <c r="O276" s="35">
        <v>53.653752999999995</v>
      </c>
    </row>
    <row r="277" spans="1:15" x14ac:dyDescent="0.3">
      <c r="A277" s="35" t="s">
        <v>242</v>
      </c>
      <c r="B277" s="35">
        <v>5</v>
      </c>
      <c r="C277" s="35">
        <v>760</v>
      </c>
      <c r="D277" s="36" t="s">
        <v>418</v>
      </c>
      <c r="E277" s="36" t="s">
        <v>413</v>
      </c>
      <c r="F277" s="35">
        <v>18.5</v>
      </c>
      <c r="G277" s="35">
        <v>11352</v>
      </c>
      <c r="H277" s="35">
        <v>47.92</v>
      </c>
      <c r="I277" s="35">
        <v>886.6</v>
      </c>
      <c r="J277" s="35">
        <v>6.2598691630949688</v>
      </c>
      <c r="K277" s="35">
        <v>8.3759999999999994</v>
      </c>
      <c r="L277" s="35">
        <v>78.900000000000006</v>
      </c>
      <c r="M277" s="35">
        <v>0.94473268666817045</v>
      </c>
      <c r="N277" s="35">
        <v>99.9</v>
      </c>
      <c r="O277" s="35">
        <v>53.653752999999995</v>
      </c>
    </row>
    <row r="278" spans="1:15" x14ac:dyDescent="0.3">
      <c r="A278" s="35" t="s">
        <v>242</v>
      </c>
      <c r="B278" s="35">
        <v>5</v>
      </c>
      <c r="C278" s="35">
        <v>760</v>
      </c>
      <c r="D278" s="36" t="s">
        <v>419</v>
      </c>
      <c r="E278" s="36">
        <v>5.5</v>
      </c>
      <c r="F278" s="35">
        <v>18.5</v>
      </c>
      <c r="G278" s="35">
        <v>10721</v>
      </c>
      <c r="H278" s="35">
        <v>65.099999999999994</v>
      </c>
      <c r="I278" s="35">
        <v>1204.4000000000001</v>
      </c>
      <c r="J278" s="35">
        <v>4.6081036200597802</v>
      </c>
      <c r="K278" s="35">
        <v>11.358000000000001</v>
      </c>
      <c r="L278" s="35">
        <v>81.8</v>
      </c>
      <c r="M278" s="35">
        <v>0.94304217867817985</v>
      </c>
      <c r="N278" s="35">
        <v>99.9</v>
      </c>
      <c r="O278" s="35">
        <v>53.653752999999995</v>
      </c>
    </row>
    <row r="279" spans="1:15" x14ac:dyDescent="0.3">
      <c r="A279" s="35" t="s">
        <v>217</v>
      </c>
      <c r="B279" s="35">
        <v>2.9999999999999996</v>
      </c>
      <c r="C279" s="35">
        <v>1140</v>
      </c>
      <c r="D279" s="36" t="s">
        <v>419</v>
      </c>
      <c r="E279" s="36" t="s">
        <v>412</v>
      </c>
      <c r="F279" s="35">
        <v>11.1</v>
      </c>
      <c r="G279" s="35">
        <v>9738</v>
      </c>
      <c r="H279" s="35">
        <v>106.72</v>
      </c>
      <c r="I279" s="35">
        <v>1184.5999999999999</v>
      </c>
      <c r="J279" s="35">
        <v>5.0599358433226413</v>
      </c>
      <c r="K279" s="35">
        <v>11.168749999999999</v>
      </c>
      <c r="L279" s="35">
        <v>94.746666666666655</v>
      </c>
      <c r="M279" s="35">
        <v>0.94282880297146721</v>
      </c>
      <c r="N279" s="35">
        <v>99.9</v>
      </c>
      <c r="O279" s="35">
        <v>53.653752999999995</v>
      </c>
    </row>
    <row r="280" spans="1:15" x14ac:dyDescent="0.3">
      <c r="A280" s="35" t="s">
        <v>217</v>
      </c>
      <c r="B280" s="35">
        <v>2.9999999999999996</v>
      </c>
      <c r="C280" s="35">
        <v>1140</v>
      </c>
      <c r="D280" s="36" t="s">
        <v>419</v>
      </c>
      <c r="E280" s="36" t="s">
        <v>414</v>
      </c>
      <c r="F280" s="35">
        <v>11.1</v>
      </c>
      <c r="G280" s="35">
        <v>10222</v>
      </c>
      <c r="H280" s="35">
        <v>90.58</v>
      </c>
      <c r="I280" s="35">
        <v>1005.4</v>
      </c>
      <c r="J280" s="35">
        <v>5.9618062462701422</v>
      </c>
      <c r="K280" s="35">
        <v>9.4749999999999996</v>
      </c>
      <c r="L280" s="35">
        <v>85.213333333333324</v>
      </c>
      <c r="M280" s="35">
        <v>0.94241098070419727</v>
      </c>
      <c r="N280" s="35">
        <v>99.9</v>
      </c>
      <c r="O280" s="35">
        <v>53.653752999999995</v>
      </c>
    </row>
    <row r="281" spans="1:15" x14ac:dyDescent="0.3">
      <c r="A281" s="35" t="s">
        <v>254</v>
      </c>
      <c r="B281" s="35">
        <v>2.9999999999999996</v>
      </c>
      <c r="C281" s="35">
        <v>1080</v>
      </c>
      <c r="D281" s="36" t="s">
        <v>418</v>
      </c>
      <c r="E281" s="36" t="s">
        <v>412</v>
      </c>
      <c r="F281" s="35">
        <v>11.1</v>
      </c>
      <c r="G281" s="35">
        <v>9856</v>
      </c>
      <c r="H281" s="35">
        <v>85.98</v>
      </c>
      <c r="I281" s="35">
        <v>954.2</v>
      </c>
      <c r="J281" s="35">
        <v>6.2817019492768811</v>
      </c>
      <c r="K281" s="35">
        <v>8.99</v>
      </c>
      <c r="L281" s="35">
        <v>95.8</v>
      </c>
      <c r="M281" s="35">
        <v>0.94215049255921191</v>
      </c>
      <c r="N281" s="35">
        <v>99.9</v>
      </c>
      <c r="O281" s="35">
        <v>34.933</v>
      </c>
    </row>
    <row r="282" spans="1:15" x14ac:dyDescent="0.3">
      <c r="A282" s="35" t="s">
        <v>254</v>
      </c>
      <c r="B282" s="35">
        <v>2.9999999999999996</v>
      </c>
      <c r="C282" s="35">
        <v>1080</v>
      </c>
      <c r="D282" s="36" t="s">
        <v>419</v>
      </c>
      <c r="E282" s="36" t="s">
        <v>415</v>
      </c>
      <c r="F282" s="35">
        <v>11.1</v>
      </c>
      <c r="G282" s="35">
        <v>9818</v>
      </c>
      <c r="H282" s="35">
        <v>87.04</v>
      </c>
      <c r="I282" s="35">
        <v>966.2</v>
      </c>
      <c r="J282" s="35">
        <v>6.2036845373628653</v>
      </c>
      <c r="K282" s="35">
        <v>9.1</v>
      </c>
      <c r="L282" s="35">
        <v>109.1</v>
      </c>
      <c r="M282" s="35">
        <v>0.94183398882219005</v>
      </c>
      <c r="N282" s="35">
        <v>99.9</v>
      </c>
      <c r="O282" s="35">
        <v>34.933</v>
      </c>
    </row>
    <row r="283" spans="1:15" x14ac:dyDescent="0.3">
      <c r="A283" s="35" t="s">
        <v>277</v>
      </c>
      <c r="B283" s="35">
        <v>2.9999999999999996</v>
      </c>
      <c r="C283" s="35">
        <v>890</v>
      </c>
      <c r="D283" s="36" t="s">
        <v>419</v>
      </c>
      <c r="E283" s="36">
        <v>8.5</v>
      </c>
      <c r="F283" s="35">
        <v>11.1</v>
      </c>
      <c r="G283" s="35">
        <v>8012</v>
      </c>
      <c r="H283" s="35">
        <v>69.7</v>
      </c>
      <c r="I283" s="35">
        <v>773.6</v>
      </c>
      <c r="J283" s="35">
        <v>7.7481902792140644</v>
      </c>
      <c r="K283" s="35">
        <v>7.274</v>
      </c>
      <c r="L283" s="35">
        <v>94.6</v>
      </c>
      <c r="M283" s="35">
        <v>0.94027921406411585</v>
      </c>
      <c r="N283" s="35">
        <v>99.9</v>
      </c>
      <c r="O283" s="35">
        <v>34.933</v>
      </c>
    </row>
    <row r="284" spans="1:15" x14ac:dyDescent="0.3">
      <c r="A284" s="35" t="s">
        <v>203</v>
      </c>
      <c r="B284" s="35">
        <v>2.9999999999999996</v>
      </c>
      <c r="C284" s="35">
        <v>1400</v>
      </c>
      <c r="D284" s="36" t="s">
        <v>417</v>
      </c>
      <c r="E284" s="36" t="s">
        <v>413</v>
      </c>
      <c r="F284" s="35">
        <v>11.1</v>
      </c>
      <c r="G284" s="35">
        <v>12897</v>
      </c>
      <c r="H284" s="35">
        <v>56.18</v>
      </c>
      <c r="I284" s="35">
        <v>623.6</v>
      </c>
      <c r="J284" s="35">
        <v>9.6119307248236048</v>
      </c>
      <c r="K284" s="35">
        <v>5.8550000000000004</v>
      </c>
      <c r="L284" s="35">
        <v>89.61333333333333</v>
      </c>
      <c r="M284" s="35">
        <v>0.93890314304041056</v>
      </c>
      <c r="N284" s="35">
        <v>99.9</v>
      </c>
      <c r="O284" s="35">
        <v>34.933</v>
      </c>
    </row>
    <row r="285" spans="1:15" x14ac:dyDescent="0.3">
      <c r="A285" s="35" t="s">
        <v>213</v>
      </c>
      <c r="B285" s="35">
        <v>2.9999999999999996</v>
      </c>
      <c r="C285" s="35">
        <v>840</v>
      </c>
      <c r="D285" s="36" t="s">
        <v>420</v>
      </c>
      <c r="E285" s="36" t="s">
        <v>415</v>
      </c>
      <c r="F285" s="35">
        <v>11.1</v>
      </c>
      <c r="G285" s="35">
        <v>7151</v>
      </c>
      <c r="H285" s="35">
        <v>65.459999999999994</v>
      </c>
      <c r="I285" s="35">
        <v>726.6</v>
      </c>
      <c r="J285" s="35">
        <v>8.2493806771263429</v>
      </c>
      <c r="K285" s="35">
        <v>6.7949999999999999</v>
      </c>
      <c r="L285" s="35">
        <v>79.493333333333325</v>
      </c>
      <c r="M285" s="35">
        <v>0.935177539223782</v>
      </c>
      <c r="N285" s="35">
        <v>99.9</v>
      </c>
      <c r="O285" s="35">
        <v>34.933</v>
      </c>
    </row>
    <row r="286" spans="1:15" x14ac:dyDescent="0.3">
      <c r="A286" s="35" t="s">
        <v>244</v>
      </c>
      <c r="B286" s="35">
        <v>5</v>
      </c>
      <c r="C286" s="35">
        <v>610</v>
      </c>
      <c r="D286" s="36" t="s">
        <v>419</v>
      </c>
      <c r="E286" s="36" t="s">
        <v>415</v>
      </c>
      <c r="F286" s="35">
        <v>18.5</v>
      </c>
      <c r="G286" s="35">
        <v>9744</v>
      </c>
      <c r="H286" s="35">
        <v>71.3</v>
      </c>
      <c r="I286" s="35">
        <v>1319</v>
      </c>
      <c r="J286" s="35">
        <v>4.2077331311599693</v>
      </c>
      <c r="K286" s="35">
        <v>12.334</v>
      </c>
      <c r="L286" s="35">
        <v>108.2</v>
      </c>
      <c r="M286" s="35">
        <v>0.93510235026535249</v>
      </c>
      <c r="N286" s="35">
        <v>99.9</v>
      </c>
      <c r="O286" s="35">
        <v>34.013000000000005</v>
      </c>
    </row>
    <row r="287" spans="1:15" x14ac:dyDescent="0.3">
      <c r="A287" s="35" t="s">
        <v>209</v>
      </c>
      <c r="B287" s="35">
        <v>2.9999999999999996</v>
      </c>
      <c r="C287" s="35">
        <v>1170</v>
      </c>
      <c r="D287" s="36" t="s">
        <v>419</v>
      </c>
      <c r="E287" s="36" t="s">
        <v>413</v>
      </c>
      <c r="F287" s="35">
        <v>11.1</v>
      </c>
      <c r="G287" s="35">
        <v>10555</v>
      </c>
      <c r="H287" s="35">
        <v>79.42</v>
      </c>
      <c r="I287" s="35">
        <v>881.6</v>
      </c>
      <c r="J287" s="35">
        <v>6.7990018148820326</v>
      </c>
      <c r="K287" s="35">
        <v>8.2412500000000009</v>
      </c>
      <c r="L287" s="35">
        <v>73.333333333333329</v>
      </c>
      <c r="M287" s="35">
        <v>0.93480603448275867</v>
      </c>
      <c r="N287" s="35">
        <v>99.9</v>
      </c>
      <c r="O287" s="35">
        <v>34.013000000000005</v>
      </c>
    </row>
    <row r="288" spans="1:15" x14ac:dyDescent="0.3">
      <c r="A288" s="35" t="s">
        <v>253</v>
      </c>
      <c r="B288" s="35">
        <v>2.9999999999999996</v>
      </c>
      <c r="C288" s="35">
        <v>1300</v>
      </c>
      <c r="D288" s="36" t="s">
        <v>418</v>
      </c>
      <c r="E288" s="36" t="s">
        <v>414</v>
      </c>
      <c r="F288" s="35">
        <v>11.1</v>
      </c>
      <c r="G288" s="35">
        <v>11804</v>
      </c>
      <c r="H288" s="35">
        <v>76.739999999999995</v>
      </c>
      <c r="I288" s="35">
        <v>851.8</v>
      </c>
      <c r="J288" s="35">
        <v>7.0368631134069037</v>
      </c>
      <c r="K288" s="35">
        <v>7.9580000000000002</v>
      </c>
      <c r="L288" s="35">
        <v>98.4</v>
      </c>
      <c r="M288" s="35">
        <v>0.93425686780934503</v>
      </c>
      <c r="N288" s="35">
        <v>99.9</v>
      </c>
      <c r="O288" s="35">
        <v>34.013000000000005</v>
      </c>
    </row>
    <row r="289" spans="1:15" x14ac:dyDescent="0.3">
      <c r="A289" s="35" t="s">
        <v>216</v>
      </c>
      <c r="B289" s="35">
        <v>4</v>
      </c>
      <c r="C289" s="35">
        <v>970</v>
      </c>
      <c r="D289" s="36" t="s">
        <v>418</v>
      </c>
      <c r="E289" s="36" t="s">
        <v>413</v>
      </c>
      <c r="F289" s="35">
        <v>14.8</v>
      </c>
      <c r="G289" s="35">
        <v>11787</v>
      </c>
      <c r="H289" s="35">
        <v>67.98</v>
      </c>
      <c r="I289" s="35">
        <v>1006</v>
      </c>
      <c r="J289" s="35">
        <v>5.825844930417496</v>
      </c>
      <c r="K289" s="35">
        <v>9.3912499999999994</v>
      </c>
      <c r="L289" s="35">
        <v>81.839999999999989</v>
      </c>
      <c r="M289" s="35">
        <v>0.93352385685884687</v>
      </c>
      <c r="N289" s="35">
        <v>99.9</v>
      </c>
      <c r="O289" s="35">
        <v>34.013000000000005</v>
      </c>
    </row>
    <row r="290" spans="1:15" x14ac:dyDescent="0.3">
      <c r="A290" s="35" t="s">
        <v>97</v>
      </c>
      <c r="B290" s="35">
        <v>4</v>
      </c>
      <c r="C290" s="35">
        <v>520</v>
      </c>
      <c r="D290" s="36" t="s">
        <v>422</v>
      </c>
      <c r="E290" s="36" t="s">
        <v>418</v>
      </c>
      <c r="F290" s="35">
        <v>14.8</v>
      </c>
      <c r="G290" s="35">
        <v>6610</v>
      </c>
      <c r="H290" s="35">
        <v>82.18</v>
      </c>
      <c r="I290" s="35">
        <v>1216.2</v>
      </c>
      <c r="J290" s="35">
        <v>4.8189442525900343</v>
      </c>
      <c r="K290" s="35">
        <v>11.27875</v>
      </c>
      <c r="L290" s="35">
        <v>91.813333333333333</v>
      </c>
      <c r="M290" s="35">
        <v>0.92737625390560774</v>
      </c>
      <c r="N290" s="35">
        <v>99.9</v>
      </c>
      <c r="O290" s="35">
        <v>34.013000000000005</v>
      </c>
    </row>
    <row r="291" spans="1:15" x14ac:dyDescent="0.3">
      <c r="A291" s="35" t="s">
        <v>216</v>
      </c>
      <c r="B291" s="35">
        <v>2.9999999999999996</v>
      </c>
      <c r="C291" s="35">
        <v>970</v>
      </c>
      <c r="D291" s="36" t="s">
        <v>419</v>
      </c>
      <c r="E291" s="36" t="s">
        <v>415</v>
      </c>
      <c r="F291" s="35">
        <v>11.1</v>
      </c>
      <c r="G291" s="35">
        <v>8219</v>
      </c>
      <c r="H291" s="35">
        <v>70.66</v>
      </c>
      <c r="I291" s="35">
        <v>784.4</v>
      </c>
      <c r="J291" s="35">
        <v>7.6415094339622645</v>
      </c>
      <c r="K291" s="35">
        <v>7.2712500000000002</v>
      </c>
      <c r="L291" s="35">
        <v>91.373333333333321</v>
      </c>
      <c r="M291" s="35">
        <v>0.92698240693523726</v>
      </c>
      <c r="N291" s="35">
        <v>99.9</v>
      </c>
      <c r="O291" s="35">
        <v>34.013000000000005</v>
      </c>
    </row>
    <row r="292" spans="1:15" x14ac:dyDescent="0.3">
      <c r="A292" s="35" t="s">
        <v>203</v>
      </c>
      <c r="B292" s="35">
        <v>2.9999999999999996</v>
      </c>
      <c r="C292" s="35">
        <v>1400</v>
      </c>
      <c r="D292" s="36" t="s">
        <v>415</v>
      </c>
      <c r="E292" s="36" t="s">
        <v>416</v>
      </c>
      <c r="F292" s="35">
        <v>11.1</v>
      </c>
      <c r="G292" s="35">
        <v>13523</v>
      </c>
      <c r="H292" s="35">
        <v>51.5</v>
      </c>
      <c r="I292" s="35">
        <v>571.79999999999995</v>
      </c>
      <c r="J292" s="35">
        <v>10.482686253934943</v>
      </c>
      <c r="K292" s="35">
        <v>5.3</v>
      </c>
      <c r="L292" s="35">
        <v>75.093333333333334</v>
      </c>
      <c r="M292" s="35">
        <v>0.92689751661420083</v>
      </c>
      <c r="N292" s="35">
        <v>99.9</v>
      </c>
      <c r="O292" s="35">
        <v>34.013000000000005</v>
      </c>
    </row>
    <row r="293" spans="1:15" x14ac:dyDescent="0.3">
      <c r="A293" s="35" t="s">
        <v>213</v>
      </c>
      <c r="B293" s="35">
        <v>4</v>
      </c>
      <c r="C293" s="35">
        <v>840</v>
      </c>
      <c r="D293" s="36" t="s">
        <v>417</v>
      </c>
      <c r="E293" s="36" t="s">
        <v>412</v>
      </c>
      <c r="F293" s="35">
        <v>14.8</v>
      </c>
      <c r="G293" s="35">
        <v>10539</v>
      </c>
      <c r="H293" s="35">
        <v>54.42</v>
      </c>
      <c r="I293" s="35">
        <v>805.4</v>
      </c>
      <c r="J293" s="35">
        <v>7.276881052892973</v>
      </c>
      <c r="K293" s="35">
        <v>7.4649999999999999</v>
      </c>
      <c r="L293" s="35">
        <v>102.52</v>
      </c>
      <c r="M293" s="35">
        <v>0.92686863670225983</v>
      </c>
      <c r="N293" s="35">
        <v>99.9</v>
      </c>
      <c r="O293" s="35">
        <v>34.013000000000005</v>
      </c>
    </row>
    <row r="294" spans="1:15" x14ac:dyDescent="0.3">
      <c r="A294" s="35" t="s">
        <v>217</v>
      </c>
      <c r="B294" s="35">
        <v>2.9999999999999996</v>
      </c>
      <c r="C294" s="35">
        <v>1140</v>
      </c>
      <c r="D294" s="36" t="s">
        <v>419</v>
      </c>
      <c r="E294" s="36" t="s">
        <v>412</v>
      </c>
      <c r="F294" s="35">
        <v>11.1</v>
      </c>
      <c r="G294" s="35">
        <v>10159</v>
      </c>
      <c r="H294" s="35">
        <v>92.02</v>
      </c>
      <c r="I294" s="35">
        <v>1021.4</v>
      </c>
      <c r="J294" s="35">
        <v>5.8684158997454476</v>
      </c>
      <c r="K294" s="35">
        <v>9.4574999999999996</v>
      </c>
      <c r="L294" s="35">
        <v>98.706666666666649</v>
      </c>
      <c r="M294" s="35">
        <v>0.9259349911885647</v>
      </c>
      <c r="N294" s="35">
        <v>99.9</v>
      </c>
      <c r="O294" s="35">
        <v>34.013000000000005</v>
      </c>
    </row>
    <row r="295" spans="1:15" x14ac:dyDescent="0.3">
      <c r="A295" s="35" t="s">
        <v>203</v>
      </c>
      <c r="B295" s="35">
        <v>2.9999999999999996</v>
      </c>
      <c r="C295" s="35">
        <v>1400</v>
      </c>
      <c r="D295" s="36" t="s">
        <v>417</v>
      </c>
      <c r="E295" s="36">
        <v>4.5</v>
      </c>
      <c r="F295" s="35">
        <v>11.1</v>
      </c>
      <c r="G295" s="35">
        <v>12610</v>
      </c>
      <c r="H295" s="35">
        <v>71.58</v>
      </c>
      <c r="I295" s="35">
        <v>794.6</v>
      </c>
      <c r="J295" s="35">
        <v>7.5434180719859061</v>
      </c>
      <c r="K295" s="35">
        <v>7.3550000000000004</v>
      </c>
      <c r="L295" s="35">
        <v>78.760000000000005</v>
      </c>
      <c r="M295" s="35">
        <v>0.92562295494588476</v>
      </c>
      <c r="N295" s="35">
        <v>99.9</v>
      </c>
      <c r="O295" s="35">
        <v>34.013000000000005</v>
      </c>
    </row>
    <row r="296" spans="1:15" x14ac:dyDescent="0.3">
      <c r="A296" s="35" t="s">
        <v>207</v>
      </c>
      <c r="B296" s="35">
        <v>4</v>
      </c>
      <c r="C296" s="35">
        <v>850</v>
      </c>
      <c r="D296" s="36" t="s">
        <v>415</v>
      </c>
      <c r="E296" s="36" t="s">
        <v>414</v>
      </c>
      <c r="F296" s="35">
        <v>14.8</v>
      </c>
      <c r="G296" s="35">
        <v>11804</v>
      </c>
      <c r="H296" s="35">
        <v>40.619999999999997</v>
      </c>
      <c r="I296" s="35">
        <v>601.20000000000005</v>
      </c>
      <c r="J296" s="35">
        <v>9.7485029940119752</v>
      </c>
      <c r="K296" s="35">
        <v>5.5637499999999998</v>
      </c>
      <c r="L296" s="35">
        <v>98.413333333333313</v>
      </c>
      <c r="M296" s="35">
        <v>0.92544078509647354</v>
      </c>
      <c r="N296" s="35">
        <v>99.9</v>
      </c>
      <c r="O296" s="35">
        <v>34.013000000000005</v>
      </c>
    </row>
    <row r="297" spans="1:15" x14ac:dyDescent="0.3">
      <c r="A297" s="35" t="s">
        <v>209</v>
      </c>
      <c r="B297" s="35">
        <v>2.9999999999999996</v>
      </c>
      <c r="C297" s="35">
        <v>1170</v>
      </c>
      <c r="D297" s="36" t="s">
        <v>419</v>
      </c>
      <c r="E297" s="36">
        <v>5.5</v>
      </c>
      <c r="F297" s="35">
        <v>11.1</v>
      </c>
      <c r="G297" s="35">
        <v>9886</v>
      </c>
      <c r="H297" s="35">
        <v>92.94</v>
      </c>
      <c r="I297" s="35">
        <v>1031.8</v>
      </c>
      <c r="J297" s="35">
        <v>5.8092653615041687</v>
      </c>
      <c r="K297" s="35">
        <v>9.5412499999999998</v>
      </c>
      <c r="L297" s="35">
        <v>75.533333333333331</v>
      </c>
      <c r="M297" s="35">
        <v>0.92471893777863934</v>
      </c>
      <c r="N297" s="35">
        <v>99.9</v>
      </c>
      <c r="O297" s="35">
        <v>34.013000000000005</v>
      </c>
    </row>
    <row r="298" spans="1:15" x14ac:dyDescent="0.3">
      <c r="A298" s="35" t="s">
        <v>217</v>
      </c>
      <c r="B298" s="35">
        <v>2.9999999999999996</v>
      </c>
      <c r="C298" s="35">
        <v>1140</v>
      </c>
      <c r="D298" s="36" t="s">
        <v>417</v>
      </c>
      <c r="E298" s="36" t="s">
        <v>412</v>
      </c>
      <c r="F298" s="35">
        <v>11.1</v>
      </c>
      <c r="G298" s="35">
        <v>10653</v>
      </c>
      <c r="H298" s="35">
        <v>76.2</v>
      </c>
      <c r="I298" s="35">
        <v>845.8</v>
      </c>
      <c r="J298" s="35">
        <v>7.0867817450934041</v>
      </c>
      <c r="K298" s="35">
        <v>7.8174999999999999</v>
      </c>
      <c r="L298" s="35">
        <v>103.54666666666665</v>
      </c>
      <c r="M298" s="35">
        <v>0.92427287774887679</v>
      </c>
      <c r="N298" s="35">
        <v>99.9</v>
      </c>
      <c r="O298" s="35">
        <v>34.013000000000005</v>
      </c>
    </row>
    <row r="299" spans="1:15" x14ac:dyDescent="0.3">
      <c r="A299" s="35" t="s">
        <v>213</v>
      </c>
      <c r="B299" s="35">
        <v>2.9999999999999996</v>
      </c>
      <c r="C299" s="35">
        <v>840</v>
      </c>
      <c r="D299" s="36" t="s">
        <v>419</v>
      </c>
      <c r="E299" s="36" t="s">
        <v>415</v>
      </c>
      <c r="F299" s="35">
        <v>11.1</v>
      </c>
      <c r="G299" s="35">
        <v>7580</v>
      </c>
      <c r="H299" s="35">
        <v>54.84</v>
      </c>
      <c r="I299" s="35">
        <v>608.79999999999995</v>
      </c>
      <c r="J299" s="35">
        <v>9.8455978975032874</v>
      </c>
      <c r="K299" s="35">
        <v>5.6212499999999999</v>
      </c>
      <c r="L299" s="35">
        <v>84.186666666666653</v>
      </c>
      <c r="M299" s="35">
        <v>0.92333278580814715</v>
      </c>
      <c r="N299" s="35">
        <v>99.9</v>
      </c>
      <c r="O299" s="35">
        <v>34.013000000000005</v>
      </c>
    </row>
    <row r="300" spans="1:15" x14ac:dyDescent="0.3">
      <c r="A300" s="35" t="s">
        <v>213</v>
      </c>
      <c r="B300" s="35">
        <v>2.9999999999999996</v>
      </c>
      <c r="C300" s="35">
        <v>840</v>
      </c>
      <c r="D300" s="36" t="s">
        <v>420</v>
      </c>
      <c r="E300" s="36" t="s">
        <v>415</v>
      </c>
      <c r="F300" s="35">
        <v>11.1</v>
      </c>
      <c r="G300" s="35">
        <v>7177</v>
      </c>
      <c r="H300" s="35">
        <v>64.12</v>
      </c>
      <c r="I300" s="35">
        <v>711.6</v>
      </c>
      <c r="J300" s="35">
        <v>8.4232715008431711</v>
      </c>
      <c r="K300" s="35">
        <v>6.5525000000000002</v>
      </c>
      <c r="L300" s="35">
        <v>79.786666666666662</v>
      </c>
      <c r="M300" s="35">
        <v>0.9208122540753233</v>
      </c>
      <c r="N300" s="35">
        <v>99.9</v>
      </c>
      <c r="O300" s="35">
        <v>34.013000000000005</v>
      </c>
    </row>
    <row r="301" spans="1:15" x14ac:dyDescent="0.3">
      <c r="A301" s="35" t="s">
        <v>213</v>
      </c>
      <c r="B301" s="35">
        <v>4</v>
      </c>
      <c r="C301" s="35">
        <v>840</v>
      </c>
      <c r="D301" s="36" t="s">
        <v>419</v>
      </c>
      <c r="E301" s="36" t="s">
        <v>412</v>
      </c>
      <c r="F301" s="35">
        <v>14.8</v>
      </c>
      <c r="G301" s="35">
        <v>10053</v>
      </c>
      <c r="H301" s="35">
        <v>65.5</v>
      </c>
      <c r="I301" s="35">
        <v>969.2</v>
      </c>
      <c r="J301" s="35">
        <v>6.0470491126702433</v>
      </c>
      <c r="K301" s="35">
        <v>8.9149999999999991</v>
      </c>
      <c r="L301" s="35">
        <v>97.679999999999978</v>
      </c>
      <c r="M301" s="35">
        <v>0.91983078827899289</v>
      </c>
      <c r="N301" s="35">
        <v>99.9</v>
      </c>
      <c r="O301" s="35">
        <v>34.013000000000005</v>
      </c>
    </row>
    <row r="302" spans="1:15" x14ac:dyDescent="0.3">
      <c r="A302" s="35" t="s">
        <v>254</v>
      </c>
      <c r="B302" s="35">
        <v>2.9999999999999996</v>
      </c>
      <c r="C302" s="35">
        <v>1080</v>
      </c>
      <c r="D302" s="36" t="s">
        <v>419</v>
      </c>
      <c r="E302" s="36" t="s">
        <v>412</v>
      </c>
      <c r="F302" s="35">
        <v>11.1</v>
      </c>
      <c r="G302" s="35">
        <v>9598</v>
      </c>
      <c r="H302" s="35">
        <v>95.42</v>
      </c>
      <c r="I302" s="35">
        <v>1059</v>
      </c>
      <c r="J302" s="35">
        <v>5.6600566572237963</v>
      </c>
      <c r="K302" s="35">
        <v>9.7360000000000007</v>
      </c>
      <c r="L302" s="35">
        <v>93.3</v>
      </c>
      <c r="M302" s="35">
        <v>0.91935788479697833</v>
      </c>
      <c r="N302" s="35">
        <v>99.9</v>
      </c>
      <c r="O302" s="35">
        <v>34.013000000000005</v>
      </c>
    </row>
    <row r="303" spans="1:15" x14ac:dyDescent="0.3">
      <c r="A303" s="35" t="s">
        <v>201</v>
      </c>
      <c r="B303" s="35">
        <v>2.9999999999999996</v>
      </c>
      <c r="C303" s="35">
        <v>1050</v>
      </c>
      <c r="D303" s="36" t="s">
        <v>417</v>
      </c>
      <c r="E303" s="36" t="s">
        <v>412</v>
      </c>
      <c r="F303" s="35">
        <v>11.1</v>
      </c>
      <c r="G303" s="35">
        <v>9716</v>
      </c>
      <c r="H303" s="35">
        <v>61.2</v>
      </c>
      <c r="I303" s="35">
        <v>679.2</v>
      </c>
      <c r="J303" s="35">
        <v>8.8250883392226136</v>
      </c>
      <c r="K303" s="35">
        <v>6.23</v>
      </c>
      <c r="L303" s="35">
        <v>94.453333333333333</v>
      </c>
      <c r="M303" s="35">
        <v>0.91725559481743224</v>
      </c>
      <c r="N303" s="35">
        <v>99.9</v>
      </c>
      <c r="O303" s="35">
        <v>34.013000000000005</v>
      </c>
    </row>
    <row r="304" spans="1:15" x14ac:dyDescent="0.3">
      <c r="A304" s="35" t="s">
        <v>92</v>
      </c>
      <c r="B304" s="35">
        <v>5.9999999999999991</v>
      </c>
      <c r="C304" s="35">
        <v>420</v>
      </c>
      <c r="D304" s="36" t="s">
        <v>421</v>
      </c>
      <c r="E304" s="36" t="s">
        <v>415</v>
      </c>
      <c r="F304" s="35">
        <v>22.2</v>
      </c>
      <c r="G304" s="35">
        <v>8509</v>
      </c>
      <c r="H304" s="35">
        <v>66.28</v>
      </c>
      <c r="I304" s="35">
        <v>1471.6</v>
      </c>
      <c r="J304" s="35">
        <v>4.0731176950258234</v>
      </c>
      <c r="K304" s="35">
        <v>13.49625</v>
      </c>
      <c r="L304" s="35">
        <v>94.6</v>
      </c>
      <c r="M304" s="35">
        <v>0.91711402555042132</v>
      </c>
      <c r="N304" s="35">
        <v>99.9</v>
      </c>
      <c r="O304" s="35">
        <v>34.013000000000005</v>
      </c>
    </row>
    <row r="305" spans="1:15" x14ac:dyDescent="0.3">
      <c r="A305" s="35" t="s">
        <v>207</v>
      </c>
      <c r="B305" s="35">
        <v>2.9999999999999996</v>
      </c>
      <c r="C305" s="35">
        <v>850</v>
      </c>
      <c r="D305" s="36" t="s">
        <v>418</v>
      </c>
      <c r="E305" s="36" t="s">
        <v>415</v>
      </c>
      <c r="F305" s="35">
        <v>11.1</v>
      </c>
      <c r="G305" s="35">
        <v>8083</v>
      </c>
      <c r="H305" s="35">
        <v>48.52</v>
      </c>
      <c r="I305" s="35">
        <v>538.6</v>
      </c>
      <c r="J305" s="35">
        <v>11.128852580764946</v>
      </c>
      <c r="K305" s="35">
        <v>4.9387499999999998</v>
      </c>
      <c r="L305" s="35">
        <v>89.759999999999991</v>
      </c>
      <c r="M305" s="35">
        <v>0.91696063869290745</v>
      </c>
      <c r="N305" s="35">
        <v>99.9</v>
      </c>
      <c r="O305" s="35">
        <v>34.013000000000005</v>
      </c>
    </row>
    <row r="306" spans="1:15" x14ac:dyDescent="0.3">
      <c r="A306" s="35" t="s">
        <v>216</v>
      </c>
      <c r="B306" s="35">
        <v>4</v>
      </c>
      <c r="C306" s="35">
        <v>970</v>
      </c>
      <c r="D306" s="36" t="s">
        <v>418</v>
      </c>
      <c r="E306" s="36" t="s">
        <v>414</v>
      </c>
      <c r="F306" s="35">
        <v>14.8</v>
      </c>
      <c r="G306" s="35">
        <v>12054</v>
      </c>
      <c r="H306" s="35">
        <v>59.18</v>
      </c>
      <c r="I306" s="35">
        <v>875.8</v>
      </c>
      <c r="J306" s="35">
        <v>6.6919387988125152</v>
      </c>
      <c r="K306" s="35">
        <v>8.0162499999999994</v>
      </c>
      <c r="L306" s="35">
        <v>100.46666666666665</v>
      </c>
      <c r="M306" s="35">
        <v>0.91530600593742861</v>
      </c>
      <c r="N306" s="35">
        <v>99.9</v>
      </c>
      <c r="O306" s="35">
        <v>42.553000000000004</v>
      </c>
    </row>
    <row r="307" spans="1:15" x14ac:dyDescent="0.3">
      <c r="A307" s="35" t="s">
        <v>243</v>
      </c>
      <c r="B307" s="35">
        <v>4</v>
      </c>
      <c r="C307" s="35">
        <v>650</v>
      </c>
      <c r="D307" s="36" t="s">
        <v>420</v>
      </c>
      <c r="E307" s="36" t="s">
        <v>415</v>
      </c>
      <c r="F307" s="35">
        <v>14.8</v>
      </c>
      <c r="G307" s="35">
        <v>7857</v>
      </c>
      <c r="H307" s="35">
        <v>58.18</v>
      </c>
      <c r="I307" s="35">
        <v>861</v>
      </c>
      <c r="J307" s="35">
        <v>6.8069686411149828</v>
      </c>
      <c r="K307" s="35">
        <v>7.8780000000000001</v>
      </c>
      <c r="L307" s="35">
        <v>87.3</v>
      </c>
      <c r="M307" s="35">
        <v>0.91498257839721253</v>
      </c>
      <c r="N307" s="35">
        <v>99.9</v>
      </c>
      <c r="O307" s="35">
        <v>42.553000000000004</v>
      </c>
    </row>
    <row r="308" spans="1:15" x14ac:dyDescent="0.3">
      <c r="A308" s="35" t="s">
        <v>243</v>
      </c>
      <c r="B308" s="35">
        <v>5</v>
      </c>
      <c r="C308" s="35">
        <v>650</v>
      </c>
      <c r="D308" s="36" t="s">
        <v>419</v>
      </c>
      <c r="E308" s="36" t="s">
        <v>412</v>
      </c>
      <c r="F308" s="35">
        <v>18.5</v>
      </c>
      <c r="G308" s="35">
        <v>9782</v>
      </c>
      <c r="H308" s="35">
        <v>61.9</v>
      </c>
      <c r="I308" s="35">
        <v>1145.2</v>
      </c>
      <c r="J308" s="35">
        <v>4.8463150541390148</v>
      </c>
      <c r="K308" s="35">
        <v>10.476000000000001</v>
      </c>
      <c r="L308" s="35">
        <v>95</v>
      </c>
      <c r="M308" s="35">
        <v>0.91477471184072656</v>
      </c>
      <c r="N308" s="35">
        <v>99.9</v>
      </c>
      <c r="O308" s="35">
        <v>42.553000000000004</v>
      </c>
    </row>
    <row r="309" spans="1:15" x14ac:dyDescent="0.3">
      <c r="A309" s="35" t="s">
        <v>216</v>
      </c>
      <c r="B309" s="35">
        <v>4</v>
      </c>
      <c r="C309" s="35">
        <v>970</v>
      </c>
      <c r="D309" s="36" t="s">
        <v>418</v>
      </c>
      <c r="E309" s="36" t="s">
        <v>414</v>
      </c>
      <c r="F309" s="35">
        <v>14.8</v>
      </c>
      <c r="G309" s="35">
        <v>11865</v>
      </c>
      <c r="H309" s="35">
        <v>65.2</v>
      </c>
      <c r="I309" s="35">
        <v>965</v>
      </c>
      <c r="J309" s="35">
        <v>6.0733678756476692</v>
      </c>
      <c r="K309" s="35">
        <v>8.8224999999999998</v>
      </c>
      <c r="L309" s="35">
        <v>98.853333333333339</v>
      </c>
      <c r="M309" s="35">
        <v>0.91424870466321251</v>
      </c>
      <c r="N309" s="35">
        <v>99.9</v>
      </c>
      <c r="O309" s="35">
        <v>42.553000000000004</v>
      </c>
    </row>
    <row r="310" spans="1:15" x14ac:dyDescent="0.3">
      <c r="A310" s="35" t="s">
        <v>102</v>
      </c>
      <c r="B310" s="35">
        <v>5</v>
      </c>
      <c r="C310" s="35">
        <v>600</v>
      </c>
      <c r="D310" s="36" t="s">
        <v>419</v>
      </c>
      <c r="E310" s="36" t="s">
        <v>412</v>
      </c>
      <c r="F310" s="35">
        <v>18.5</v>
      </c>
      <c r="G310" s="35">
        <v>10245</v>
      </c>
      <c r="H310" s="35">
        <v>72.319999999999993</v>
      </c>
      <c r="I310" s="35">
        <v>1338</v>
      </c>
      <c r="J310" s="35">
        <v>4.1479820627802688</v>
      </c>
      <c r="K310" s="35">
        <v>12.22625</v>
      </c>
      <c r="L310" s="35">
        <v>99.586666666666673</v>
      </c>
      <c r="M310" s="35">
        <v>0.91377055306427513</v>
      </c>
      <c r="N310" s="35">
        <v>99.9</v>
      </c>
      <c r="O310" s="35">
        <v>42.553000000000004</v>
      </c>
    </row>
    <row r="311" spans="1:15" x14ac:dyDescent="0.3">
      <c r="A311" s="35" t="s">
        <v>254</v>
      </c>
      <c r="B311" s="35">
        <v>2.9999999999999996</v>
      </c>
      <c r="C311" s="35">
        <v>1080</v>
      </c>
      <c r="D311" s="36" t="s">
        <v>419</v>
      </c>
      <c r="E311" s="36" t="s">
        <v>412</v>
      </c>
      <c r="F311" s="35">
        <v>11.1</v>
      </c>
      <c r="G311" s="35">
        <v>9399</v>
      </c>
      <c r="H311" s="35">
        <v>102.06</v>
      </c>
      <c r="I311" s="35">
        <v>1132.8</v>
      </c>
      <c r="J311" s="35">
        <v>5.2913135593220346</v>
      </c>
      <c r="K311" s="35">
        <v>10.326000000000001</v>
      </c>
      <c r="L311" s="35">
        <v>91.4</v>
      </c>
      <c r="M311" s="35">
        <v>0.91154661016949157</v>
      </c>
      <c r="N311" s="35">
        <v>99.9</v>
      </c>
      <c r="O311" s="35">
        <v>42.553000000000004</v>
      </c>
    </row>
    <row r="312" spans="1:15" x14ac:dyDescent="0.3">
      <c r="A312" s="35" t="s">
        <v>253</v>
      </c>
      <c r="B312" s="35">
        <v>2.9999999999999996</v>
      </c>
      <c r="C312" s="35">
        <v>1300</v>
      </c>
      <c r="D312" s="36" t="s">
        <v>418</v>
      </c>
      <c r="E312" s="36">
        <v>5.8</v>
      </c>
      <c r="F312" s="35">
        <v>11.1</v>
      </c>
      <c r="G312" s="35">
        <v>11278</v>
      </c>
      <c r="H312" s="35">
        <v>92.38</v>
      </c>
      <c r="I312" s="35">
        <v>1025.4000000000001</v>
      </c>
      <c r="J312" s="35">
        <v>5.8455236980690461</v>
      </c>
      <c r="K312" s="35">
        <v>9.3339999999999996</v>
      </c>
      <c r="L312" s="35">
        <v>90.8</v>
      </c>
      <c r="M312" s="35">
        <v>0.91027891554515306</v>
      </c>
      <c r="N312" s="35">
        <v>99.9</v>
      </c>
      <c r="O312" s="35">
        <v>42.553000000000004</v>
      </c>
    </row>
    <row r="313" spans="1:15" x14ac:dyDescent="0.3">
      <c r="A313" s="35" t="s">
        <v>253</v>
      </c>
      <c r="B313" s="35">
        <v>2.9999999999999996</v>
      </c>
      <c r="C313" s="35">
        <v>1300</v>
      </c>
      <c r="D313" s="36" t="s">
        <v>415</v>
      </c>
      <c r="E313" s="36" t="s">
        <v>414</v>
      </c>
      <c r="F313" s="35">
        <v>11.1</v>
      </c>
      <c r="G313" s="35">
        <v>11755</v>
      </c>
      <c r="H313" s="35">
        <v>62.34</v>
      </c>
      <c r="I313" s="35">
        <v>692</v>
      </c>
      <c r="J313" s="35">
        <v>8.6618497109826595</v>
      </c>
      <c r="K313" s="35">
        <v>6.2939999999999996</v>
      </c>
      <c r="L313" s="35">
        <v>98</v>
      </c>
      <c r="M313" s="35">
        <v>0.90953757225433529</v>
      </c>
      <c r="N313" s="35">
        <v>99.9</v>
      </c>
      <c r="O313" s="35">
        <v>42.553000000000004</v>
      </c>
    </row>
    <row r="314" spans="1:15" x14ac:dyDescent="0.3">
      <c r="A314" s="35" t="s">
        <v>242</v>
      </c>
      <c r="B314" s="35">
        <v>4</v>
      </c>
      <c r="C314" s="35">
        <v>760</v>
      </c>
      <c r="D314" s="36" t="s">
        <v>419</v>
      </c>
      <c r="E314" s="36">
        <v>8.5</v>
      </c>
      <c r="F314" s="35">
        <v>14.8</v>
      </c>
      <c r="G314" s="35">
        <v>8476</v>
      </c>
      <c r="H314" s="35">
        <v>60.92</v>
      </c>
      <c r="I314" s="35">
        <v>901.6</v>
      </c>
      <c r="J314" s="35">
        <v>6.5004436557231591</v>
      </c>
      <c r="K314" s="35">
        <v>8.1859999999999999</v>
      </c>
      <c r="L314" s="35">
        <v>100</v>
      </c>
      <c r="M314" s="35">
        <v>0.90794143744454303</v>
      </c>
      <c r="N314" s="35">
        <v>99.9</v>
      </c>
      <c r="O314" s="35">
        <v>42.553000000000004</v>
      </c>
    </row>
    <row r="315" spans="1:15" x14ac:dyDescent="0.3">
      <c r="A315" s="35" t="s">
        <v>217</v>
      </c>
      <c r="B315" s="35">
        <v>2.9999999999999996</v>
      </c>
      <c r="C315" s="35">
        <v>1140</v>
      </c>
      <c r="D315" s="36" t="s">
        <v>418</v>
      </c>
      <c r="E315" s="36" t="s">
        <v>412</v>
      </c>
      <c r="F315" s="35">
        <v>11.1</v>
      </c>
      <c r="G315" s="35">
        <v>10031</v>
      </c>
      <c r="H315" s="35">
        <v>96.24</v>
      </c>
      <c r="I315" s="35">
        <v>1068.2</v>
      </c>
      <c r="J315" s="35">
        <v>5.6113087436809588</v>
      </c>
      <c r="K315" s="35">
        <v>9.6912500000000001</v>
      </c>
      <c r="L315" s="35">
        <v>97.533333333333331</v>
      </c>
      <c r="M315" s="35">
        <v>0.90725051488485309</v>
      </c>
      <c r="N315" s="35">
        <v>99.9</v>
      </c>
      <c r="O315" s="35">
        <v>42.553000000000004</v>
      </c>
    </row>
    <row r="316" spans="1:15" x14ac:dyDescent="0.3">
      <c r="A316" s="35" t="s">
        <v>213</v>
      </c>
      <c r="B316" s="35">
        <v>4</v>
      </c>
      <c r="C316" s="35">
        <v>840</v>
      </c>
      <c r="D316" s="36" t="s">
        <v>418</v>
      </c>
      <c r="E316" s="36" t="s">
        <v>412</v>
      </c>
      <c r="F316" s="35">
        <v>14.8</v>
      </c>
      <c r="G316" s="35">
        <v>9906</v>
      </c>
      <c r="H316" s="35">
        <v>68.8</v>
      </c>
      <c r="I316" s="35">
        <v>1018.2</v>
      </c>
      <c r="J316" s="35">
        <v>5.7560400707130235</v>
      </c>
      <c r="K316" s="35">
        <v>9.2375000000000007</v>
      </c>
      <c r="L316" s="35">
        <v>96.36</v>
      </c>
      <c r="M316" s="35">
        <v>0.90723826360243565</v>
      </c>
      <c r="N316" s="35">
        <v>99.9</v>
      </c>
      <c r="O316" s="35">
        <v>42.553000000000004</v>
      </c>
    </row>
    <row r="317" spans="1:15" x14ac:dyDescent="0.3">
      <c r="A317" s="35" t="s">
        <v>213</v>
      </c>
      <c r="B317" s="35">
        <v>5</v>
      </c>
      <c r="C317" s="35">
        <v>840</v>
      </c>
      <c r="D317" s="36" t="s">
        <v>417</v>
      </c>
      <c r="E317" s="36" t="s">
        <v>413</v>
      </c>
      <c r="F317" s="35">
        <v>18.5</v>
      </c>
      <c r="G317" s="35">
        <v>13809</v>
      </c>
      <c r="H317" s="35">
        <v>47.28</v>
      </c>
      <c r="I317" s="35">
        <v>874.8</v>
      </c>
      <c r="J317" s="35">
        <v>6.3443072702331964</v>
      </c>
      <c r="K317" s="35">
        <v>7.9237500000000001</v>
      </c>
      <c r="L317" s="35">
        <v>95.92</v>
      </c>
      <c r="M317" s="35">
        <v>0.90577846364883408</v>
      </c>
      <c r="N317" s="35">
        <v>99.9</v>
      </c>
      <c r="O317" s="35">
        <v>42.553000000000004</v>
      </c>
    </row>
    <row r="318" spans="1:15" x14ac:dyDescent="0.3">
      <c r="A318" s="35" t="s">
        <v>209</v>
      </c>
      <c r="B318" s="35">
        <v>2.9999999999999996</v>
      </c>
      <c r="C318" s="35">
        <v>1170</v>
      </c>
      <c r="D318" s="36" t="s">
        <v>419</v>
      </c>
      <c r="E318" s="36" t="s">
        <v>414</v>
      </c>
      <c r="F318" s="35">
        <v>11.1</v>
      </c>
      <c r="G318" s="35">
        <v>10154</v>
      </c>
      <c r="H318" s="35">
        <v>89.98</v>
      </c>
      <c r="I318" s="35">
        <v>998.6</v>
      </c>
      <c r="J318" s="35">
        <v>6.0024033647105952</v>
      </c>
      <c r="K318" s="35">
        <v>9.0437499999999993</v>
      </c>
      <c r="L318" s="35">
        <v>84.626666666666665</v>
      </c>
      <c r="M318" s="35">
        <v>0.90564290006008397</v>
      </c>
      <c r="N318" s="35">
        <v>99.9</v>
      </c>
      <c r="O318" s="35">
        <v>42.553000000000004</v>
      </c>
    </row>
    <row r="319" spans="1:15" x14ac:dyDescent="0.3">
      <c r="A319" s="35" t="s">
        <v>209</v>
      </c>
      <c r="B319" s="35">
        <v>2.9999999999999996</v>
      </c>
      <c r="C319" s="35">
        <v>1170</v>
      </c>
      <c r="D319" s="36" t="s">
        <v>418</v>
      </c>
      <c r="E319" s="36" t="s">
        <v>414</v>
      </c>
      <c r="F319" s="35">
        <v>11.1</v>
      </c>
      <c r="G319" s="35">
        <v>10550</v>
      </c>
      <c r="H319" s="35">
        <v>76.08</v>
      </c>
      <c r="I319" s="35">
        <v>844.6</v>
      </c>
      <c r="J319" s="35">
        <v>7.0968505801562873</v>
      </c>
      <c r="K319" s="35">
        <v>7.6012500000000003</v>
      </c>
      <c r="L319" s="35">
        <v>87.853333333333325</v>
      </c>
      <c r="M319" s="35">
        <v>0.89998224011366335</v>
      </c>
      <c r="N319" s="35">
        <v>99.9</v>
      </c>
      <c r="O319" s="35">
        <v>42.553000000000004</v>
      </c>
    </row>
    <row r="320" spans="1:15" x14ac:dyDescent="0.3">
      <c r="A320" s="35" t="s">
        <v>277</v>
      </c>
      <c r="B320" s="35">
        <v>2.9999999999999996</v>
      </c>
      <c r="C320" s="35">
        <v>890</v>
      </c>
      <c r="D320" s="36" t="s">
        <v>418</v>
      </c>
      <c r="E320" s="36" t="s">
        <v>412</v>
      </c>
      <c r="F320" s="35">
        <v>11.1</v>
      </c>
      <c r="G320" s="35">
        <v>7950</v>
      </c>
      <c r="H320" s="35">
        <v>71.72</v>
      </c>
      <c r="I320" s="35">
        <v>796</v>
      </c>
      <c r="J320" s="35">
        <v>7.5301507537688455</v>
      </c>
      <c r="K320" s="35">
        <v>7.1580000000000004</v>
      </c>
      <c r="L320" s="35">
        <v>77.3</v>
      </c>
      <c r="M320" s="35">
        <v>0.89924623115577895</v>
      </c>
      <c r="N320" s="35">
        <v>99.9</v>
      </c>
      <c r="O320" s="35">
        <v>42.553000000000004</v>
      </c>
    </row>
    <row r="321" spans="1:15" x14ac:dyDescent="0.3">
      <c r="A321" s="35" t="s">
        <v>277</v>
      </c>
      <c r="B321" s="35">
        <v>2.9999999999999996</v>
      </c>
      <c r="C321" s="35">
        <v>890</v>
      </c>
      <c r="D321" s="36" t="s">
        <v>417</v>
      </c>
      <c r="E321" s="36" t="s">
        <v>414</v>
      </c>
      <c r="F321" s="35">
        <v>11.1</v>
      </c>
      <c r="G321" s="35">
        <v>8435</v>
      </c>
      <c r="H321" s="35">
        <v>53.88</v>
      </c>
      <c r="I321" s="35">
        <v>598.20000000000005</v>
      </c>
      <c r="J321" s="35">
        <v>10.020060180541623</v>
      </c>
      <c r="K321" s="35">
        <v>5.3780000000000001</v>
      </c>
      <c r="L321" s="35">
        <v>70.3</v>
      </c>
      <c r="M321" s="35">
        <v>0.89903042460715477</v>
      </c>
      <c r="N321" s="35">
        <v>99.9</v>
      </c>
      <c r="O321" s="35">
        <v>42.553000000000004</v>
      </c>
    </row>
    <row r="322" spans="1:15" x14ac:dyDescent="0.3">
      <c r="A322" s="35" t="s">
        <v>217</v>
      </c>
      <c r="B322" s="35">
        <v>2.9999999999999996</v>
      </c>
      <c r="C322" s="35">
        <v>1140</v>
      </c>
      <c r="D322" s="36" t="s">
        <v>419</v>
      </c>
      <c r="E322" s="36" t="s">
        <v>415</v>
      </c>
      <c r="F322" s="35">
        <v>11.1</v>
      </c>
      <c r="G322" s="35">
        <v>9959</v>
      </c>
      <c r="H322" s="35">
        <v>98.46</v>
      </c>
      <c r="I322" s="35">
        <v>1093</v>
      </c>
      <c r="J322" s="35">
        <v>5.4839890210430013</v>
      </c>
      <c r="K322" s="35">
        <v>9.8062500000000004</v>
      </c>
      <c r="L322" s="35">
        <v>110.58666666666667</v>
      </c>
      <c r="M322" s="35">
        <v>0.89718664226898448</v>
      </c>
      <c r="N322" s="35">
        <v>99.9</v>
      </c>
      <c r="O322" s="35">
        <v>42.553000000000004</v>
      </c>
    </row>
    <row r="323" spans="1:15" x14ac:dyDescent="0.3">
      <c r="A323" s="35" t="s">
        <v>243</v>
      </c>
      <c r="B323" s="35">
        <v>5</v>
      </c>
      <c r="C323" s="35">
        <v>650</v>
      </c>
      <c r="D323" s="36" t="s">
        <v>419</v>
      </c>
      <c r="E323" s="36" t="s">
        <v>415</v>
      </c>
      <c r="F323" s="35">
        <v>18.5</v>
      </c>
      <c r="G323" s="35">
        <v>9580</v>
      </c>
      <c r="H323" s="35">
        <v>70.28</v>
      </c>
      <c r="I323" s="35">
        <v>1300.2</v>
      </c>
      <c r="J323" s="35">
        <v>4.2685740655283801</v>
      </c>
      <c r="K323" s="35">
        <v>11.662000000000001</v>
      </c>
      <c r="L323" s="35">
        <v>106.5</v>
      </c>
      <c r="M323" s="35">
        <v>0.89693893247192735</v>
      </c>
      <c r="N323" s="35">
        <v>99.9</v>
      </c>
      <c r="O323" s="35">
        <v>42.553000000000004</v>
      </c>
    </row>
    <row r="324" spans="1:15" x14ac:dyDescent="0.3">
      <c r="A324" s="35" t="s">
        <v>217</v>
      </c>
      <c r="B324" s="35">
        <v>2.9999999999999996</v>
      </c>
      <c r="C324" s="35">
        <v>1140</v>
      </c>
      <c r="D324" s="36" t="s">
        <v>420</v>
      </c>
      <c r="E324" s="36" t="s">
        <v>414</v>
      </c>
      <c r="F324" s="35">
        <v>11.1</v>
      </c>
      <c r="G324" s="35">
        <v>9695</v>
      </c>
      <c r="H324" s="35">
        <v>106.86</v>
      </c>
      <c r="I324" s="35">
        <v>1186.2</v>
      </c>
      <c r="J324" s="35">
        <v>5.0531107738998484</v>
      </c>
      <c r="K324" s="35">
        <v>10.635</v>
      </c>
      <c r="L324" s="35">
        <v>80.813333333333333</v>
      </c>
      <c r="M324" s="35">
        <v>0.89656044511886701</v>
      </c>
      <c r="N324" s="35">
        <v>99.9</v>
      </c>
      <c r="O324" s="35">
        <v>42.553000000000004</v>
      </c>
    </row>
    <row r="325" spans="1:15" x14ac:dyDescent="0.3">
      <c r="A325" s="35" t="s">
        <v>242</v>
      </c>
      <c r="B325" s="35">
        <v>5.9999999999999991</v>
      </c>
      <c r="C325" s="35">
        <v>760</v>
      </c>
      <c r="D325" s="36" t="s">
        <v>417</v>
      </c>
      <c r="E325" s="36">
        <v>4.5</v>
      </c>
      <c r="F325" s="35">
        <v>22.2</v>
      </c>
      <c r="G325" s="35">
        <v>13915</v>
      </c>
      <c r="H325" s="35">
        <v>47.32</v>
      </c>
      <c r="I325" s="35">
        <v>1050.5999999999999</v>
      </c>
      <c r="J325" s="35">
        <v>5.705311250713879</v>
      </c>
      <c r="K325" s="35">
        <v>9.4179999999999993</v>
      </c>
      <c r="L325" s="35">
        <v>87</v>
      </c>
      <c r="M325" s="35">
        <v>0.89644012944983831</v>
      </c>
      <c r="N325" s="35">
        <v>99.9</v>
      </c>
      <c r="O325" s="35">
        <v>42.553000000000004</v>
      </c>
    </row>
    <row r="326" spans="1:15" x14ac:dyDescent="0.3">
      <c r="A326" s="35" t="s">
        <v>216</v>
      </c>
      <c r="B326" s="35">
        <v>2.9999999999999996</v>
      </c>
      <c r="C326" s="35">
        <v>970</v>
      </c>
      <c r="D326" s="36" t="s">
        <v>418</v>
      </c>
      <c r="E326" s="36" t="s">
        <v>415</v>
      </c>
      <c r="F326" s="35">
        <v>11.1</v>
      </c>
      <c r="G326" s="35">
        <v>8683</v>
      </c>
      <c r="H326" s="35">
        <v>59.7</v>
      </c>
      <c r="I326" s="35">
        <v>662.6</v>
      </c>
      <c r="J326" s="35">
        <v>9.0461817084213703</v>
      </c>
      <c r="K326" s="35">
        <v>5.9387499999999998</v>
      </c>
      <c r="L326" s="35">
        <v>96.506666666666661</v>
      </c>
      <c r="M326" s="35">
        <v>0.89627980682161179</v>
      </c>
      <c r="N326" s="35">
        <v>99.9</v>
      </c>
      <c r="O326" s="35">
        <v>42.553000000000004</v>
      </c>
    </row>
    <row r="327" spans="1:15" x14ac:dyDescent="0.3">
      <c r="A327" s="35" t="s">
        <v>253</v>
      </c>
      <c r="B327" s="35">
        <v>2.9999999999999996</v>
      </c>
      <c r="C327" s="35">
        <v>1300</v>
      </c>
      <c r="D327" s="36" t="s">
        <v>418</v>
      </c>
      <c r="E327" s="36" t="s">
        <v>413</v>
      </c>
      <c r="F327" s="35">
        <v>11.1</v>
      </c>
      <c r="G327" s="35">
        <v>11528</v>
      </c>
      <c r="H327" s="35">
        <v>84.5</v>
      </c>
      <c r="I327" s="35">
        <v>937.8</v>
      </c>
      <c r="J327" s="35">
        <v>6.3915547024952026</v>
      </c>
      <c r="K327" s="35">
        <v>8.4019999999999992</v>
      </c>
      <c r="L327" s="35">
        <v>80.099999999999994</v>
      </c>
      <c r="M327" s="35">
        <v>0.8959266368095542</v>
      </c>
      <c r="N327" s="35">
        <v>99.9</v>
      </c>
      <c r="O327" s="35">
        <v>42.553000000000004</v>
      </c>
    </row>
    <row r="328" spans="1:15" x14ac:dyDescent="0.3">
      <c r="A328" s="35" t="s">
        <v>213</v>
      </c>
      <c r="B328" s="35">
        <v>5</v>
      </c>
      <c r="C328" s="35">
        <v>840</v>
      </c>
      <c r="D328" s="36" t="s">
        <v>417</v>
      </c>
      <c r="E328" s="36">
        <v>4.5</v>
      </c>
      <c r="F328" s="35">
        <v>18.5</v>
      </c>
      <c r="G328" s="35">
        <v>13561</v>
      </c>
      <c r="H328" s="35">
        <v>52.44</v>
      </c>
      <c r="I328" s="35">
        <v>970.2</v>
      </c>
      <c r="J328" s="35">
        <v>5.7204700061842919</v>
      </c>
      <c r="K328" s="35">
        <v>8.69</v>
      </c>
      <c r="L328" s="35">
        <v>84.773333333333326</v>
      </c>
      <c r="M328" s="35">
        <v>0.89569160997732422</v>
      </c>
      <c r="N328" s="35">
        <v>99.9</v>
      </c>
      <c r="O328" s="35">
        <v>42.553000000000004</v>
      </c>
    </row>
    <row r="329" spans="1:15" x14ac:dyDescent="0.3">
      <c r="A329" s="35" t="s">
        <v>102</v>
      </c>
      <c r="B329" s="35">
        <v>4</v>
      </c>
      <c r="C329" s="35">
        <v>600</v>
      </c>
      <c r="D329" s="36" t="s">
        <v>421</v>
      </c>
      <c r="E329" s="36" t="s">
        <v>415</v>
      </c>
      <c r="F329" s="35">
        <v>14.8</v>
      </c>
      <c r="G329" s="35">
        <v>7976</v>
      </c>
      <c r="H329" s="35">
        <v>78.86</v>
      </c>
      <c r="I329" s="35">
        <v>1167.2</v>
      </c>
      <c r="J329" s="35">
        <v>5.0212474297464018</v>
      </c>
      <c r="K329" s="35">
        <v>10.445</v>
      </c>
      <c r="L329" s="35">
        <v>88.586666666666659</v>
      </c>
      <c r="M329" s="35">
        <v>0.89487662782727884</v>
      </c>
      <c r="N329" s="35">
        <v>99.9</v>
      </c>
      <c r="O329" s="35">
        <v>42.553000000000004</v>
      </c>
    </row>
    <row r="330" spans="1:15" x14ac:dyDescent="0.3">
      <c r="A330" s="35" t="s">
        <v>212</v>
      </c>
      <c r="B330" s="35">
        <v>2.9999999999999996</v>
      </c>
      <c r="C330" s="35">
        <v>1460</v>
      </c>
      <c r="D330" s="36" t="s">
        <v>417</v>
      </c>
      <c r="E330" s="36">
        <v>4.5</v>
      </c>
      <c r="F330" s="35">
        <v>11.1</v>
      </c>
      <c r="G330" s="35">
        <v>13225</v>
      </c>
      <c r="H330" s="35">
        <v>83.14</v>
      </c>
      <c r="I330" s="35">
        <v>922.8</v>
      </c>
      <c r="J330" s="35">
        <v>6.4954486345903772</v>
      </c>
      <c r="K330" s="35">
        <v>8.2537500000000001</v>
      </c>
      <c r="L330" s="35">
        <v>82.72</v>
      </c>
      <c r="M330" s="35">
        <v>0.89442457737321202</v>
      </c>
      <c r="N330" s="35">
        <v>99.9</v>
      </c>
      <c r="O330" s="35">
        <v>42.553000000000004</v>
      </c>
    </row>
    <row r="331" spans="1:15" x14ac:dyDescent="0.3">
      <c r="A331" s="35" t="s">
        <v>212</v>
      </c>
      <c r="B331" s="35">
        <v>2.9999999999999996</v>
      </c>
      <c r="C331" s="35">
        <v>1460</v>
      </c>
      <c r="D331" s="36" t="s">
        <v>417</v>
      </c>
      <c r="E331" s="36" t="s">
        <v>413</v>
      </c>
      <c r="F331" s="35">
        <v>11.1</v>
      </c>
      <c r="G331" s="35">
        <v>13121</v>
      </c>
      <c r="H331" s="35">
        <v>72.02</v>
      </c>
      <c r="I331" s="35">
        <v>799.4</v>
      </c>
      <c r="J331" s="35">
        <v>7.4981235926945216</v>
      </c>
      <c r="K331" s="35">
        <v>7.1475</v>
      </c>
      <c r="L331" s="35">
        <v>91.08</v>
      </c>
      <c r="M331" s="35">
        <v>0.89410808106079565</v>
      </c>
      <c r="N331" s="35">
        <v>97.68</v>
      </c>
      <c r="O331" s="35">
        <v>38.108474999999999</v>
      </c>
    </row>
    <row r="332" spans="1:15" x14ac:dyDescent="0.3">
      <c r="A332" s="35" t="s">
        <v>213</v>
      </c>
      <c r="B332" s="35">
        <v>4</v>
      </c>
      <c r="C332" s="35">
        <v>840</v>
      </c>
      <c r="D332" s="36" t="s">
        <v>419</v>
      </c>
      <c r="E332" s="36" t="s">
        <v>415</v>
      </c>
      <c r="F332" s="35">
        <v>14.8</v>
      </c>
      <c r="G332" s="35">
        <v>9808</v>
      </c>
      <c r="H332" s="35">
        <v>70.56</v>
      </c>
      <c r="I332" s="35">
        <v>1044.2</v>
      </c>
      <c r="J332" s="35">
        <v>5.6127178701398197</v>
      </c>
      <c r="K332" s="35">
        <v>9.3337500000000002</v>
      </c>
      <c r="L332" s="35">
        <v>108.97333333333331</v>
      </c>
      <c r="M332" s="35">
        <v>0.89386611760199197</v>
      </c>
      <c r="N332" s="35">
        <v>97.68</v>
      </c>
      <c r="O332" s="35">
        <v>38.108474999999999</v>
      </c>
    </row>
    <row r="333" spans="1:15" x14ac:dyDescent="0.3">
      <c r="A333" s="35" t="s">
        <v>254</v>
      </c>
      <c r="B333" s="35">
        <v>2.9999999999999996</v>
      </c>
      <c r="C333" s="35">
        <v>1350</v>
      </c>
      <c r="D333" s="36" t="s">
        <v>418</v>
      </c>
      <c r="E333" s="36" t="s">
        <v>413</v>
      </c>
      <c r="F333" s="35">
        <v>11.1</v>
      </c>
      <c r="G333" s="35">
        <v>12383</v>
      </c>
      <c r="H333" s="35">
        <v>104.38</v>
      </c>
      <c r="I333" s="35">
        <v>1158.5999999999999</v>
      </c>
      <c r="J333" s="35">
        <v>5.1734852408078718</v>
      </c>
      <c r="K333" s="35">
        <v>10.34</v>
      </c>
      <c r="L333" s="35">
        <v>85.9</v>
      </c>
      <c r="M333" s="35">
        <v>0.8924564129121354</v>
      </c>
      <c r="N333" s="35">
        <v>97.68</v>
      </c>
      <c r="O333" s="35">
        <v>38.108474999999999</v>
      </c>
    </row>
    <row r="334" spans="1:15" x14ac:dyDescent="0.3">
      <c r="A334" s="35" t="s">
        <v>277</v>
      </c>
      <c r="B334" s="35">
        <v>4</v>
      </c>
      <c r="C334" s="35">
        <v>890</v>
      </c>
      <c r="D334" s="36" t="s">
        <v>417</v>
      </c>
      <c r="E334" s="36" t="s">
        <v>414</v>
      </c>
      <c r="F334" s="35">
        <v>14.8</v>
      </c>
      <c r="G334" s="35">
        <v>11659</v>
      </c>
      <c r="H334" s="35">
        <v>49.24</v>
      </c>
      <c r="I334" s="35">
        <v>728.6</v>
      </c>
      <c r="J334" s="35">
        <v>8.0439198462805379</v>
      </c>
      <c r="K334" s="35">
        <v>6.4960000000000004</v>
      </c>
      <c r="L334" s="35">
        <v>97.1</v>
      </c>
      <c r="M334" s="35">
        <v>0.89157287949492192</v>
      </c>
      <c r="N334" s="35">
        <v>97.68</v>
      </c>
      <c r="O334" s="35">
        <v>38.108474999999999</v>
      </c>
    </row>
    <row r="335" spans="1:15" x14ac:dyDescent="0.3">
      <c r="A335" s="35" t="s">
        <v>216</v>
      </c>
      <c r="B335" s="35">
        <v>4</v>
      </c>
      <c r="C335" s="35">
        <v>970</v>
      </c>
      <c r="D335" s="36" t="s">
        <v>418</v>
      </c>
      <c r="E335" s="36" t="s">
        <v>413</v>
      </c>
      <c r="F335" s="35">
        <v>14.8</v>
      </c>
      <c r="G335" s="35">
        <v>12037</v>
      </c>
      <c r="H335" s="35">
        <v>59.42</v>
      </c>
      <c r="I335" s="35">
        <v>879.6</v>
      </c>
      <c r="J335" s="35">
        <v>6.6630286493860851</v>
      </c>
      <c r="K335" s="35">
        <v>7.7949999999999999</v>
      </c>
      <c r="L335" s="35">
        <v>83.6</v>
      </c>
      <c r="M335" s="35">
        <v>0.88619827194179168</v>
      </c>
      <c r="N335" s="35">
        <v>92.5</v>
      </c>
      <c r="O335" s="35">
        <v>38.884503000000002</v>
      </c>
    </row>
    <row r="336" spans="1:15" x14ac:dyDescent="0.3">
      <c r="A336" s="35" t="s">
        <v>242</v>
      </c>
      <c r="B336" s="35">
        <v>5</v>
      </c>
      <c r="C336" s="35">
        <v>760</v>
      </c>
      <c r="D336" s="36" t="s">
        <v>418</v>
      </c>
      <c r="E336" s="36" t="s">
        <v>412</v>
      </c>
      <c r="F336" s="35">
        <v>18.5</v>
      </c>
      <c r="G336" s="35">
        <v>10946</v>
      </c>
      <c r="H336" s="35">
        <v>58.7</v>
      </c>
      <c r="I336" s="35">
        <v>1086</v>
      </c>
      <c r="J336" s="35">
        <v>5.1104972375690609</v>
      </c>
      <c r="K336" s="35">
        <v>9.6240000000000006</v>
      </c>
      <c r="L336" s="35">
        <v>106.5</v>
      </c>
      <c r="M336" s="35">
        <v>0.88618784530386741</v>
      </c>
      <c r="N336" s="35">
        <v>92.5</v>
      </c>
      <c r="O336" s="35">
        <v>38.884503000000002</v>
      </c>
    </row>
    <row r="337" spans="1:15" x14ac:dyDescent="0.3">
      <c r="A337" s="35" t="s">
        <v>97</v>
      </c>
      <c r="B337" s="35">
        <v>5.9999999999999991</v>
      </c>
      <c r="C337" s="35">
        <v>520</v>
      </c>
      <c r="D337" s="36" t="s">
        <v>420</v>
      </c>
      <c r="E337" s="36" t="s">
        <v>414</v>
      </c>
      <c r="F337" s="35">
        <v>22.2</v>
      </c>
      <c r="G337" s="35">
        <v>10561</v>
      </c>
      <c r="H337" s="35">
        <v>62.1</v>
      </c>
      <c r="I337" s="35">
        <v>1378.6</v>
      </c>
      <c r="J337" s="35">
        <v>4.3478891629189036</v>
      </c>
      <c r="K337" s="35">
        <v>12.196249999999999</v>
      </c>
      <c r="L337" s="35">
        <v>88</v>
      </c>
      <c r="M337" s="35">
        <v>0.88468373712461912</v>
      </c>
      <c r="N337" s="35">
        <v>97.68</v>
      </c>
      <c r="O337" s="35">
        <v>45.648475000000005</v>
      </c>
    </row>
    <row r="338" spans="1:15" x14ac:dyDescent="0.3">
      <c r="A338" s="35" t="s">
        <v>209</v>
      </c>
      <c r="B338" s="35">
        <v>2.9999999999999996</v>
      </c>
      <c r="C338" s="35">
        <v>1170</v>
      </c>
      <c r="D338" s="36" t="s">
        <v>419</v>
      </c>
      <c r="E338" s="36" t="s">
        <v>412</v>
      </c>
      <c r="F338" s="35">
        <v>11.1</v>
      </c>
      <c r="G338" s="35">
        <v>10095</v>
      </c>
      <c r="H338" s="35">
        <v>91.18</v>
      </c>
      <c r="I338" s="35">
        <v>1012</v>
      </c>
      <c r="J338" s="35">
        <v>5.9229249011857705</v>
      </c>
      <c r="K338" s="35">
        <v>8.9462499999999991</v>
      </c>
      <c r="L338" s="35">
        <v>98.12</v>
      </c>
      <c r="M338" s="35">
        <v>0.88401679841897218</v>
      </c>
      <c r="N338" s="35">
        <v>97.68</v>
      </c>
      <c r="O338" s="35">
        <v>45.648475000000005</v>
      </c>
    </row>
    <row r="339" spans="1:15" x14ac:dyDescent="0.3">
      <c r="A339" s="35" t="s">
        <v>209</v>
      </c>
      <c r="B339" s="35">
        <v>2.9999999999999996</v>
      </c>
      <c r="C339" s="35">
        <v>1170</v>
      </c>
      <c r="D339" s="36" t="s">
        <v>417</v>
      </c>
      <c r="E339" s="36" t="s">
        <v>412</v>
      </c>
      <c r="F339" s="35">
        <v>11.1</v>
      </c>
      <c r="G339" s="35">
        <v>10654</v>
      </c>
      <c r="H339" s="35">
        <v>76.56</v>
      </c>
      <c r="I339" s="35">
        <v>850</v>
      </c>
      <c r="J339" s="35">
        <v>7.0517647058823529</v>
      </c>
      <c r="K339" s="35">
        <v>7.5137499999999999</v>
      </c>
      <c r="L339" s="35">
        <v>103.54666666666665</v>
      </c>
      <c r="M339" s="35">
        <v>0.88397058823529406</v>
      </c>
      <c r="N339" s="35">
        <v>97.68</v>
      </c>
      <c r="O339" s="35">
        <v>45.648475000000005</v>
      </c>
    </row>
    <row r="340" spans="1:15" x14ac:dyDescent="0.3">
      <c r="A340" s="35" t="s">
        <v>207</v>
      </c>
      <c r="B340" s="35">
        <v>4</v>
      </c>
      <c r="C340" s="35">
        <v>850</v>
      </c>
      <c r="D340" s="36" t="s">
        <v>417</v>
      </c>
      <c r="E340" s="36" t="s">
        <v>414</v>
      </c>
      <c r="F340" s="35">
        <v>14.8</v>
      </c>
      <c r="G340" s="35">
        <v>11434</v>
      </c>
      <c r="H340" s="35">
        <v>47.06</v>
      </c>
      <c r="I340" s="35">
        <v>696.4</v>
      </c>
      <c r="J340" s="35">
        <v>8.4158529580700758</v>
      </c>
      <c r="K340" s="35">
        <v>6.1512500000000001</v>
      </c>
      <c r="L340" s="35">
        <v>95.333333333333329</v>
      </c>
      <c r="M340" s="35">
        <v>0.8832926479035037</v>
      </c>
      <c r="N340" s="35">
        <v>97.68</v>
      </c>
      <c r="O340" s="35">
        <v>45.648475000000005</v>
      </c>
    </row>
    <row r="341" spans="1:15" x14ac:dyDescent="0.3">
      <c r="A341" s="35" t="s">
        <v>97</v>
      </c>
      <c r="B341" s="35">
        <v>5.9999999999999991</v>
      </c>
      <c r="C341" s="35">
        <v>520</v>
      </c>
      <c r="D341" s="36" t="s">
        <v>419</v>
      </c>
      <c r="E341" s="36" t="s">
        <v>412</v>
      </c>
      <c r="F341" s="35">
        <v>22.2</v>
      </c>
      <c r="G341" s="35">
        <v>10503</v>
      </c>
      <c r="H341" s="35">
        <v>64.84</v>
      </c>
      <c r="I341" s="35">
        <v>1439.4</v>
      </c>
      <c r="J341" s="35">
        <v>4.1642350979574818</v>
      </c>
      <c r="K341" s="35">
        <v>12.69875</v>
      </c>
      <c r="L341" s="35">
        <v>102.07999999999998</v>
      </c>
      <c r="M341" s="35">
        <v>0.88222523273586217</v>
      </c>
      <c r="N341" s="35">
        <v>97.68</v>
      </c>
      <c r="O341" s="35">
        <v>45.648475000000005</v>
      </c>
    </row>
    <row r="342" spans="1:15" x14ac:dyDescent="0.3">
      <c r="A342" s="35" t="s">
        <v>203</v>
      </c>
      <c r="B342" s="35">
        <v>2.9999999999999996</v>
      </c>
      <c r="C342" s="35">
        <v>1400</v>
      </c>
      <c r="D342" s="36" t="s">
        <v>418</v>
      </c>
      <c r="E342" s="36" t="s">
        <v>414</v>
      </c>
      <c r="F342" s="35">
        <v>11.1</v>
      </c>
      <c r="G342" s="35">
        <v>11882</v>
      </c>
      <c r="H342" s="35">
        <v>79.42</v>
      </c>
      <c r="I342" s="35">
        <v>881.6</v>
      </c>
      <c r="J342" s="35">
        <v>6.7990018148820326</v>
      </c>
      <c r="K342" s="35">
        <v>7.7649999999999997</v>
      </c>
      <c r="L342" s="35">
        <v>99</v>
      </c>
      <c r="M342" s="35">
        <v>0.88078493647912892</v>
      </c>
      <c r="N342" s="35">
        <v>97.68</v>
      </c>
      <c r="O342" s="35">
        <v>45.648475000000005</v>
      </c>
    </row>
    <row r="343" spans="1:15" x14ac:dyDescent="0.3">
      <c r="A343" s="35" t="s">
        <v>254</v>
      </c>
      <c r="B343" s="35">
        <v>2.9999999999999996</v>
      </c>
      <c r="C343" s="35">
        <v>1080</v>
      </c>
      <c r="D343" s="36" t="s">
        <v>418</v>
      </c>
      <c r="E343" s="36" t="s">
        <v>412</v>
      </c>
      <c r="F343" s="35">
        <v>11.1</v>
      </c>
      <c r="G343" s="35">
        <v>10097</v>
      </c>
      <c r="H343" s="35">
        <v>76.459999999999994</v>
      </c>
      <c r="I343" s="35">
        <v>848.8</v>
      </c>
      <c r="J343" s="35">
        <v>7.0617342130065985</v>
      </c>
      <c r="K343" s="35">
        <v>7.4720000000000004</v>
      </c>
      <c r="L343" s="35">
        <v>98.1</v>
      </c>
      <c r="M343" s="35">
        <v>0.88030160226201704</v>
      </c>
      <c r="N343" s="35">
        <v>97.68</v>
      </c>
      <c r="O343" s="35">
        <v>45.648475000000005</v>
      </c>
    </row>
    <row r="344" spans="1:15" x14ac:dyDescent="0.3">
      <c r="A344" s="35" t="s">
        <v>254</v>
      </c>
      <c r="B344" s="35">
        <v>4</v>
      </c>
      <c r="C344" s="35">
        <v>1080</v>
      </c>
      <c r="D344" s="36" t="s">
        <v>417</v>
      </c>
      <c r="E344" s="36">
        <v>4.5</v>
      </c>
      <c r="F344" s="35">
        <v>14.8</v>
      </c>
      <c r="G344" s="35">
        <v>14040</v>
      </c>
      <c r="H344" s="35">
        <v>69.12</v>
      </c>
      <c r="I344" s="35">
        <v>1023</v>
      </c>
      <c r="J344" s="35">
        <v>5.7290322580645165</v>
      </c>
      <c r="K344" s="35">
        <v>8.968</v>
      </c>
      <c r="L344" s="35">
        <v>87.7</v>
      </c>
      <c r="M344" s="35">
        <v>0.87663734115347014</v>
      </c>
      <c r="N344" s="35">
        <v>97.68</v>
      </c>
      <c r="O344" s="35">
        <v>45.648475000000005</v>
      </c>
    </row>
    <row r="345" spans="1:15" x14ac:dyDescent="0.3">
      <c r="A345" s="35" t="s">
        <v>213</v>
      </c>
      <c r="B345" s="35">
        <v>4</v>
      </c>
      <c r="C345" s="35">
        <v>840</v>
      </c>
      <c r="D345" s="36" t="s">
        <v>417</v>
      </c>
      <c r="E345" s="36" t="s">
        <v>415</v>
      </c>
      <c r="F345" s="35">
        <v>14.8</v>
      </c>
      <c r="G345" s="35">
        <v>10225</v>
      </c>
      <c r="H345" s="35">
        <v>62.32</v>
      </c>
      <c r="I345" s="35">
        <v>922.4</v>
      </c>
      <c r="J345" s="35">
        <v>6.3538594969644411</v>
      </c>
      <c r="K345" s="35">
        <v>8.0637500000000006</v>
      </c>
      <c r="L345" s="35">
        <v>113.66666666666666</v>
      </c>
      <c r="M345" s="35">
        <v>0.87421400693842166</v>
      </c>
      <c r="N345" s="35">
        <v>97.68</v>
      </c>
      <c r="O345" s="35">
        <v>45.648475000000005</v>
      </c>
    </row>
    <row r="346" spans="1:15" x14ac:dyDescent="0.3">
      <c r="A346" s="35" t="s">
        <v>254</v>
      </c>
      <c r="B346" s="35">
        <v>2.9999999999999996</v>
      </c>
      <c r="C346" s="35">
        <v>1350</v>
      </c>
      <c r="D346" s="36" t="s">
        <v>418</v>
      </c>
      <c r="E346" s="36" t="s">
        <v>414</v>
      </c>
      <c r="F346" s="35">
        <v>11.1</v>
      </c>
      <c r="G346" s="35">
        <v>12665</v>
      </c>
      <c r="H346" s="35">
        <v>92.74</v>
      </c>
      <c r="I346" s="35">
        <v>1029.4000000000001</v>
      </c>
      <c r="J346" s="35">
        <v>5.8228094035360396</v>
      </c>
      <c r="K346" s="35">
        <v>8.9939999999999998</v>
      </c>
      <c r="L346" s="35">
        <v>105.6</v>
      </c>
      <c r="M346" s="35">
        <v>0.87371284243248482</v>
      </c>
      <c r="N346" s="35">
        <v>97.68</v>
      </c>
      <c r="O346" s="35">
        <v>45.648475000000005</v>
      </c>
    </row>
    <row r="347" spans="1:15" x14ac:dyDescent="0.3">
      <c r="A347" s="35" t="s">
        <v>244</v>
      </c>
      <c r="B347" s="35">
        <v>4</v>
      </c>
      <c r="C347" s="35">
        <v>610</v>
      </c>
      <c r="D347" s="36" t="s">
        <v>420</v>
      </c>
      <c r="E347" s="36" t="s">
        <v>418</v>
      </c>
      <c r="F347" s="35">
        <v>14.8</v>
      </c>
      <c r="G347" s="35">
        <v>7615</v>
      </c>
      <c r="H347" s="35">
        <v>67.92</v>
      </c>
      <c r="I347" s="35">
        <v>1005.2</v>
      </c>
      <c r="J347" s="35">
        <v>5.8304814962196581</v>
      </c>
      <c r="K347" s="35">
        <v>8.76</v>
      </c>
      <c r="L347" s="35">
        <v>105.7</v>
      </c>
      <c r="M347" s="35">
        <v>0.8714683645045761</v>
      </c>
      <c r="N347" s="35">
        <v>97.68</v>
      </c>
      <c r="O347" s="35">
        <v>45.648475000000005</v>
      </c>
    </row>
    <row r="348" spans="1:15" x14ac:dyDescent="0.3">
      <c r="A348" s="35" t="s">
        <v>277</v>
      </c>
      <c r="B348" s="35">
        <v>5</v>
      </c>
      <c r="C348" s="35">
        <v>890</v>
      </c>
      <c r="D348" s="36" t="s">
        <v>417</v>
      </c>
      <c r="E348" s="36">
        <v>4.5</v>
      </c>
      <c r="F348" s="35">
        <v>18.5</v>
      </c>
      <c r="G348" s="35">
        <v>14314</v>
      </c>
      <c r="H348" s="35">
        <v>62.24</v>
      </c>
      <c r="I348" s="35">
        <v>1151.2</v>
      </c>
      <c r="J348" s="35">
        <v>4.8210562890896451</v>
      </c>
      <c r="K348" s="35">
        <v>10.006</v>
      </c>
      <c r="L348" s="35">
        <v>89.5</v>
      </c>
      <c r="M348" s="35">
        <v>0.8691799861014593</v>
      </c>
      <c r="N348" s="35">
        <v>97.68</v>
      </c>
      <c r="O348" s="35">
        <v>45.648475000000005</v>
      </c>
    </row>
    <row r="349" spans="1:15" x14ac:dyDescent="0.3">
      <c r="A349" s="35" t="s">
        <v>203</v>
      </c>
      <c r="B349" s="35">
        <v>2.9999999999999996</v>
      </c>
      <c r="C349" s="35">
        <v>1400</v>
      </c>
      <c r="D349" s="36" t="s">
        <v>415</v>
      </c>
      <c r="E349" s="36" t="s">
        <v>414</v>
      </c>
      <c r="F349" s="35">
        <v>11.1</v>
      </c>
      <c r="G349" s="35">
        <v>12462</v>
      </c>
      <c r="H349" s="35">
        <v>65.7</v>
      </c>
      <c r="I349" s="35">
        <v>729.4</v>
      </c>
      <c r="J349" s="35">
        <v>8.2177131889224029</v>
      </c>
      <c r="K349" s="35">
        <v>6.3224999999999998</v>
      </c>
      <c r="L349" s="35">
        <v>103.83999999999999</v>
      </c>
      <c r="M349" s="35">
        <v>0.86680833561831649</v>
      </c>
      <c r="N349" s="35">
        <v>97.68</v>
      </c>
      <c r="O349" s="35">
        <v>45.648475000000005</v>
      </c>
    </row>
    <row r="350" spans="1:15" x14ac:dyDescent="0.3">
      <c r="A350" s="35" t="s">
        <v>216</v>
      </c>
      <c r="B350" s="35">
        <v>4</v>
      </c>
      <c r="C350" s="35">
        <v>970</v>
      </c>
      <c r="D350" s="36" t="s">
        <v>418</v>
      </c>
      <c r="E350" s="36" t="s">
        <v>413</v>
      </c>
      <c r="F350" s="35">
        <v>14.8</v>
      </c>
      <c r="G350" s="35">
        <v>11719</v>
      </c>
      <c r="H350" s="35">
        <v>67.680000000000007</v>
      </c>
      <c r="I350" s="35">
        <v>1001.8</v>
      </c>
      <c r="J350" s="35">
        <v>5.8502695148732293</v>
      </c>
      <c r="K350" s="35">
        <v>8.6724999999999994</v>
      </c>
      <c r="L350" s="35">
        <v>81.399999999999991</v>
      </c>
      <c r="M350" s="35">
        <v>0.86569175484128569</v>
      </c>
      <c r="N350" s="35">
        <v>97.68</v>
      </c>
      <c r="O350" s="35">
        <v>45.648475000000005</v>
      </c>
    </row>
    <row r="351" spans="1:15" x14ac:dyDescent="0.3">
      <c r="A351" s="35" t="s">
        <v>209</v>
      </c>
      <c r="B351" s="35">
        <v>2.9999999999999996</v>
      </c>
      <c r="C351" s="35">
        <v>1170</v>
      </c>
      <c r="D351" s="36" t="s">
        <v>418</v>
      </c>
      <c r="E351" s="36" t="s">
        <v>412</v>
      </c>
      <c r="F351" s="35">
        <v>11.1</v>
      </c>
      <c r="G351" s="35">
        <v>9892</v>
      </c>
      <c r="H351" s="35">
        <v>95.28</v>
      </c>
      <c r="I351" s="35">
        <v>1057.5999999999999</v>
      </c>
      <c r="J351" s="35">
        <v>5.6675491679273833</v>
      </c>
      <c r="K351" s="35">
        <v>9.1449999999999996</v>
      </c>
      <c r="L351" s="35">
        <v>96.213333333333324</v>
      </c>
      <c r="M351" s="35">
        <v>0.8646936459909228</v>
      </c>
      <c r="N351" s="35">
        <v>97.68</v>
      </c>
      <c r="O351" s="35">
        <v>45.648475000000005</v>
      </c>
    </row>
    <row r="352" spans="1:15" x14ac:dyDescent="0.3">
      <c r="A352" s="35" t="s">
        <v>216</v>
      </c>
      <c r="B352" s="35">
        <v>2.9999999999999996</v>
      </c>
      <c r="C352" s="35">
        <v>970</v>
      </c>
      <c r="D352" s="36" t="s">
        <v>419</v>
      </c>
      <c r="E352" s="36">
        <v>8.5</v>
      </c>
      <c r="F352" s="35">
        <v>11.1</v>
      </c>
      <c r="G352" s="35">
        <v>8029</v>
      </c>
      <c r="H352" s="35">
        <v>75.44</v>
      </c>
      <c r="I352" s="35">
        <v>837.4</v>
      </c>
      <c r="J352" s="35">
        <v>7.1578695963697161</v>
      </c>
      <c r="K352" s="35">
        <v>7.2225000000000001</v>
      </c>
      <c r="L352" s="35">
        <v>94.746666666666655</v>
      </c>
      <c r="M352" s="35">
        <v>0.86249104370671126</v>
      </c>
      <c r="N352" s="35">
        <v>97.68</v>
      </c>
      <c r="O352" s="35">
        <v>45.648475000000005</v>
      </c>
    </row>
    <row r="353" spans="1:15" x14ac:dyDescent="0.3">
      <c r="A353" s="35" t="s">
        <v>216</v>
      </c>
      <c r="B353" s="35">
        <v>2.9999999999999996</v>
      </c>
      <c r="C353" s="35">
        <v>970</v>
      </c>
      <c r="D353" s="36" t="s">
        <v>418</v>
      </c>
      <c r="E353" s="36" t="s">
        <v>414</v>
      </c>
      <c r="F353" s="35">
        <v>11.1</v>
      </c>
      <c r="G353" s="35">
        <v>9066</v>
      </c>
      <c r="H353" s="35">
        <v>50.36</v>
      </c>
      <c r="I353" s="35">
        <v>559</v>
      </c>
      <c r="J353" s="35">
        <v>10.722719141323793</v>
      </c>
      <c r="K353" s="35">
        <v>4.8187499999999996</v>
      </c>
      <c r="L353" s="35">
        <v>75.533333333333331</v>
      </c>
      <c r="M353" s="35">
        <v>0.86203041144901604</v>
      </c>
      <c r="N353" s="35">
        <v>97.68</v>
      </c>
      <c r="O353" s="35">
        <v>45.648475000000005</v>
      </c>
    </row>
    <row r="354" spans="1:15" x14ac:dyDescent="0.3">
      <c r="A354" s="35" t="s">
        <v>207</v>
      </c>
      <c r="B354" s="35">
        <v>4</v>
      </c>
      <c r="C354" s="35">
        <v>850</v>
      </c>
      <c r="D354" s="36" t="s">
        <v>415</v>
      </c>
      <c r="E354" s="36" t="s">
        <v>414</v>
      </c>
      <c r="F354" s="35">
        <v>14.8</v>
      </c>
      <c r="G354" s="35">
        <v>11529</v>
      </c>
      <c r="H354" s="35">
        <v>40.020000000000003</v>
      </c>
      <c r="I354" s="35">
        <v>592.20000000000005</v>
      </c>
      <c r="J354" s="35">
        <v>9.896656534954408</v>
      </c>
      <c r="K354" s="35">
        <v>5.1012500000000003</v>
      </c>
      <c r="L354" s="35">
        <v>96.066666666666663</v>
      </c>
      <c r="M354" s="35">
        <v>0.8614066193853428</v>
      </c>
      <c r="N354" s="35">
        <v>92.5</v>
      </c>
      <c r="O354" s="35">
        <v>46.424503000000001</v>
      </c>
    </row>
    <row r="355" spans="1:15" x14ac:dyDescent="0.3">
      <c r="A355" s="35" t="s">
        <v>217</v>
      </c>
      <c r="B355" s="35">
        <v>2.9999999999999996</v>
      </c>
      <c r="C355" s="35">
        <v>1140</v>
      </c>
      <c r="D355" s="36" t="s">
        <v>419</v>
      </c>
      <c r="E355" s="36" t="s">
        <v>412</v>
      </c>
      <c r="F355" s="35">
        <v>11.1</v>
      </c>
      <c r="G355" s="35">
        <v>9595</v>
      </c>
      <c r="H355" s="35">
        <v>105.72</v>
      </c>
      <c r="I355" s="35">
        <v>1173.4000000000001</v>
      </c>
      <c r="J355" s="35">
        <v>5.1082324867905236</v>
      </c>
      <c r="K355" s="35">
        <v>10.106249999999999</v>
      </c>
      <c r="L355" s="35">
        <v>93.28</v>
      </c>
      <c r="M355" s="35">
        <v>0.86127918868246101</v>
      </c>
      <c r="N355" s="35">
        <v>92.5</v>
      </c>
      <c r="O355" s="35">
        <v>46.424503000000001</v>
      </c>
    </row>
    <row r="356" spans="1:15" x14ac:dyDescent="0.3">
      <c r="A356" s="35" t="s">
        <v>213</v>
      </c>
      <c r="B356" s="35">
        <v>5</v>
      </c>
      <c r="C356" s="35">
        <v>840</v>
      </c>
      <c r="D356" s="36" t="s">
        <v>418</v>
      </c>
      <c r="E356" s="36" t="s">
        <v>413</v>
      </c>
      <c r="F356" s="35">
        <v>18.5</v>
      </c>
      <c r="G356" s="35">
        <v>12757</v>
      </c>
      <c r="H356" s="35">
        <v>70.2</v>
      </c>
      <c r="I356" s="35">
        <v>1298.8</v>
      </c>
      <c r="J356" s="35">
        <v>4.2731752386818602</v>
      </c>
      <c r="K356" s="35">
        <v>11.18125</v>
      </c>
      <c r="L356" s="35">
        <v>88.586666666666659</v>
      </c>
      <c r="M356" s="35">
        <v>0.86089082229750558</v>
      </c>
      <c r="N356" s="35">
        <v>92.5</v>
      </c>
      <c r="O356" s="35">
        <v>46.424503000000001</v>
      </c>
    </row>
    <row r="357" spans="1:15" x14ac:dyDescent="0.3">
      <c r="A357" s="35" t="s">
        <v>201</v>
      </c>
      <c r="B357" s="35">
        <v>4</v>
      </c>
      <c r="C357" s="35">
        <v>1050</v>
      </c>
      <c r="D357" s="36" t="s">
        <v>417</v>
      </c>
      <c r="E357" s="36" t="s">
        <v>413</v>
      </c>
      <c r="F357" s="35">
        <v>14.8</v>
      </c>
      <c r="G357" s="35">
        <v>13573</v>
      </c>
      <c r="H357" s="35">
        <v>59.7</v>
      </c>
      <c r="I357" s="35">
        <v>883.4</v>
      </c>
      <c r="J357" s="35">
        <v>6.634367217568486</v>
      </c>
      <c r="K357" s="35">
        <v>7.6012500000000003</v>
      </c>
      <c r="L357" s="35">
        <v>94.306666666666658</v>
      </c>
      <c r="M357" s="35">
        <v>0.86045392800543352</v>
      </c>
      <c r="N357" s="35">
        <v>92.5</v>
      </c>
      <c r="O357" s="35">
        <v>46.424503000000001</v>
      </c>
    </row>
    <row r="358" spans="1:15" x14ac:dyDescent="0.3">
      <c r="A358" s="35" t="s">
        <v>116</v>
      </c>
      <c r="B358" s="35">
        <v>4</v>
      </c>
      <c r="C358" s="35">
        <v>540</v>
      </c>
      <c r="D358" s="36" t="s">
        <v>422</v>
      </c>
      <c r="E358" s="36" t="s">
        <v>418</v>
      </c>
      <c r="F358" s="35">
        <v>14.8</v>
      </c>
      <c r="G358" s="35">
        <v>6981</v>
      </c>
      <c r="H358" s="35">
        <v>96.36</v>
      </c>
      <c r="I358" s="35">
        <v>1426.2</v>
      </c>
      <c r="J358" s="35">
        <v>4.1093815734118637</v>
      </c>
      <c r="K358" s="35">
        <v>12.25375</v>
      </c>
      <c r="L358" s="35">
        <v>96.946666666666658</v>
      </c>
      <c r="M358" s="35">
        <v>0.85918875333052869</v>
      </c>
      <c r="N358" s="35">
        <v>92.5</v>
      </c>
      <c r="O358" s="35">
        <v>46.424503000000001</v>
      </c>
    </row>
    <row r="359" spans="1:15" x14ac:dyDescent="0.3">
      <c r="A359" s="35" t="s">
        <v>217</v>
      </c>
      <c r="B359" s="35">
        <v>2.9999999999999996</v>
      </c>
      <c r="C359" s="35">
        <v>1140</v>
      </c>
      <c r="D359" s="36" t="s">
        <v>417</v>
      </c>
      <c r="E359" s="36" t="s">
        <v>415</v>
      </c>
      <c r="F359" s="35">
        <v>11.1</v>
      </c>
      <c r="G359" s="35">
        <v>10340</v>
      </c>
      <c r="H359" s="35">
        <v>86.56</v>
      </c>
      <c r="I359" s="35">
        <v>960.8</v>
      </c>
      <c r="J359" s="35">
        <v>6.2385512073272276</v>
      </c>
      <c r="K359" s="35">
        <v>8.2537500000000001</v>
      </c>
      <c r="L359" s="35">
        <v>114.83999999999999</v>
      </c>
      <c r="M359" s="35">
        <v>0.85904975020815988</v>
      </c>
      <c r="N359" s="35">
        <v>92.5</v>
      </c>
      <c r="O359" s="35">
        <v>46.424503000000001</v>
      </c>
    </row>
    <row r="360" spans="1:15" x14ac:dyDescent="0.3">
      <c r="A360" s="35" t="s">
        <v>277</v>
      </c>
      <c r="B360" s="35">
        <v>4</v>
      </c>
      <c r="C360" s="35">
        <v>890</v>
      </c>
      <c r="D360" s="36" t="s">
        <v>418</v>
      </c>
      <c r="E360" s="36" t="s">
        <v>414</v>
      </c>
      <c r="F360" s="35">
        <v>14.8</v>
      </c>
      <c r="G360" s="35">
        <v>11151</v>
      </c>
      <c r="H360" s="35">
        <v>66.760000000000005</v>
      </c>
      <c r="I360" s="35">
        <v>988</v>
      </c>
      <c r="J360" s="35">
        <v>5.9319838056680165</v>
      </c>
      <c r="K360" s="35">
        <v>8.4860000000000007</v>
      </c>
      <c r="L360" s="35">
        <v>93</v>
      </c>
      <c r="M360" s="35">
        <v>0.85890688259109316</v>
      </c>
      <c r="N360" s="35">
        <v>92.5</v>
      </c>
      <c r="O360" s="35">
        <v>46.424503000000001</v>
      </c>
    </row>
    <row r="361" spans="1:15" x14ac:dyDescent="0.3">
      <c r="A361" s="35" t="s">
        <v>201</v>
      </c>
      <c r="B361" s="35">
        <v>4</v>
      </c>
      <c r="C361" s="35">
        <v>1050</v>
      </c>
      <c r="D361" s="36" t="s">
        <v>415</v>
      </c>
      <c r="E361" s="36" t="s">
        <v>413</v>
      </c>
      <c r="F361" s="35">
        <v>14.8</v>
      </c>
      <c r="G361" s="35">
        <v>14435</v>
      </c>
      <c r="H361" s="35">
        <v>44.06</v>
      </c>
      <c r="I361" s="35">
        <v>652</v>
      </c>
      <c r="J361" s="35">
        <v>8.9889570552147244</v>
      </c>
      <c r="K361" s="35">
        <v>5.6</v>
      </c>
      <c r="L361" s="35">
        <v>100.17333333333332</v>
      </c>
      <c r="M361" s="35">
        <v>0.85889570552147232</v>
      </c>
      <c r="N361" s="35">
        <v>92.5</v>
      </c>
      <c r="O361" s="35">
        <v>46.424503000000001</v>
      </c>
    </row>
    <row r="362" spans="1:15" x14ac:dyDescent="0.3">
      <c r="A362" s="35" t="s">
        <v>97</v>
      </c>
      <c r="B362" s="35">
        <v>4</v>
      </c>
      <c r="C362" s="35">
        <v>520</v>
      </c>
      <c r="D362" s="36" t="s">
        <v>423</v>
      </c>
      <c r="E362" s="36" t="s">
        <v>418</v>
      </c>
      <c r="F362" s="35">
        <v>14.8</v>
      </c>
      <c r="G362" s="35">
        <v>6406</v>
      </c>
      <c r="H362" s="35">
        <v>95.68</v>
      </c>
      <c r="I362" s="35">
        <v>1416.2</v>
      </c>
      <c r="J362" s="35">
        <v>4.1383985312808926</v>
      </c>
      <c r="K362" s="35">
        <v>12.161250000000001</v>
      </c>
      <c r="L362" s="35">
        <v>89.026666666666671</v>
      </c>
      <c r="M362" s="35">
        <v>0.85872405027538479</v>
      </c>
      <c r="N362" s="35">
        <v>92.5</v>
      </c>
      <c r="O362" s="35">
        <v>46.424503000000001</v>
      </c>
    </row>
    <row r="363" spans="1:15" x14ac:dyDescent="0.3">
      <c r="A363" s="35" t="s">
        <v>212</v>
      </c>
      <c r="B363" s="35">
        <v>2.9999999999999996</v>
      </c>
      <c r="C363" s="35">
        <v>1460</v>
      </c>
      <c r="D363" s="36" t="s">
        <v>418</v>
      </c>
      <c r="E363" s="36" t="s">
        <v>413</v>
      </c>
      <c r="F363" s="35">
        <v>11.1</v>
      </c>
      <c r="G363" s="35">
        <v>12083</v>
      </c>
      <c r="H363" s="35">
        <v>106.04</v>
      </c>
      <c r="I363" s="35">
        <v>1177</v>
      </c>
      <c r="J363" s="35">
        <v>5.0926083262531865</v>
      </c>
      <c r="K363" s="35">
        <v>10.07</v>
      </c>
      <c r="L363" s="35">
        <v>83.893333333333331</v>
      </c>
      <c r="M363" s="35">
        <v>0.85556499575191158</v>
      </c>
      <c r="N363" s="35">
        <v>92.5</v>
      </c>
      <c r="O363" s="35">
        <v>46.424503000000001</v>
      </c>
    </row>
    <row r="364" spans="1:15" x14ac:dyDescent="0.3">
      <c r="A364" s="35" t="s">
        <v>243</v>
      </c>
      <c r="B364" s="35">
        <v>5.9999999999999991</v>
      </c>
      <c r="C364" s="35">
        <v>650</v>
      </c>
      <c r="D364" s="36" t="s">
        <v>417</v>
      </c>
      <c r="E364" s="36" t="s">
        <v>412</v>
      </c>
      <c r="F364" s="35">
        <v>22.2</v>
      </c>
      <c r="G364" s="35">
        <v>12179</v>
      </c>
      <c r="H364" s="35">
        <v>53.9</v>
      </c>
      <c r="I364" s="35">
        <v>1196.4000000000001</v>
      </c>
      <c r="J364" s="35">
        <v>5.0100300902708117</v>
      </c>
      <c r="K364" s="35">
        <v>10.224</v>
      </c>
      <c r="L364" s="35">
        <v>118.4</v>
      </c>
      <c r="M364" s="35">
        <v>0.85456369107321972</v>
      </c>
      <c r="N364" s="35">
        <v>92.5</v>
      </c>
      <c r="O364" s="35">
        <v>46.424503000000001</v>
      </c>
    </row>
    <row r="365" spans="1:15" x14ac:dyDescent="0.3">
      <c r="A365" s="35" t="s">
        <v>216</v>
      </c>
      <c r="B365" s="35">
        <v>4</v>
      </c>
      <c r="C365" s="35">
        <v>970</v>
      </c>
      <c r="D365" s="36" t="s">
        <v>419</v>
      </c>
      <c r="E365" s="36" t="s">
        <v>413</v>
      </c>
      <c r="F365" s="35">
        <v>14.8</v>
      </c>
      <c r="G365" s="35">
        <v>11348</v>
      </c>
      <c r="H365" s="35">
        <v>76.400000000000006</v>
      </c>
      <c r="I365" s="35">
        <v>1130.8</v>
      </c>
      <c r="J365" s="35">
        <v>5.1828793774319077</v>
      </c>
      <c r="K365" s="35">
        <v>9.6074999999999999</v>
      </c>
      <c r="L365" s="35">
        <v>78.760000000000005</v>
      </c>
      <c r="M365" s="35">
        <v>0.8496197382384153</v>
      </c>
      <c r="N365" s="35">
        <v>92.5</v>
      </c>
      <c r="O365" s="35">
        <v>46.424503000000001</v>
      </c>
    </row>
    <row r="366" spans="1:15" x14ac:dyDescent="0.3">
      <c r="A366" s="35" t="s">
        <v>253</v>
      </c>
      <c r="B366" s="35">
        <v>2.9999999999999996</v>
      </c>
      <c r="C366" s="35">
        <v>1300</v>
      </c>
      <c r="D366" s="36" t="s">
        <v>417</v>
      </c>
      <c r="E366" s="36" t="s">
        <v>414</v>
      </c>
      <c r="F366" s="35">
        <v>11.1</v>
      </c>
      <c r="G366" s="35">
        <v>11958</v>
      </c>
      <c r="H366" s="35">
        <v>72.02</v>
      </c>
      <c r="I366" s="35">
        <v>799.6</v>
      </c>
      <c r="J366" s="35">
        <v>7.4962481240620313</v>
      </c>
      <c r="K366" s="35">
        <v>6.7919999999999998</v>
      </c>
      <c r="L366" s="35">
        <v>99.6</v>
      </c>
      <c r="M366" s="35">
        <v>0.849424712356178</v>
      </c>
      <c r="N366" s="35">
        <v>92.5</v>
      </c>
      <c r="O366" s="35">
        <v>46.424503000000001</v>
      </c>
    </row>
    <row r="367" spans="1:15" x14ac:dyDescent="0.3">
      <c r="A367" s="35" t="s">
        <v>97</v>
      </c>
      <c r="B367" s="35">
        <v>5.9999999999999991</v>
      </c>
      <c r="C367" s="35">
        <v>520</v>
      </c>
      <c r="D367" s="36" t="s">
        <v>419</v>
      </c>
      <c r="E367" s="36" t="s">
        <v>412</v>
      </c>
      <c r="F367" s="35">
        <v>22.2</v>
      </c>
      <c r="G367" s="35">
        <v>10545</v>
      </c>
      <c r="H367" s="35">
        <v>62.7</v>
      </c>
      <c r="I367" s="35">
        <v>1392</v>
      </c>
      <c r="J367" s="35">
        <v>4.306034482758621</v>
      </c>
      <c r="K367" s="35">
        <v>11.821249999999999</v>
      </c>
      <c r="L367" s="35">
        <v>102.52</v>
      </c>
      <c r="M367" s="35">
        <v>0.84922772988505735</v>
      </c>
      <c r="N367" s="35">
        <v>92.5</v>
      </c>
      <c r="O367" s="35">
        <v>46.424503000000001</v>
      </c>
    </row>
    <row r="368" spans="1:15" x14ac:dyDescent="0.3">
      <c r="A368" s="35" t="s">
        <v>201</v>
      </c>
      <c r="B368" s="35">
        <v>4</v>
      </c>
      <c r="C368" s="35">
        <v>1050</v>
      </c>
      <c r="D368" s="36" t="s">
        <v>415</v>
      </c>
      <c r="E368" s="36" t="s">
        <v>416</v>
      </c>
      <c r="F368" s="35">
        <v>14.8</v>
      </c>
      <c r="G368" s="35">
        <v>14260</v>
      </c>
      <c r="H368" s="35">
        <v>47.06</v>
      </c>
      <c r="I368" s="35">
        <v>696.4</v>
      </c>
      <c r="J368" s="35">
        <v>8.4158529580700758</v>
      </c>
      <c r="K368" s="35">
        <v>5.9037499999999996</v>
      </c>
      <c r="L368" s="35">
        <v>79.199999999999989</v>
      </c>
      <c r="M368" s="35">
        <v>0.84775272831705917</v>
      </c>
      <c r="N368" s="35">
        <v>92.5</v>
      </c>
      <c r="O368" s="35">
        <v>46.424503000000001</v>
      </c>
    </row>
    <row r="369" spans="1:15" x14ac:dyDescent="0.3">
      <c r="A369" s="35" t="s">
        <v>124</v>
      </c>
      <c r="B369" s="35">
        <v>4</v>
      </c>
      <c r="C369" s="35">
        <v>1000</v>
      </c>
      <c r="D369" s="36" t="s">
        <v>415</v>
      </c>
      <c r="E369" s="36" t="s">
        <v>414</v>
      </c>
      <c r="F369" s="35">
        <v>14.8</v>
      </c>
      <c r="G369" s="35">
        <v>11275</v>
      </c>
      <c r="H369" s="35">
        <v>37.32</v>
      </c>
      <c r="I369" s="35">
        <v>552.4</v>
      </c>
      <c r="J369" s="35">
        <v>10.609703113685736</v>
      </c>
      <c r="K369" s="35">
        <v>4.67875</v>
      </c>
      <c r="L369" s="35">
        <v>94.013333333333321</v>
      </c>
      <c r="M369" s="35">
        <v>0.84698587979724838</v>
      </c>
      <c r="N369" s="35">
        <v>92.5</v>
      </c>
      <c r="O369" s="35">
        <v>46.424503000000001</v>
      </c>
    </row>
    <row r="370" spans="1:15" x14ac:dyDescent="0.3">
      <c r="A370" s="35" t="s">
        <v>254</v>
      </c>
      <c r="B370" s="35">
        <v>2.9999999999999996</v>
      </c>
      <c r="C370" s="35">
        <v>1350</v>
      </c>
      <c r="D370" s="36" t="s">
        <v>418</v>
      </c>
      <c r="E370" s="36">
        <v>5.8</v>
      </c>
      <c r="F370" s="35">
        <v>11.1</v>
      </c>
      <c r="G370" s="35">
        <v>12147</v>
      </c>
      <c r="H370" s="35">
        <v>112.78</v>
      </c>
      <c r="I370" s="35">
        <v>1251.8</v>
      </c>
      <c r="J370" s="35">
        <v>4.7883048410289186</v>
      </c>
      <c r="K370" s="35">
        <v>10.582000000000001</v>
      </c>
      <c r="L370" s="35">
        <v>97.8</v>
      </c>
      <c r="M370" s="35">
        <v>0.84534270650263621</v>
      </c>
      <c r="N370" s="35">
        <v>92.5</v>
      </c>
      <c r="O370" s="35">
        <v>46.424503000000001</v>
      </c>
    </row>
    <row r="371" spans="1:15" x14ac:dyDescent="0.3">
      <c r="A371" s="35" t="s">
        <v>92</v>
      </c>
      <c r="B371" s="35">
        <v>5.9999999999999991</v>
      </c>
      <c r="C371" s="35">
        <v>420</v>
      </c>
      <c r="D371" s="36" t="s">
        <v>421</v>
      </c>
      <c r="E371" s="36" t="s">
        <v>415</v>
      </c>
      <c r="F371" s="35">
        <v>22.2</v>
      </c>
      <c r="G371" s="35">
        <v>8541</v>
      </c>
      <c r="H371" s="35">
        <v>64.099999999999994</v>
      </c>
      <c r="I371" s="35">
        <v>1423</v>
      </c>
      <c r="J371" s="35">
        <v>4.212227687983134</v>
      </c>
      <c r="K371" s="35">
        <v>12.02</v>
      </c>
      <c r="L371" s="35">
        <v>94.893333333333331</v>
      </c>
      <c r="M371" s="35">
        <v>0.84469430780042165</v>
      </c>
      <c r="N371" s="35">
        <v>92.5</v>
      </c>
      <c r="O371" s="35">
        <v>46.424503000000001</v>
      </c>
    </row>
    <row r="372" spans="1:15" x14ac:dyDescent="0.3">
      <c r="A372" s="35" t="s">
        <v>153</v>
      </c>
      <c r="B372" s="35">
        <v>4</v>
      </c>
      <c r="C372" s="35">
        <v>1150</v>
      </c>
      <c r="D372" s="36" t="s">
        <v>415</v>
      </c>
      <c r="E372" s="36" t="s">
        <v>416</v>
      </c>
      <c r="F372" s="35">
        <v>14.8</v>
      </c>
      <c r="G372" s="35">
        <v>14685</v>
      </c>
      <c r="H372" s="35">
        <v>33.28</v>
      </c>
      <c r="I372" s="35">
        <v>492.6</v>
      </c>
      <c r="J372" s="35">
        <v>11.897685749086481</v>
      </c>
      <c r="K372" s="35">
        <v>4.1537499999999996</v>
      </c>
      <c r="L372" s="35">
        <v>81.546666666666667</v>
      </c>
      <c r="M372" s="35">
        <v>0.84322980105562306</v>
      </c>
      <c r="N372" s="35">
        <v>92.5</v>
      </c>
      <c r="O372" s="35">
        <v>46.424503000000001</v>
      </c>
    </row>
    <row r="373" spans="1:15" x14ac:dyDescent="0.3">
      <c r="A373" s="35" t="s">
        <v>207</v>
      </c>
      <c r="B373" s="35">
        <v>5</v>
      </c>
      <c r="C373" s="35">
        <v>850</v>
      </c>
      <c r="D373" s="36" t="s">
        <v>415</v>
      </c>
      <c r="E373" s="36" t="s">
        <v>413</v>
      </c>
      <c r="F373" s="35">
        <v>18.5</v>
      </c>
      <c r="G373" s="35">
        <v>14980</v>
      </c>
      <c r="H373" s="35">
        <v>39.06</v>
      </c>
      <c r="I373" s="35">
        <v>722.8</v>
      </c>
      <c r="J373" s="35">
        <v>7.6784726065301614</v>
      </c>
      <c r="K373" s="35">
        <v>6.0674999999999999</v>
      </c>
      <c r="L373" s="35">
        <v>103.98666666666666</v>
      </c>
      <c r="M373" s="35">
        <v>0.83944382955174324</v>
      </c>
      <c r="N373" s="35">
        <v>92.5</v>
      </c>
      <c r="O373" s="35">
        <v>46.424503000000001</v>
      </c>
    </row>
    <row r="374" spans="1:15" x14ac:dyDescent="0.3">
      <c r="A374" s="35" t="s">
        <v>212</v>
      </c>
      <c r="B374" s="35">
        <v>2.9999999999999996</v>
      </c>
      <c r="C374" s="35">
        <v>1460</v>
      </c>
      <c r="D374" s="36" t="s">
        <v>418</v>
      </c>
      <c r="E374" s="36" t="s">
        <v>414</v>
      </c>
      <c r="F374" s="35">
        <v>11.1</v>
      </c>
      <c r="G374" s="35">
        <v>12186</v>
      </c>
      <c r="H374" s="35">
        <v>100.28</v>
      </c>
      <c r="I374" s="35">
        <v>1113.2</v>
      </c>
      <c r="J374" s="35">
        <v>5.3844771828961555</v>
      </c>
      <c r="K374" s="35">
        <v>9.3424999999999994</v>
      </c>
      <c r="L374" s="35">
        <v>101.49333333333333</v>
      </c>
      <c r="M374" s="35">
        <v>0.83924721523535739</v>
      </c>
      <c r="N374" s="35">
        <v>99.9</v>
      </c>
      <c r="O374" s="35">
        <v>50.833753000000002</v>
      </c>
    </row>
    <row r="375" spans="1:15" x14ac:dyDescent="0.3">
      <c r="A375" s="35" t="s">
        <v>217</v>
      </c>
      <c r="B375" s="35">
        <v>4</v>
      </c>
      <c r="C375" s="35">
        <v>1140</v>
      </c>
      <c r="D375" s="36" t="s">
        <v>417</v>
      </c>
      <c r="E375" s="36" t="s">
        <v>413</v>
      </c>
      <c r="F375" s="35">
        <v>14.8</v>
      </c>
      <c r="G375" s="35">
        <v>14700</v>
      </c>
      <c r="H375" s="35">
        <v>73.599999999999994</v>
      </c>
      <c r="I375" s="35">
        <v>1089.4000000000001</v>
      </c>
      <c r="J375" s="35">
        <v>5.3798421149256468</v>
      </c>
      <c r="K375" s="35">
        <v>9.14</v>
      </c>
      <c r="L375" s="35">
        <v>102.07999999999998</v>
      </c>
      <c r="M375" s="35">
        <v>0.8389939416192399</v>
      </c>
      <c r="N375" s="35">
        <v>99.9</v>
      </c>
      <c r="O375" s="35">
        <v>50.833753000000002</v>
      </c>
    </row>
    <row r="376" spans="1:15" x14ac:dyDescent="0.3">
      <c r="A376" s="35" t="s">
        <v>254</v>
      </c>
      <c r="B376" s="35">
        <v>4</v>
      </c>
      <c r="C376" s="35">
        <v>1080</v>
      </c>
      <c r="D376" s="36" t="s">
        <v>418</v>
      </c>
      <c r="E376" s="36" t="s">
        <v>413</v>
      </c>
      <c r="F376" s="35">
        <v>14.8</v>
      </c>
      <c r="G376" s="35">
        <v>13258</v>
      </c>
      <c r="H376" s="35">
        <v>95.9</v>
      </c>
      <c r="I376" s="35">
        <v>1419.2</v>
      </c>
      <c r="J376" s="35">
        <v>4.1296505073280718</v>
      </c>
      <c r="K376" s="35">
        <v>11.906000000000001</v>
      </c>
      <c r="L376" s="35">
        <v>92.1</v>
      </c>
      <c r="M376" s="35">
        <v>0.83892333709131905</v>
      </c>
      <c r="N376" s="35">
        <v>99.9</v>
      </c>
      <c r="O376" s="35">
        <v>50.833753000000002</v>
      </c>
    </row>
    <row r="377" spans="1:15" x14ac:dyDescent="0.3">
      <c r="A377" s="35" t="s">
        <v>213</v>
      </c>
      <c r="B377" s="35">
        <v>2.9999999999999996</v>
      </c>
      <c r="C377" s="35">
        <v>840</v>
      </c>
      <c r="D377" s="36" t="s">
        <v>419</v>
      </c>
      <c r="E377" s="36" t="s">
        <v>415</v>
      </c>
      <c r="F377" s="35">
        <v>11.1</v>
      </c>
      <c r="G377" s="35">
        <v>7630</v>
      </c>
      <c r="H377" s="35">
        <v>54.08</v>
      </c>
      <c r="I377" s="35">
        <v>600.20000000000005</v>
      </c>
      <c r="J377" s="35">
        <v>9.9866711096301231</v>
      </c>
      <c r="K377" s="35">
        <v>5.0175000000000001</v>
      </c>
      <c r="L377" s="35">
        <v>84.773333333333326</v>
      </c>
      <c r="M377" s="35">
        <v>0.83597134288570463</v>
      </c>
      <c r="N377" s="35">
        <v>99.9</v>
      </c>
      <c r="O377" s="35">
        <v>50.833753000000002</v>
      </c>
    </row>
    <row r="378" spans="1:15" x14ac:dyDescent="0.3">
      <c r="A378" s="35" t="s">
        <v>243</v>
      </c>
      <c r="B378" s="35">
        <v>4</v>
      </c>
      <c r="C378" s="35">
        <v>650</v>
      </c>
      <c r="D378" s="36" t="s">
        <v>420</v>
      </c>
      <c r="E378" s="36" t="s">
        <v>418</v>
      </c>
      <c r="F378" s="35">
        <v>14.8</v>
      </c>
      <c r="G378" s="35">
        <v>7535</v>
      </c>
      <c r="H378" s="35">
        <v>67.92</v>
      </c>
      <c r="I378" s="35">
        <v>1005.2</v>
      </c>
      <c r="J378" s="35">
        <v>5.8304814962196581</v>
      </c>
      <c r="K378" s="35">
        <v>8.3859999999999992</v>
      </c>
      <c r="L378" s="35">
        <v>104.7</v>
      </c>
      <c r="M378" s="35">
        <v>0.83426183844011126</v>
      </c>
      <c r="N378" s="35">
        <v>99.9</v>
      </c>
      <c r="O378" s="35">
        <v>50.833753000000002</v>
      </c>
    </row>
    <row r="379" spans="1:15" x14ac:dyDescent="0.3">
      <c r="A379" s="35" t="s">
        <v>241</v>
      </c>
      <c r="B379" s="35">
        <v>2.9999999999999996</v>
      </c>
      <c r="C379" s="35">
        <v>840</v>
      </c>
      <c r="D379" s="36" t="s">
        <v>419</v>
      </c>
      <c r="E379" s="36" t="s">
        <v>418</v>
      </c>
      <c r="F379" s="35">
        <v>11.1</v>
      </c>
      <c r="G379" s="35">
        <v>6874</v>
      </c>
      <c r="H379" s="35">
        <v>55.56</v>
      </c>
      <c r="I379" s="35">
        <v>616.79999999999995</v>
      </c>
      <c r="J379" s="35">
        <v>9.7178988326848259</v>
      </c>
      <c r="K379" s="35">
        <v>5.1260000000000003</v>
      </c>
      <c r="L379" s="35">
        <v>95.5</v>
      </c>
      <c r="M379" s="35">
        <v>0.83106355382619979</v>
      </c>
      <c r="N379" s="35">
        <v>99.9</v>
      </c>
      <c r="O379" s="35">
        <v>50.833753000000002</v>
      </c>
    </row>
    <row r="380" spans="1:15" x14ac:dyDescent="0.3">
      <c r="A380" s="35" t="s">
        <v>216</v>
      </c>
      <c r="B380" s="35">
        <v>4</v>
      </c>
      <c r="C380" s="35">
        <v>970</v>
      </c>
      <c r="D380" s="36" t="s">
        <v>417</v>
      </c>
      <c r="E380" s="36" t="s">
        <v>414</v>
      </c>
      <c r="F380" s="35">
        <v>14.8</v>
      </c>
      <c r="G380" s="35">
        <v>12130</v>
      </c>
      <c r="H380" s="35">
        <v>56.6</v>
      </c>
      <c r="I380" s="35">
        <v>837.6</v>
      </c>
      <c r="J380" s="35">
        <v>6.9971346704871067</v>
      </c>
      <c r="K380" s="35">
        <v>6.9574999999999996</v>
      </c>
      <c r="L380" s="35">
        <v>101.05333333333333</v>
      </c>
      <c r="M380" s="35">
        <v>0.83064708691499511</v>
      </c>
      <c r="N380" s="35">
        <v>99.9</v>
      </c>
      <c r="O380" s="35">
        <v>50.833753000000002</v>
      </c>
    </row>
    <row r="381" spans="1:15" x14ac:dyDescent="0.3">
      <c r="A381" s="35" t="s">
        <v>213</v>
      </c>
      <c r="B381" s="35">
        <v>5</v>
      </c>
      <c r="C381" s="35">
        <v>840</v>
      </c>
      <c r="D381" s="36" t="s">
        <v>418</v>
      </c>
      <c r="E381" s="36" t="s">
        <v>414</v>
      </c>
      <c r="F381" s="35">
        <v>18.5</v>
      </c>
      <c r="G381" s="35">
        <v>12864</v>
      </c>
      <c r="H381" s="35">
        <v>67.98</v>
      </c>
      <c r="I381" s="35">
        <v>1257.5999999999999</v>
      </c>
      <c r="J381" s="35">
        <v>4.4131679389312986</v>
      </c>
      <c r="K381" s="35">
        <v>10.436249999999999</v>
      </c>
      <c r="L381" s="35">
        <v>107.21333333333332</v>
      </c>
      <c r="M381" s="35">
        <v>0.82985448473282442</v>
      </c>
      <c r="N381" s="35">
        <v>99.9</v>
      </c>
      <c r="O381" s="35">
        <v>50.833753000000002</v>
      </c>
    </row>
    <row r="382" spans="1:15" x14ac:dyDescent="0.3">
      <c r="A382" s="35" t="s">
        <v>245</v>
      </c>
      <c r="B382" s="35">
        <v>5.9999999999999991</v>
      </c>
      <c r="C382" s="35">
        <v>300</v>
      </c>
      <c r="D382" s="36" t="s">
        <v>424</v>
      </c>
      <c r="E382" s="36" t="s">
        <v>420</v>
      </c>
      <c r="F382" s="35">
        <v>22.2</v>
      </c>
      <c r="G382" s="35">
        <v>5426</v>
      </c>
      <c r="H382" s="35">
        <v>63.02</v>
      </c>
      <c r="I382" s="35">
        <v>1399</v>
      </c>
      <c r="J382" s="35">
        <v>4.2844889206576129</v>
      </c>
      <c r="K382" s="35">
        <v>11.606</v>
      </c>
      <c r="L382" s="35">
        <v>90.5</v>
      </c>
      <c r="M382" s="35">
        <v>0.82959256611865617</v>
      </c>
      <c r="N382" s="35">
        <v>99.9</v>
      </c>
      <c r="O382" s="35">
        <v>50.833753000000002</v>
      </c>
    </row>
    <row r="383" spans="1:15" x14ac:dyDescent="0.3">
      <c r="A383" s="35" t="s">
        <v>209</v>
      </c>
      <c r="B383" s="35">
        <v>2.9999999999999996</v>
      </c>
      <c r="C383" s="35">
        <v>1170</v>
      </c>
      <c r="D383" s="36" t="s">
        <v>417</v>
      </c>
      <c r="E383" s="36" t="s">
        <v>415</v>
      </c>
      <c r="F383" s="35">
        <v>11.1</v>
      </c>
      <c r="G383" s="35">
        <v>10198</v>
      </c>
      <c r="H383" s="35">
        <v>86.24</v>
      </c>
      <c r="I383" s="35">
        <v>957.2</v>
      </c>
      <c r="J383" s="35">
        <v>6.2620142081069794</v>
      </c>
      <c r="K383" s="35">
        <v>7.9362500000000002</v>
      </c>
      <c r="L383" s="35">
        <v>113.37333333333332</v>
      </c>
      <c r="M383" s="35">
        <v>0.82911094860008361</v>
      </c>
      <c r="N383" s="35">
        <v>99.9</v>
      </c>
      <c r="O383" s="35">
        <v>50.833753000000002</v>
      </c>
    </row>
    <row r="384" spans="1:15" x14ac:dyDescent="0.3">
      <c r="A384" s="35" t="s">
        <v>213</v>
      </c>
      <c r="B384" s="35">
        <v>4</v>
      </c>
      <c r="C384" s="35">
        <v>840</v>
      </c>
      <c r="D384" s="36" t="s">
        <v>418</v>
      </c>
      <c r="E384" s="36" t="s">
        <v>412</v>
      </c>
      <c r="F384" s="35">
        <v>14.8</v>
      </c>
      <c r="G384" s="35">
        <v>10146</v>
      </c>
      <c r="H384" s="35">
        <v>63.58</v>
      </c>
      <c r="I384" s="35">
        <v>941</v>
      </c>
      <c r="J384" s="35">
        <v>6.2282678002125396</v>
      </c>
      <c r="K384" s="35">
        <v>7.8</v>
      </c>
      <c r="L384" s="35">
        <v>98.706666666666649</v>
      </c>
      <c r="M384" s="35">
        <v>0.82890541976620613</v>
      </c>
      <c r="N384" s="35">
        <v>99.9</v>
      </c>
      <c r="O384" s="35">
        <v>50.833753000000002</v>
      </c>
    </row>
    <row r="385" spans="1:15" x14ac:dyDescent="0.3">
      <c r="A385" s="35" t="s">
        <v>97</v>
      </c>
      <c r="B385" s="35">
        <v>4</v>
      </c>
      <c r="C385" s="35">
        <v>520</v>
      </c>
      <c r="D385" s="36" t="s">
        <v>421</v>
      </c>
      <c r="E385" s="36" t="s">
        <v>418</v>
      </c>
      <c r="F385" s="35">
        <v>14.8</v>
      </c>
      <c r="G385" s="35">
        <v>6780</v>
      </c>
      <c r="H385" s="35">
        <v>69.8</v>
      </c>
      <c r="I385" s="35">
        <v>1033</v>
      </c>
      <c r="J385" s="35">
        <v>5.6735721200387221</v>
      </c>
      <c r="K385" s="35">
        <v>8.5625</v>
      </c>
      <c r="L385" s="35">
        <v>94.16</v>
      </c>
      <c r="M385" s="35">
        <v>0.82889641819941917</v>
      </c>
      <c r="N385" s="35">
        <v>99.9</v>
      </c>
      <c r="O385" s="35">
        <v>50.833753000000002</v>
      </c>
    </row>
    <row r="386" spans="1:15" x14ac:dyDescent="0.3">
      <c r="A386" s="35" t="s">
        <v>253</v>
      </c>
      <c r="B386" s="35">
        <v>2.9999999999999996</v>
      </c>
      <c r="C386" s="35">
        <v>1300</v>
      </c>
      <c r="D386" s="36" t="s">
        <v>417</v>
      </c>
      <c r="E386" s="36" t="s">
        <v>412</v>
      </c>
      <c r="F386" s="35">
        <v>11.1</v>
      </c>
      <c r="G386" s="35">
        <v>10694</v>
      </c>
      <c r="H386" s="35">
        <v>94.04</v>
      </c>
      <c r="I386" s="35">
        <v>1043.8</v>
      </c>
      <c r="J386" s="35">
        <v>5.7424794021843271</v>
      </c>
      <c r="K386" s="35">
        <v>8.65</v>
      </c>
      <c r="L386" s="35">
        <v>104</v>
      </c>
      <c r="M386" s="35">
        <v>0.82870281663153866</v>
      </c>
      <c r="N386" s="35">
        <v>99.9</v>
      </c>
      <c r="O386" s="35">
        <v>50.833753000000002</v>
      </c>
    </row>
    <row r="387" spans="1:15" x14ac:dyDescent="0.3">
      <c r="A387" s="35" t="s">
        <v>217</v>
      </c>
      <c r="B387" s="35">
        <v>2.9999999999999996</v>
      </c>
      <c r="C387" s="35">
        <v>1140</v>
      </c>
      <c r="D387" s="36" t="s">
        <v>418</v>
      </c>
      <c r="E387" s="36" t="s">
        <v>412</v>
      </c>
      <c r="F387" s="35">
        <v>11.1</v>
      </c>
      <c r="G387" s="35">
        <v>10202</v>
      </c>
      <c r="H387" s="35">
        <v>85.04</v>
      </c>
      <c r="I387" s="35">
        <v>944</v>
      </c>
      <c r="J387" s="35">
        <v>6.3495762711864412</v>
      </c>
      <c r="K387" s="35">
        <v>7.8174999999999999</v>
      </c>
      <c r="L387" s="35">
        <v>99.146666666666647</v>
      </c>
      <c r="M387" s="35">
        <v>0.828125</v>
      </c>
      <c r="N387" s="35">
        <v>99.9</v>
      </c>
      <c r="O387" s="35">
        <v>50.833753000000002</v>
      </c>
    </row>
    <row r="388" spans="1:15" x14ac:dyDescent="0.3">
      <c r="A388" s="35" t="s">
        <v>253</v>
      </c>
      <c r="B388" s="35">
        <v>2.9999999999999996</v>
      </c>
      <c r="C388" s="35">
        <v>1300</v>
      </c>
      <c r="D388" s="36" t="s">
        <v>418</v>
      </c>
      <c r="E388" s="36" t="s">
        <v>414</v>
      </c>
      <c r="F388" s="35">
        <v>11.1</v>
      </c>
      <c r="G388" s="35">
        <v>11226</v>
      </c>
      <c r="H388" s="35">
        <v>94.02</v>
      </c>
      <c r="I388" s="35">
        <v>1043.5999999999999</v>
      </c>
      <c r="J388" s="35">
        <v>5.7435799156765048</v>
      </c>
      <c r="K388" s="35">
        <v>8.6419999999999995</v>
      </c>
      <c r="L388" s="35">
        <v>93.6</v>
      </c>
      <c r="M388" s="35">
        <v>0.82809505557684937</v>
      </c>
      <c r="N388" s="35">
        <v>99.9</v>
      </c>
      <c r="O388" s="35">
        <v>50.833753000000002</v>
      </c>
    </row>
    <row r="389" spans="1:15" x14ac:dyDescent="0.3">
      <c r="A389" s="35" t="s">
        <v>207</v>
      </c>
      <c r="B389" s="35">
        <v>5</v>
      </c>
      <c r="C389" s="35">
        <v>850</v>
      </c>
      <c r="D389" s="36" t="s">
        <v>415</v>
      </c>
      <c r="E389" s="36" t="s">
        <v>416</v>
      </c>
      <c r="F389" s="35">
        <v>18.5</v>
      </c>
      <c r="G389" s="35">
        <v>14832</v>
      </c>
      <c r="H389" s="35">
        <v>41.68</v>
      </c>
      <c r="I389" s="35">
        <v>771</v>
      </c>
      <c r="J389" s="35">
        <v>7.1984435797665371</v>
      </c>
      <c r="K389" s="35">
        <v>6.38</v>
      </c>
      <c r="L389" s="35">
        <v>82.426666666666662</v>
      </c>
      <c r="M389" s="35">
        <v>0.8274967574578469</v>
      </c>
      <c r="N389" s="35">
        <v>97.68</v>
      </c>
      <c r="O389" s="35">
        <v>46.148475000000005</v>
      </c>
    </row>
    <row r="390" spans="1:15" x14ac:dyDescent="0.3">
      <c r="A390" s="35" t="s">
        <v>216</v>
      </c>
      <c r="B390" s="35">
        <v>4</v>
      </c>
      <c r="C390" s="35">
        <v>970</v>
      </c>
      <c r="D390" s="36" t="s">
        <v>417</v>
      </c>
      <c r="E390" s="36" t="s">
        <v>412</v>
      </c>
      <c r="F390" s="35">
        <v>14.8</v>
      </c>
      <c r="G390" s="35">
        <v>11517</v>
      </c>
      <c r="H390" s="35">
        <v>73.92</v>
      </c>
      <c r="I390" s="35">
        <v>1094</v>
      </c>
      <c r="J390" s="35">
        <v>5.3572212065813538</v>
      </c>
      <c r="K390" s="35">
        <v>9.0437499999999993</v>
      </c>
      <c r="L390" s="35">
        <v>111.90666666666665</v>
      </c>
      <c r="M390" s="35">
        <v>0.82666819012797066</v>
      </c>
      <c r="N390" s="35">
        <v>97.68</v>
      </c>
      <c r="O390" s="35">
        <v>46.148475000000005</v>
      </c>
    </row>
    <row r="391" spans="1:15" x14ac:dyDescent="0.3">
      <c r="A391" s="35" t="s">
        <v>231</v>
      </c>
      <c r="B391" s="35">
        <v>2.9999999999999996</v>
      </c>
      <c r="C391" s="35">
        <v>1700</v>
      </c>
      <c r="D391" s="36" t="s">
        <v>415</v>
      </c>
      <c r="E391" s="36" t="s">
        <v>416</v>
      </c>
      <c r="F391" s="35">
        <v>11.1</v>
      </c>
      <c r="G391" s="35">
        <v>14567</v>
      </c>
      <c r="H391" s="35">
        <v>68.819999999999993</v>
      </c>
      <c r="I391" s="35">
        <v>763.8</v>
      </c>
      <c r="J391" s="35">
        <v>7.8476040848389648</v>
      </c>
      <c r="K391" s="35">
        <v>6.3120000000000003</v>
      </c>
      <c r="L391" s="35">
        <v>81</v>
      </c>
      <c r="M391" s="35">
        <v>0.82639434406912815</v>
      </c>
      <c r="N391" s="35">
        <v>97.68</v>
      </c>
      <c r="O391" s="35">
        <v>46.148475000000005</v>
      </c>
    </row>
    <row r="392" spans="1:15" x14ac:dyDescent="0.3">
      <c r="A392" s="35" t="s">
        <v>217</v>
      </c>
      <c r="B392" s="35">
        <v>4</v>
      </c>
      <c r="C392" s="35">
        <v>1140</v>
      </c>
      <c r="D392" s="36" t="s">
        <v>417</v>
      </c>
      <c r="E392" s="36">
        <v>4.5</v>
      </c>
      <c r="F392" s="35">
        <v>14.8</v>
      </c>
      <c r="G392" s="35">
        <v>14330</v>
      </c>
      <c r="H392" s="35">
        <v>80.8</v>
      </c>
      <c r="I392" s="35">
        <v>1196</v>
      </c>
      <c r="J392" s="35">
        <v>4.9003344481605353</v>
      </c>
      <c r="K392" s="35">
        <v>9.8812499999999996</v>
      </c>
      <c r="L392" s="35">
        <v>89.61333333333333</v>
      </c>
      <c r="M392" s="35">
        <v>0.82619147157190631</v>
      </c>
      <c r="N392" s="35">
        <v>97.68</v>
      </c>
      <c r="O392" s="35">
        <v>46.148475000000005</v>
      </c>
    </row>
    <row r="393" spans="1:15" x14ac:dyDescent="0.3">
      <c r="A393" s="35" t="s">
        <v>241</v>
      </c>
      <c r="B393" s="35">
        <v>5</v>
      </c>
      <c r="C393" s="35">
        <v>840</v>
      </c>
      <c r="D393" s="36" t="s">
        <v>417</v>
      </c>
      <c r="E393" s="36" t="s">
        <v>414</v>
      </c>
      <c r="F393" s="35">
        <v>18.5</v>
      </c>
      <c r="G393" s="35">
        <v>12545</v>
      </c>
      <c r="H393" s="35">
        <v>49.14</v>
      </c>
      <c r="I393" s="35">
        <v>909.2</v>
      </c>
      <c r="J393" s="35">
        <v>6.1042674879014518</v>
      </c>
      <c r="K393" s="35">
        <v>7.5039999999999996</v>
      </c>
      <c r="L393" s="35">
        <v>104.6</v>
      </c>
      <c r="M393" s="35">
        <v>0.82534095908490968</v>
      </c>
      <c r="N393" s="35">
        <v>97.68</v>
      </c>
      <c r="O393" s="35">
        <v>46.148475000000005</v>
      </c>
    </row>
    <row r="394" spans="1:15" x14ac:dyDescent="0.3">
      <c r="A394" s="35" t="s">
        <v>254</v>
      </c>
      <c r="B394" s="35">
        <v>2.9999999999999996</v>
      </c>
      <c r="C394" s="35">
        <v>1080</v>
      </c>
      <c r="D394" s="36" t="s">
        <v>418</v>
      </c>
      <c r="E394" s="36" t="s">
        <v>415</v>
      </c>
      <c r="F394" s="35">
        <v>11.1</v>
      </c>
      <c r="G394" s="35">
        <v>9884</v>
      </c>
      <c r="H394" s="35">
        <v>83.84</v>
      </c>
      <c r="I394" s="35">
        <v>930.6</v>
      </c>
      <c r="J394" s="35">
        <v>6.4410058027079309</v>
      </c>
      <c r="K394" s="35">
        <v>7.6660000000000004</v>
      </c>
      <c r="L394" s="35">
        <v>109.9</v>
      </c>
      <c r="M394" s="35">
        <v>0.82376961100365365</v>
      </c>
      <c r="N394" s="35">
        <v>97.68</v>
      </c>
      <c r="O394" s="35">
        <v>46.148475000000005</v>
      </c>
    </row>
    <row r="395" spans="1:15" x14ac:dyDescent="0.3">
      <c r="A395" s="35" t="s">
        <v>209</v>
      </c>
      <c r="B395" s="35">
        <v>4</v>
      </c>
      <c r="C395" s="35">
        <v>1170</v>
      </c>
      <c r="D395" s="36" t="s">
        <v>417</v>
      </c>
      <c r="E395" s="36" t="s">
        <v>413</v>
      </c>
      <c r="F395" s="35">
        <v>14.8</v>
      </c>
      <c r="G395" s="35">
        <v>14835</v>
      </c>
      <c r="H395" s="35">
        <v>74.5</v>
      </c>
      <c r="I395" s="35">
        <v>1102.8</v>
      </c>
      <c r="J395" s="35">
        <v>5.3144722524483141</v>
      </c>
      <c r="K395" s="35">
        <v>9.0787499999999994</v>
      </c>
      <c r="L395" s="35">
        <v>102.96</v>
      </c>
      <c r="M395" s="35">
        <v>0.82324537540805232</v>
      </c>
      <c r="N395" s="35">
        <v>97.68</v>
      </c>
      <c r="O395" s="35">
        <v>46.148475000000005</v>
      </c>
    </row>
    <row r="396" spans="1:15" x14ac:dyDescent="0.3">
      <c r="A396" s="35" t="s">
        <v>213</v>
      </c>
      <c r="B396" s="35">
        <v>5</v>
      </c>
      <c r="C396" s="35">
        <v>840</v>
      </c>
      <c r="D396" s="36" t="s">
        <v>415</v>
      </c>
      <c r="E396" s="36" t="s">
        <v>414</v>
      </c>
      <c r="F396" s="35">
        <v>18.5</v>
      </c>
      <c r="G396" s="35">
        <v>13665</v>
      </c>
      <c r="H396" s="35">
        <v>50.58</v>
      </c>
      <c r="I396" s="35">
        <v>935.8</v>
      </c>
      <c r="J396" s="35">
        <v>5.9307544347082715</v>
      </c>
      <c r="K396" s="35">
        <v>7.6987500000000004</v>
      </c>
      <c r="L396" s="35">
        <v>113.81333333333332</v>
      </c>
      <c r="M396" s="35">
        <v>0.82269181449027584</v>
      </c>
      <c r="N396" s="35">
        <v>97.68</v>
      </c>
      <c r="O396" s="35">
        <v>46.148475000000005</v>
      </c>
    </row>
    <row r="397" spans="1:15" x14ac:dyDescent="0.3">
      <c r="A397" s="35" t="s">
        <v>92</v>
      </c>
      <c r="B397" s="35">
        <v>5.9999999999999991</v>
      </c>
      <c r="C397" s="35">
        <v>420</v>
      </c>
      <c r="D397" s="36" t="s">
        <v>420</v>
      </c>
      <c r="E397" s="36" t="s">
        <v>415</v>
      </c>
      <c r="F397" s="35">
        <v>22.2</v>
      </c>
      <c r="G397" s="35">
        <v>8713</v>
      </c>
      <c r="H397" s="35">
        <v>53.22</v>
      </c>
      <c r="I397" s="35">
        <v>1181.2</v>
      </c>
      <c r="J397" s="35">
        <v>5.0745005079580086</v>
      </c>
      <c r="K397" s="35">
        <v>9.6912500000000001</v>
      </c>
      <c r="L397" s="35">
        <v>96.8</v>
      </c>
      <c r="M397" s="35">
        <v>0.8204580088046054</v>
      </c>
      <c r="N397" s="35">
        <v>97.68</v>
      </c>
      <c r="O397" s="35">
        <v>46.148475000000005</v>
      </c>
    </row>
    <row r="398" spans="1:15" x14ac:dyDescent="0.3">
      <c r="A398" s="35" t="s">
        <v>216</v>
      </c>
      <c r="B398" s="35">
        <v>2.9999999999999996</v>
      </c>
      <c r="C398" s="35">
        <v>970</v>
      </c>
      <c r="D398" s="36" t="s">
        <v>419</v>
      </c>
      <c r="E398" s="36" t="s">
        <v>415</v>
      </c>
      <c r="F398" s="35">
        <v>11.1</v>
      </c>
      <c r="G398" s="35">
        <v>8192</v>
      </c>
      <c r="H398" s="35">
        <v>72.56</v>
      </c>
      <c r="I398" s="35">
        <v>805.4</v>
      </c>
      <c r="J398" s="35">
        <v>7.4422647131859954</v>
      </c>
      <c r="K398" s="35">
        <v>6.6</v>
      </c>
      <c r="L398" s="35">
        <v>91.08</v>
      </c>
      <c r="M398" s="35">
        <v>0.81946858703749681</v>
      </c>
      <c r="N398" s="35">
        <v>97.68</v>
      </c>
      <c r="O398" s="35">
        <v>46.148475000000005</v>
      </c>
    </row>
    <row r="399" spans="1:15" x14ac:dyDescent="0.3">
      <c r="A399" s="35" t="s">
        <v>244</v>
      </c>
      <c r="B399" s="35">
        <v>5</v>
      </c>
      <c r="C399" s="35">
        <v>610</v>
      </c>
      <c r="D399" s="36" t="s">
        <v>419</v>
      </c>
      <c r="E399" s="36" t="s">
        <v>415</v>
      </c>
      <c r="F399" s="35">
        <v>18.5</v>
      </c>
      <c r="G399" s="35">
        <v>9801</v>
      </c>
      <c r="H399" s="35">
        <v>68.760000000000005</v>
      </c>
      <c r="I399" s="35">
        <v>1272</v>
      </c>
      <c r="J399" s="35">
        <v>4.3632075471698109</v>
      </c>
      <c r="K399" s="35">
        <v>10.401999999999999</v>
      </c>
      <c r="L399" s="35">
        <v>109</v>
      </c>
      <c r="M399" s="35">
        <v>0.81776729559748418</v>
      </c>
      <c r="N399" s="35">
        <v>97.68</v>
      </c>
      <c r="O399" s="35">
        <v>46.148475000000005</v>
      </c>
    </row>
    <row r="400" spans="1:15" x14ac:dyDescent="0.3">
      <c r="A400" s="35" t="s">
        <v>254</v>
      </c>
      <c r="B400" s="35">
        <v>4</v>
      </c>
      <c r="C400" s="35">
        <v>1080</v>
      </c>
      <c r="D400" s="36" t="s">
        <v>418</v>
      </c>
      <c r="E400" s="36" t="s">
        <v>414</v>
      </c>
      <c r="F400" s="35">
        <v>14.8</v>
      </c>
      <c r="G400" s="35">
        <v>13550</v>
      </c>
      <c r="H400" s="35">
        <v>85.7</v>
      </c>
      <c r="I400" s="35">
        <v>1268.4000000000001</v>
      </c>
      <c r="J400" s="35">
        <v>4.620624408703879</v>
      </c>
      <c r="K400" s="35">
        <v>10.37</v>
      </c>
      <c r="L400" s="35">
        <v>112.9</v>
      </c>
      <c r="M400" s="35">
        <v>0.81756543677073468</v>
      </c>
      <c r="N400" s="35">
        <v>97.68</v>
      </c>
      <c r="O400" s="35">
        <v>46.148475000000005</v>
      </c>
    </row>
    <row r="401" spans="1:15" x14ac:dyDescent="0.3">
      <c r="A401" s="35" t="s">
        <v>212</v>
      </c>
      <c r="B401" s="35">
        <v>2.9999999999999996</v>
      </c>
      <c r="C401" s="35">
        <v>1460</v>
      </c>
      <c r="D401" s="36" t="s">
        <v>415</v>
      </c>
      <c r="E401" s="36" t="s">
        <v>414</v>
      </c>
      <c r="F401" s="35">
        <v>11.1</v>
      </c>
      <c r="G401" s="35">
        <v>13015</v>
      </c>
      <c r="H401" s="35">
        <v>77.7</v>
      </c>
      <c r="I401" s="35">
        <v>862.4</v>
      </c>
      <c r="J401" s="35">
        <v>6.9503710575139159</v>
      </c>
      <c r="K401" s="35">
        <v>7.0237499999999997</v>
      </c>
      <c r="L401" s="35">
        <v>108.38666666666667</v>
      </c>
      <c r="M401" s="35">
        <v>0.81444225417439708</v>
      </c>
      <c r="N401" s="35">
        <v>97.68</v>
      </c>
      <c r="O401" s="35">
        <v>46.148475000000005</v>
      </c>
    </row>
    <row r="402" spans="1:15" x14ac:dyDescent="0.3">
      <c r="A402" s="35" t="s">
        <v>92</v>
      </c>
      <c r="B402" s="35">
        <v>5</v>
      </c>
      <c r="C402" s="35">
        <v>420</v>
      </c>
      <c r="D402" s="36" t="s">
        <v>421</v>
      </c>
      <c r="E402" s="36" t="s">
        <v>418</v>
      </c>
      <c r="F402" s="35">
        <v>18.5</v>
      </c>
      <c r="G402" s="35">
        <v>7055</v>
      </c>
      <c r="H402" s="35">
        <v>62.48</v>
      </c>
      <c r="I402" s="35">
        <v>1156</v>
      </c>
      <c r="J402" s="35">
        <v>4.8010380622837374</v>
      </c>
      <c r="K402" s="35">
        <v>9.3912499999999994</v>
      </c>
      <c r="L402" s="35">
        <v>97.973333333333329</v>
      </c>
      <c r="M402" s="35">
        <v>0.81239186851211065</v>
      </c>
      <c r="N402" s="35">
        <v>97.68</v>
      </c>
      <c r="O402" s="35">
        <v>46.148475000000005</v>
      </c>
    </row>
    <row r="403" spans="1:15" x14ac:dyDescent="0.3">
      <c r="A403" s="35" t="s">
        <v>154</v>
      </c>
      <c r="B403" s="35">
        <v>4</v>
      </c>
      <c r="C403" s="35">
        <v>1360</v>
      </c>
      <c r="D403" s="36" t="s">
        <v>412</v>
      </c>
      <c r="E403" s="36" t="s">
        <v>416</v>
      </c>
      <c r="F403" s="35">
        <v>14.8</v>
      </c>
      <c r="G403" s="35">
        <v>15981</v>
      </c>
      <c r="H403" s="35">
        <v>41.24</v>
      </c>
      <c r="I403" s="35">
        <v>610.20000000000005</v>
      </c>
      <c r="J403" s="35">
        <v>9.6047197640118007</v>
      </c>
      <c r="K403" s="35">
        <v>4.9512499999999999</v>
      </c>
      <c r="L403" s="35">
        <v>88.73333333333332</v>
      </c>
      <c r="M403" s="35">
        <v>0.81141429039659119</v>
      </c>
      <c r="N403" s="35">
        <v>97.68</v>
      </c>
      <c r="O403" s="35">
        <v>46.148475000000005</v>
      </c>
    </row>
    <row r="404" spans="1:15" x14ac:dyDescent="0.3">
      <c r="A404" s="35" t="s">
        <v>254</v>
      </c>
      <c r="B404" s="35">
        <v>4</v>
      </c>
      <c r="C404" s="35">
        <v>1080</v>
      </c>
      <c r="D404" s="36" t="s">
        <v>415</v>
      </c>
      <c r="E404" s="36" t="s">
        <v>414</v>
      </c>
      <c r="F404" s="35">
        <v>14.8</v>
      </c>
      <c r="G404" s="35">
        <v>14099</v>
      </c>
      <c r="H404" s="35">
        <v>68.02</v>
      </c>
      <c r="I404" s="35">
        <v>1006.8</v>
      </c>
      <c r="J404" s="35">
        <v>5.821215733015495</v>
      </c>
      <c r="K404" s="35">
        <v>8.1379999999999999</v>
      </c>
      <c r="L404" s="35">
        <v>117.5</v>
      </c>
      <c r="M404" s="35">
        <v>0.80830353595550264</v>
      </c>
      <c r="N404" s="35">
        <v>97.68</v>
      </c>
      <c r="O404" s="35">
        <v>46.148475000000005</v>
      </c>
    </row>
    <row r="405" spans="1:15" x14ac:dyDescent="0.3">
      <c r="A405" s="35" t="s">
        <v>213</v>
      </c>
      <c r="B405" s="35">
        <v>5</v>
      </c>
      <c r="C405" s="35">
        <v>840</v>
      </c>
      <c r="D405" s="36" t="s">
        <v>418</v>
      </c>
      <c r="E405" s="36" t="s">
        <v>413</v>
      </c>
      <c r="F405" s="35">
        <v>18.5</v>
      </c>
      <c r="G405" s="35">
        <v>13130</v>
      </c>
      <c r="H405" s="35">
        <v>62.3</v>
      </c>
      <c r="I405" s="35">
        <v>1152.4000000000001</v>
      </c>
      <c r="J405" s="35">
        <v>4.8160360985768831</v>
      </c>
      <c r="K405" s="35">
        <v>9.3074999999999992</v>
      </c>
      <c r="L405" s="35">
        <v>91.226666666666659</v>
      </c>
      <c r="M405" s="35">
        <v>0.80766227004512303</v>
      </c>
      <c r="N405" s="35">
        <v>97.68</v>
      </c>
      <c r="O405" s="35">
        <v>46.148475000000005</v>
      </c>
    </row>
    <row r="406" spans="1:15" x14ac:dyDescent="0.3">
      <c r="A406" s="35" t="s">
        <v>97</v>
      </c>
      <c r="B406" s="35">
        <v>5</v>
      </c>
      <c r="C406" s="35">
        <v>520</v>
      </c>
      <c r="D406" s="36" t="s">
        <v>420</v>
      </c>
      <c r="E406" s="36" t="s">
        <v>415</v>
      </c>
      <c r="F406" s="35">
        <v>18.5</v>
      </c>
      <c r="G406" s="35">
        <v>8705</v>
      </c>
      <c r="H406" s="35">
        <v>63.74</v>
      </c>
      <c r="I406" s="35">
        <v>1179.2</v>
      </c>
      <c r="J406" s="35">
        <v>4.7065807327001359</v>
      </c>
      <c r="K406" s="35">
        <v>9.52</v>
      </c>
      <c r="L406" s="35">
        <v>96.653333333333336</v>
      </c>
      <c r="M406" s="35">
        <v>0.80732700135685198</v>
      </c>
      <c r="N406" s="35">
        <v>97.68</v>
      </c>
      <c r="O406" s="35">
        <v>46.148475000000005</v>
      </c>
    </row>
    <row r="407" spans="1:15" x14ac:dyDescent="0.3">
      <c r="A407" s="35" t="s">
        <v>212</v>
      </c>
      <c r="B407" s="35">
        <v>2.9999999999999996</v>
      </c>
      <c r="C407" s="35">
        <v>1460</v>
      </c>
      <c r="D407" s="36" t="s">
        <v>418</v>
      </c>
      <c r="E407" s="36" t="s">
        <v>413</v>
      </c>
      <c r="F407" s="35">
        <v>11.1</v>
      </c>
      <c r="G407" s="35">
        <v>12681</v>
      </c>
      <c r="H407" s="35">
        <v>97.42</v>
      </c>
      <c r="I407" s="35">
        <v>1081.4000000000001</v>
      </c>
      <c r="J407" s="35">
        <v>5.5428148696134638</v>
      </c>
      <c r="K407" s="35">
        <v>8.7212499999999995</v>
      </c>
      <c r="L407" s="35">
        <v>88</v>
      </c>
      <c r="M407" s="35">
        <v>0.80647771407434798</v>
      </c>
      <c r="N407" s="35">
        <v>97.68</v>
      </c>
      <c r="O407" s="35">
        <v>46.148475000000005</v>
      </c>
    </row>
    <row r="408" spans="1:15" x14ac:dyDescent="0.3">
      <c r="A408" s="35" t="s">
        <v>216</v>
      </c>
      <c r="B408" s="35">
        <v>4</v>
      </c>
      <c r="C408" s="35">
        <v>970</v>
      </c>
      <c r="D408" s="36" t="s">
        <v>418</v>
      </c>
      <c r="E408" s="36" t="s">
        <v>414</v>
      </c>
      <c r="F408" s="35">
        <v>14.8</v>
      </c>
      <c r="G408" s="35">
        <v>11404</v>
      </c>
      <c r="H408" s="35">
        <v>74.959999999999994</v>
      </c>
      <c r="I408" s="35">
        <v>1109.4000000000001</v>
      </c>
      <c r="J408" s="35">
        <v>5.282855597620336</v>
      </c>
      <c r="K408" s="35">
        <v>8.8937500000000007</v>
      </c>
      <c r="L408" s="35">
        <v>95.039999999999992</v>
      </c>
      <c r="M408" s="35">
        <v>0.80167207499549309</v>
      </c>
      <c r="N408" s="35">
        <v>97.68</v>
      </c>
      <c r="O408" s="35">
        <v>46.148475000000005</v>
      </c>
    </row>
    <row r="409" spans="1:15" x14ac:dyDescent="0.3">
      <c r="A409" s="35" t="s">
        <v>243</v>
      </c>
      <c r="B409" s="35">
        <v>5</v>
      </c>
      <c r="C409" s="35">
        <v>650</v>
      </c>
      <c r="D409" s="36" t="s">
        <v>419</v>
      </c>
      <c r="E409" s="36" t="s">
        <v>415</v>
      </c>
      <c r="F409" s="35">
        <v>18.5</v>
      </c>
      <c r="G409" s="35">
        <v>9648</v>
      </c>
      <c r="H409" s="35">
        <v>67.319999999999993</v>
      </c>
      <c r="I409" s="35">
        <v>1245.4000000000001</v>
      </c>
      <c r="J409" s="35">
        <v>4.4563995503452709</v>
      </c>
      <c r="K409" s="35">
        <v>9.9559999999999995</v>
      </c>
      <c r="L409" s="35">
        <v>107.2</v>
      </c>
      <c r="M409" s="35">
        <v>0.79942187249076591</v>
      </c>
      <c r="N409" s="35">
        <v>97.68</v>
      </c>
      <c r="O409" s="35">
        <v>46.148475000000005</v>
      </c>
    </row>
    <row r="410" spans="1:15" x14ac:dyDescent="0.3">
      <c r="A410" s="35" t="s">
        <v>254</v>
      </c>
      <c r="B410" s="35">
        <v>2.9999999999999996</v>
      </c>
      <c r="C410" s="35">
        <v>1350</v>
      </c>
      <c r="D410" s="36" t="s">
        <v>418</v>
      </c>
      <c r="E410" s="36" t="s">
        <v>413</v>
      </c>
      <c r="F410" s="35">
        <v>11.1</v>
      </c>
      <c r="G410" s="35">
        <v>12341</v>
      </c>
      <c r="H410" s="35">
        <v>104.94</v>
      </c>
      <c r="I410" s="35">
        <v>1164.8</v>
      </c>
      <c r="J410" s="35">
        <v>5.1459478021978029</v>
      </c>
      <c r="K410" s="35">
        <v>9.31</v>
      </c>
      <c r="L410" s="35">
        <v>85.7</v>
      </c>
      <c r="M410" s="35">
        <v>0.79927884615384626</v>
      </c>
      <c r="N410" s="35">
        <v>97.68</v>
      </c>
      <c r="O410" s="35">
        <v>46.148475000000005</v>
      </c>
    </row>
    <row r="411" spans="1:15" x14ac:dyDescent="0.3">
      <c r="A411" s="35" t="s">
        <v>209</v>
      </c>
      <c r="B411" s="35">
        <v>4</v>
      </c>
      <c r="C411" s="35">
        <v>1170</v>
      </c>
      <c r="D411" s="36" t="s">
        <v>417</v>
      </c>
      <c r="E411" s="36">
        <v>4.5</v>
      </c>
      <c r="F411" s="35">
        <v>14.8</v>
      </c>
      <c r="G411" s="35">
        <v>14425</v>
      </c>
      <c r="H411" s="35">
        <v>84.6</v>
      </c>
      <c r="I411" s="35">
        <v>1252</v>
      </c>
      <c r="J411" s="35">
        <v>4.6811501597444094</v>
      </c>
      <c r="K411" s="35">
        <v>10.005000000000001</v>
      </c>
      <c r="L411" s="35">
        <v>90.199999999999989</v>
      </c>
      <c r="M411" s="35">
        <v>0.79912140575079882</v>
      </c>
      <c r="N411" s="35">
        <v>97.68</v>
      </c>
      <c r="O411" s="35">
        <v>46.148475000000005</v>
      </c>
    </row>
    <row r="412" spans="1:15" x14ac:dyDescent="0.3">
      <c r="A412" s="35" t="s">
        <v>106</v>
      </c>
      <c r="B412" s="35">
        <v>4</v>
      </c>
      <c r="C412" s="35">
        <v>830</v>
      </c>
      <c r="D412" s="36" t="s">
        <v>419</v>
      </c>
      <c r="E412" s="36" t="s">
        <v>412</v>
      </c>
      <c r="F412" s="35">
        <v>14.8</v>
      </c>
      <c r="G412" s="35">
        <v>11580</v>
      </c>
      <c r="H412" s="35">
        <v>96.8</v>
      </c>
      <c r="I412" s="35">
        <v>1432.6</v>
      </c>
      <c r="J412" s="35">
        <v>4.0910233142538051</v>
      </c>
      <c r="K412" s="35">
        <v>11.428750000000001</v>
      </c>
      <c r="L412" s="35">
        <v>112.63999999999999</v>
      </c>
      <c r="M412" s="35">
        <v>0.79776280887896145</v>
      </c>
      <c r="N412" s="35">
        <v>92.5</v>
      </c>
      <c r="O412" s="35">
        <v>46.924503000000001</v>
      </c>
    </row>
    <row r="413" spans="1:15" x14ac:dyDescent="0.3">
      <c r="A413" s="35" t="s">
        <v>153</v>
      </c>
      <c r="B413" s="35">
        <v>4</v>
      </c>
      <c r="C413" s="35">
        <v>1150</v>
      </c>
      <c r="D413" s="36" t="s">
        <v>412</v>
      </c>
      <c r="E413" s="36" t="s">
        <v>414</v>
      </c>
      <c r="F413" s="35">
        <v>14.8</v>
      </c>
      <c r="G413" s="35">
        <v>13664</v>
      </c>
      <c r="H413" s="35">
        <v>34.840000000000003</v>
      </c>
      <c r="I413" s="35">
        <v>515.6</v>
      </c>
      <c r="J413" s="35">
        <v>11.366951124903025</v>
      </c>
      <c r="K413" s="35">
        <v>4.0912499999999996</v>
      </c>
      <c r="L413" s="35">
        <v>113.81333333333332</v>
      </c>
      <c r="M413" s="35">
        <v>0.79349301784328929</v>
      </c>
      <c r="N413" s="35">
        <v>92.5</v>
      </c>
      <c r="O413" s="35">
        <v>46.924503000000001</v>
      </c>
    </row>
    <row r="414" spans="1:15" x14ac:dyDescent="0.3">
      <c r="A414" s="35" t="s">
        <v>209</v>
      </c>
      <c r="B414" s="35">
        <v>2.9999999999999996</v>
      </c>
      <c r="C414" s="35">
        <v>1170</v>
      </c>
      <c r="D414" s="36" t="s">
        <v>418</v>
      </c>
      <c r="E414" s="36" t="s">
        <v>412</v>
      </c>
      <c r="F414" s="35">
        <v>11.1</v>
      </c>
      <c r="G414" s="35">
        <v>10125</v>
      </c>
      <c r="H414" s="35">
        <v>86.9</v>
      </c>
      <c r="I414" s="35">
        <v>964.6</v>
      </c>
      <c r="J414" s="35">
        <v>6.2139747045407425</v>
      </c>
      <c r="K414" s="35">
        <v>7.65</v>
      </c>
      <c r="L414" s="35">
        <v>98.413333333333313</v>
      </c>
      <c r="M414" s="35">
        <v>0.79307484967862329</v>
      </c>
      <c r="N414" s="35">
        <v>92.5</v>
      </c>
      <c r="O414" s="35">
        <v>46.924503000000001</v>
      </c>
    </row>
    <row r="415" spans="1:15" x14ac:dyDescent="0.3">
      <c r="A415" s="35" t="s">
        <v>216</v>
      </c>
      <c r="B415" s="35">
        <v>5</v>
      </c>
      <c r="C415" s="35">
        <v>970</v>
      </c>
      <c r="D415" s="36" t="s">
        <v>417</v>
      </c>
      <c r="E415" s="36" t="s">
        <v>413</v>
      </c>
      <c r="F415" s="35">
        <v>18.5</v>
      </c>
      <c r="G415" s="35">
        <v>15204</v>
      </c>
      <c r="H415" s="35">
        <v>65.34</v>
      </c>
      <c r="I415" s="35">
        <v>1208.8</v>
      </c>
      <c r="J415" s="35">
        <v>4.5913302448709459</v>
      </c>
      <c r="K415" s="35">
        <v>9.5724999999999998</v>
      </c>
      <c r="L415" s="35">
        <v>105.6</v>
      </c>
      <c r="M415" s="35">
        <v>0.79190105890138995</v>
      </c>
      <c r="N415" s="35">
        <v>92.5</v>
      </c>
      <c r="O415" s="35">
        <v>46.924503000000001</v>
      </c>
    </row>
    <row r="416" spans="1:15" x14ac:dyDescent="0.3">
      <c r="A416" s="35" t="s">
        <v>241</v>
      </c>
      <c r="B416" s="35">
        <v>2.9999999999999996</v>
      </c>
      <c r="C416" s="35">
        <v>840</v>
      </c>
      <c r="D416" s="36" t="s">
        <v>418</v>
      </c>
      <c r="E416" s="36" t="s">
        <v>418</v>
      </c>
      <c r="F416" s="35">
        <v>11.1</v>
      </c>
      <c r="G416" s="35">
        <v>7191</v>
      </c>
      <c r="H416" s="35">
        <v>46.58</v>
      </c>
      <c r="I416" s="35">
        <v>517.20000000000005</v>
      </c>
      <c r="J416" s="35">
        <v>11.589327146171694</v>
      </c>
      <c r="K416" s="35">
        <v>4.0940000000000003</v>
      </c>
      <c r="L416" s="35">
        <v>99.9</v>
      </c>
      <c r="M416" s="35">
        <v>0.79156999226604796</v>
      </c>
      <c r="N416" s="35">
        <v>92.5</v>
      </c>
      <c r="O416" s="35">
        <v>46.924503000000001</v>
      </c>
    </row>
    <row r="417" spans="1:15" x14ac:dyDescent="0.3">
      <c r="A417" s="35" t="s">
        <v>254</v>
      </c>
      <c r="B417" s="35">
        <v>2.9999999999999996</v>
      </c>
      <c r="C417" s="35">
        <v>1350</v>
      </c>
      <c r="D417" s="36" t="s">
        <v>417</v>
      </c>
      <c r="E417" s="36" t="s">
        <v>412</v>
      </c>
      <c r="F417" s="35">
        <v>11.1</v>
      </c>
      <c r="G417" s="35">
        <v>12113</v>
      </c>
      <c r="H417" s="35">
        <v>113.78</v>
      </c>
      <c r="I417" s="35">
        <v>1263</v>
      </c>
      <c r="J417" s="35">
        <v>4.7458432304038007</v>
      </c>
      <c r="K417" s="35">
        <v>9.99</v>
      </c>
      <c r="L417" s="35">
        <v>117.8</v>
      </c>
      <c r="M417" s="35">
        <v>0.79097387173396683</v>
      </c>
      <c r="N417" s="35">
        <v>92.5</v>
      </c>
      <c r="O417" s="35">
        <v>46.924503000000001</v>
      </c>
    </row>
    <row r="418" spans="1:15" x14ac:dyDescent="0.3">
      <c r="A418" s="35" t="s">
        <v>216</v>
      </c>
      <c r="B418" s="35">
        <v>2.9999999999999996</v>
      </c>
      <c r="C418" s="35">
        <v>970</v>
      </c>
      <c r="D418" s="36" t="s">
        <v>417</v>
      </c>
      <c r="E418" s="36">
        <v>7.5</v>
      </c>
      <c r="F418" s="35">
        <v>11.1</v>
      </c>
      <c r="G418" s="35">
        <v>8980</v>
      </c>
      <c r="H418" s="35">
        <v>52.54</v>
      </c>
      <c r="I418" s="35">
        <v>583.20000000000005</v>
      </c>
      <c r="J418" s="35">
        <v>10.277777777777777</v>
      </c>
      <c r="K418" s="35">
        <v>4.6124999999999998</v>
      </c>
      <c r="L418" s="35">
        <v>93.573333333333323</v>
      </c>
      <c r="M418" s="35">
        <v>0.79089506172839497</v>
      </c>
      <c r="N418" s="35">
        <v>92.5</v>
      </c>
      <c r="O418" s="35">
        <v>46.924503000000001</v>
      </c>
    </row>
    <row r="419" spans="1:15" x14ac:dyDescent="0.3">
      <c r="A419" s="35" t="s">
        <v>243</v>
      </c>
      <c r="B419" s="35">
        <v>5.9999999999999991</v>
      </c>
      <c r="C419" s="35">
        <v>650</v>
      </c>
      <c r="D419" s="36" t="s">
        <v>418</v>
      </c>
      <c r="E419" s="36" t="s">
        <v>414</v>
      </c>
      <c r="F419" s="35">
        <v>22.2</v>
      </c>
      <c r="G419" s="35">
        <v>12110</v>
      </c>
      <c r="H419" s="35">
        <v>55.84</v>
      </c>
      <c r="I419" s="35">
        <v>1239.5999999999999</v>
      </c>
      <c r="J419" s="35">
        <v>4.8354307841239113</v>
      </c>
      <c r="K419" s="35">
        <v>9.7919999999999998</v>
      </c>
      <c r="L419" s="35">
        <v>100.9</v>
      </c>
      <c r="M419" s="35">
        <v>0.78993223620522757</v>
      </c>
      <c r="N419" s="35">
        <v>92.5</v>
      </c>
      <c r="O419" s="35">
        <v>46.924503000000001</v>
      </c>
    </row>
    <row r="420" spans="1:15" x14ac:dyDescent="0.3">
      <c r="A420" s="35" t="s">
        <v>260</v>
      </c>
      <c r="B420" s="35">
        <v>4</v>
      </c>
      <c r="C420" s="35">
        <v>470</v>
      </c>
      <c r="D420" s="36" t="s">
        <v>422</v>
      </c>
      <c r="E420" s="36" t="s">
        <v>420</v>
      </c>
      <c r="F420" s="35">
        <v>14.8</v>
      </c>
      <c r="G420" s="35">
        <v>5960</v>
      </c>
      <c r="H420" s="35">
        <v>71.66</v>
      </c>
      <c r="I420" s="35">
        <v>1060.5999999999999</v>
      </c>
      <c r="J420" s="35">
        <v>5.5259287195926845</v>
      </c>
      <c r="K420" s="35">
        <v>8.3580000000000005</v>
      </c>
      <c r="L420" s="35">
        <v>99.3</v>
      </c>
      <c r="M420" s="35">
        <v>0.78804450311144647</v>
      </c>
      <c r="N420" s="35">
        <v>92.5</v>
      </c>
      <c r="O420" s="35">
        <v>46.924503000000001</v>
      </c>
    </row>
    <row r="421" spans="1:15" x14ac:dyDescent="0.3">
      <c r="A421" s="35" t="s">
        <v>102</v>
      </c>
      <c r="B421" s="35">
        <v>4</v>
      </c>
      <c r="C421" s="35">
        <v>600</v>
      </c>
      <c r="D421" s="36" t="s">
        <v>420</v>
      </c>
      <c r="E421" s="36" t="s">
        <v>418</v>
      </c>
      <c r="F421" s="35">
        <v>14.8</v>
      </c>
      <c r="G421" s="35">
        <v>7981</v>
      </c>
      <c r="H421" s="35">
        <v>78.72</v>
      </c>
      <c r="I421" s="35">
        <v>1165</v>
      </c>
      <c r="J421" s="35">
        <v>5.0307296137339064</v>
      </c>
      <c r="K421" s="35">
        <v>9.1762499999999996</v>
      </c>
      <c r="L421" s="35">
        <v>110.87999999999998</v>
      </c>
      <c r="M421" s="35">
        <v>0.78766094420600863</v>
      </c>
      <c r="N421" s="35">
        <v>92.5</v>
      </c>
      <c r="O421" s="35">
        <v>46.924503000000001</v>
      </c>
    </row>
    <row r="422" spans="1:15" x14ac:dyDescent="0.3">
      <c r="A422" s="35" t="s">
        <v>241</v>
      </c>
      <c r="B422" s="35">
        <v>5.9999999999999991</v>
      </c>
      <c r="C422" s="35">
        <v>840</v>
      </c>
      <c r="D422" s="36" t="s">
        <v>415</v>
      </c>
      <c r="E422" s="36" t="s">
        <v>416</v>
      </c>
      <c r="F422" s="35">
        <v>22.2</v>
      </c>
      <c r="G422" s="35">
        <v>15707</v>
      </c>
      <c r="H422" s="35">
        <v>42.1</v>
      </c>
      <c r="I422" s="35">
        <v>934.6</v>
      </c>
      <c r="J422" s="35">
        <v>6.4134389043441047</v>
      </c>
      <c r="K422" s="35">
        <v>7.3479999999999999</v>
      </c>
      <c r="L422" s="35">
        <v>87.3</v>
      </c>
      <c r="M422" s="35">
        <v>0.78621870318852982</v>
      </c>
      <c r="N422" s="35">
        <v>92.5</v>
      </c>
      <c r="O422" s="35">
        <v>46.924503000000001</v>
      </c>
    </row>
    <row r="423" spans="1:15" x14ac:dyDescent="0.3">
      <c r="A423" s="35" t="s">
        <v>167</v>
      </c>
      <c r="B423" s="35">
        <v>2.9999999999999996</v>
      </c>
      <c r="C423" s="35">
        <v>1860</v>
      </c>
      <c r="D423" s="36" t="s">
        <v>414</v>
      </c>
      <c r="E423" s="36">
        <v>4.5</v>
      </c>
      <c r="F423" s="35">
        <v>11.1</v>
      </c>
      <c r="G423" s="35">
        <v>17375</v>
      </c>
      <c r="H423" s="35">
        <v>46.26</v>
      </c>
      <c r="I423" s="35">
        <v>513.4</v>
      </c>
      <c r="J423" s="35">
        <v>11.675107128944294</v>
      </c>
      <c r="K423" s="35">
        <v>4.0350000000000001</v>
      </c>
      <c r="L423" s="35">
        <v>108.53333333333333</v>
      </c>
      <c r="M423" s="35">
        <v>0.78593689131281652</v>
      </c>
      <c r="N423" s="35">
        <v>92.5</v>
      </c>
      <c r="O423" s="35">
        <v>46.924503000000001</v>
      </c>
    </row>
    <row r="424" spans="1:15" x14ac:dyDescent="0.3">
      <c r="A424" s="35" t="s">
        <v>201</v>
      </c>
      <c r="B424" s="35">
        <v>4</v>
      </c>
      <c r="C424" s="35">
        <v>1050</v>
      </c>
      <c r="D424" s="36" t="s">
        <v>415</v>
      </c>
      <c r="E424" s="36" t="s">
        <v>414</v>
      </c>
      <c r="F424" s="35">
        <v>14.8</v>
      </c>
      <c r="G424" s="35">
        <v>13383</v>
      </c>
      <c r="H424" s="35">
        <v>62.82</v>
      </c>
      <c r="I424" s="35">
        <v>929.8</v>
      </c>
      <c r="J424" s="35">
        <v>6.3032910303291034</v>
      </c>
      <c r="K424" s="35">
        <v>7.3012499999999996</v>
      </c>
      <c r="L424" s="35">
        <v>111.46666666666665</v>
      </c>
      <c r="M424" s="35">
        <v>0.78524951602495163</v>
      </c>
      <c r="N424" s="35">
        <v>92.5</v>
      </c>
      <c r="O424" s="35">
        <v>46.924503000000001</v>
      </c>
    </row>
    <row r="425" spans="1:15" x14ac:dyDescent="0.3">
      <c r="A425" s="35" t="s">
        <v>216</v>
      </c>
      <c r="B425" s="35">
        <v>5</v>
      </c>
      <c r="C425" s="35">
        <v>970</v>
      </c>
      <c r="D425" s="36" t="s">
        <v>417</v>
      </c>
      <c r="E425" s="36">
        <v>4.5</v>
      </c>
      <c r="F425" s="35">
        <v>18.5</v>
      </c>
      <c r="G425" s="35">
        <v>14836</v>
      </c>
      <c r="H425" s="35">
        <v>73.739999999999995</v>
      </c>
      <c r="I425" s="35">
        <v>1364.2</v>
      </c>
      <c r="J425" s="35">
        <v>4.068318428382935</v>
      </c>
      <c r="K425" s="35">
        <v>10.675000000000001</v>
      </c>
      <c r="L425" s="35">
        <v>92.693333333333328</v>
      </c>
      <c r="M425" s="35">
        <v>0.78250989590969067</v>
      </c>
      <c r="N425" s="35">
        <v>92.5</v>
      </c>
      <c r="O425" s="35">
        <v>46.924503000000001</v>
      </c>
    </row>
    <row r="426" spans="1:15" x14ac:dyDescent="0.3">
      <c r="A426" s="35" t="s">
        <v>205</v>
      </c>
      <c r="B426" s="35">
        <v>2.9999999999999996</v>
      </c>
      <c r="C426" s="35">
        <v>1700</v>
      </c>
      <c r="D426" s="36" t="s">
        <v>415</v>
      </c>
      <c r="E426" s="36" t="s">
        <v>413</v>
      </c>
      <c r="F426" s="35">
        <v>11.1</v>
      </c>
      <c r="G426" s="35">
        <v>15588</v>
      </c>
      <c r="H426" s="35">
        <v>74.42</v>
      </c>
      <c r="I426" s="35">
        <v>826.2</v>
      </c>
      <c r="J426" s="35">
        <v>7.2549019607843137</v>
      </c>
      <c r="K426" s="35">
        <v>6.4637500000000001</v>
      </c>
      <c r="L426" s="35">
        <v>108.24</v>
      </c>
      <c r="M426" s="35">
        <v>0.78234688937303309</v>
      </c>
      <c r="N426" s="35">
        <v>92.5</v>
      </c>
      <c r="O426" s="35">
        <v>46.924503000000001</v>
      </c>
    </row>
    <row r="427" spans="1:15" x14ac:dyDescent="0.3">
      <c r="A427" s="35" t="s">
        <v>207</v>
      </c>
      <c r="B427" s="35">
        <v>2.9999999999999996</v>
      </c>
      <c r="C427" s="35">
        <v>850</v>
      </c>
      <c r="D427" s="36" t="s">
        <v>418</v>
      </c>
      <c r="E427" s="36" t="s">
        <v>415</v>
      </c>
      <c r="F427" s="35">
        <v>11.1</v>
      </c>
      <c r="G427" s="35">
        <v>8035</v>
      </c>
      <c r="H427" s="35">
        <v>49.26</v>
      </c>
      <c r="I427" s="35">
        <v>546.79999999999995</v>
      </c>
      <c r="J427" s="35">
        <v>10.96196049743965</v>
      </c>
      <c r="K427" s="35">
        <v>4.2637499999999999</v>
      </c>
      <c r="L427" s="35">
        <v>89.32</v>
      </c>
      <c r="M427" s="35">
        <v>0.77976408193123636</v>
      </c>
      <c r="N427" s="35">
        <v>92.5</v>
      </c>
      <c r="O427" s="35">
        <v>46.924503000000001</v>
      </c>
    </row>
    <row r="428" spans="1:15" x14ac:dyDescent="0.3">
      <c r="A428" s="35" t="s">
        <v>244</v>
      </c>
      <c r="B428" s="35">
        <v>5</v>
      </c>
      <c r="C428" s="35">
        <v>610</v>
      </c>
      <c r="D428" s="36" t="s">
        <v>419</v>
      </c>
      <c r="E428" s="36">
        <v>8.5</v>
      </c>
      <c r="F428" s="35">
        <v>18.5</v>
      </c>
      <c r="G428" s="35">
        <v>9673</v>
      </c>
      <c r="H428" s="35">
        <v>74.72</v>
      </c>
      <c r="I428" s="35">
        <v>1382.2</v>
      </c>
      <c r="J428" s="35">
        <v>4.0153378671682818</v>
      </c>
      <c r="K428" s="35">
        <v>10.772</v>
      </c>
      <c r="L428" s="35">
        <v>114.3</v>
      </c>
      <c r="M428" s="35">
        <v>0.77933728838084215</v>
      </c>
      <c r="N428" s="35">
        <v>92.5</v>
      </c>
      <c r="O428" s="35">
        <v>46.924503000000001</v>
      </c>
    </row>
    <row r="429" spans="1:15" x14ac:dyDescent="0.3">
      <c r="A429" s="35" t="s">
        <v>97</v>
      </c>
      <c r="B429" s="35">
        <v>4</v>
      </c>
      <c r="C429" s="35">
        <v>520</v>
      </c>
      <c r="D429" s="36" t="s">
        <v>421</v>
      </c>
      <c r="E429" s="36" t="s">
        <v>418</v>
      </c>
      <c r="F429" s="35">
        <v>14.8</v>
      </c>
      <c r="G429" s="35">
        <v>6780</v>
      </c>
      <c r="H429" s="35">
        <v>70.180000000000007</v>
      </c>
      <c r="I429" s="35">
        <v>1038.8</v>
      </c>
      <c r="J429" s="35">
        <v>5.6418944936465163</v>
      </c>
      <c r="K429" s="35">
        <v>8.0912500000000005</v>
      </c>
      <c r="L429" s="35">
        <v>94.16</v>
      </c>
      <c r="M429" s="35">
        <v>0.77890354254909522</v>
      </c>
      <c r="N429" s="35">
        <v>92.5</v>
      </c>
      <c r="O429" s="35">
        <v>46.924503000000001</v>
      </c>
    </row>
    <row r="430" spans="1:15" x14ac:dyDescent="0.3">
      <c r="A430" s="35" t="s">
        <v>232</v>
      </c>
      <c r="B430" s="35">
        <v>2.9999999999999996</v>
      </c>
      <c r="C430" s="35">
        <v>1450</v>
      </c>
      <c r="D430" s="36" t="s">
        <v>415</v>
      </c>
      <c r="E430" s="36" t="s">
        <v>416</v>
      </c>
      <c r="F430" s="35">
        <v>11.1</v>
      </c>
      <c r="G430" s="35">
        <v>15004</v>
      </c>
      <c r="H430" s="35">
        <v>76.180000000000007</v>
      </c>
      <c r="I430" s="35">
        <v>845.6</v>
      </c>
      <c r="J430" s="35">
        <v>7.088457899716178</v>
      </c>
      <c r="K430" s="35">
        <v>6.5540000000000003</v>
      </c>
      <c r="L430" s="35">
        <v>83.3</v>
      </c>
      <c r="M430" s="35">
        <v>0.77507095553453176</v>
      </c>
      <c r="N430" s="35">
        <v>92.5</v>
      </c>
      <c r="O430" s="35">
        <v>46.924503000000001</v>
      </c>
    </row>
    <row r="431" spans="1:15" x14ac:dyDescent="0.3">
      <c r="A431" s="35" t="s">
        <v>154</v>
      </c>
      <c r="B431" s="35">
        <v>4</v>
      </c>
      <c r="C431" s="35">
        <v>1360</v>
      </c>
      <c r="D431" s="36" t="s">
        <v>414</v>
      </c>
      <c r="E431" s="36">
        <v>4.3</v>
      </c>
      <c r="F431" s="35">
        <v>14.8</v>
      </c>
      <c r="G431" s="35">
        <v>16636</v>
      </c>
      <c r="H431" s="35">
        <v>33</v>
      </c>
      <c r="I431" s="35">
        <v>488.4</v>
      </c>
      <c r="J431" s="35">
        <v>12</v>
      </c>
      <c r="K431" s="35">
        <v>3.7825000000000002</v>
      </c>
      <c r="L431" s="35">
        <v>99.293333333333337</v>
      </c>
      <c r="M431" s="35">
        <v>0.77446764946764957</v>
      </c>
      <c r="N431" s="35">
        <v>92.5</v>
      </c>
      <c r="O431" s="35">
        <v>46.924503000000001</v>
      </c>
    </row>
    <row r="432" spans="1:15" x14ac:dyDescent="0.3">
      <c r="A432" s="35" t="s">
        <v>254</v>
      </c>
      <c r="B432" s="35">
        <v>2.9999999999999996</v>
      </c>
      <c r="C432" s="35">
        <v>1350</v>
      </c>
      <c r="D432" s="36" t="s">
        <v>417</v>
      </c>
      <c r="E432" s="36" t="s">
        <v>414</v>
      </c>
      <c r="F432" s="35">
        <v>11.1</v>
      </c>
      <c r="G432" s="35">
        <v>12761</v>
      </c>
      <c r="H432" s="35">
        <v>87.86</v>
      </c>
      <c r="I432" s="35">
        <v>975.2</v>
      </c>
      <c r="J432" s="35">
        <v>6.1464315012305164</v>
      </c>
      <c r="K432" s="35">
        <v>7.55</v>
      </c>
      <c r="L432" s="35">
        <v>106.3</v>
      </c>
      <c r="M432" s="35">
        <v>0.7742001640689089</v>
      </c>
      <c r="N432" s="35">
        <v>92.5</v>
      </c>
      <c r="O432" s="35">
        <v>46.924503000000001</v>
      </c>
    </row>
    <row r="433" spans="1:15" x14ac:dyDescent="0.3">
      <c r="A433" s="35" t="s">
        <v>253</v>
      </c>
      <c r="B433" s="35">
        <v>2.9999999999999996</v>
      </c>
      <c r="C433" s="35">
        <v>1300</v>
      </c>
      <c r="D433" s="36" t="s">
        <v>415</v>
      </c>
      <c r="E433" s="36" t="s">
        <v>414</v>
      </c>
      <c r="F433" s="35">
        <v>11.1</v>
      </c>
      <c r="G433" s="35">
        <v>12185</v>
      </c>
      <c r="H433" s="35">
        <v>65.94</v>
      </c>
      <c r="I433" s="35">
        <v>731.8</v>
      </c>
      <c r="J433" s="35">
        <v>8.1907625034162344</v>
      </c>
      <c r="K433" s="35">
        <v>5.66</v>
      </c>
      <c r="L433" s="35">
        <v>101.5</v>
      </c>
      <c r="M433" s="35">
        <v>0.77343536485378517</v>
      </c>
      <c r="N433" s="35">
        <v>99.9</v>
      </c>
      <c r="O433" s="35">
        <v>51.333753000000002</v>
      </c>
    </row>
    <row r="434" spans="1:15" x14ac:dyDescent="0.3">
      <c r="A434" s="35" t="s">
        <v>212</v>
      </c>
      <c r="B434" s="35">
        <v>2.9999999999999996</v>
      </c>
      <c r="C434" s="35">
        <v>1460</v>
      </c>
      <c r="D434" s="36" t="s">
        <v>418</v>
      </c>
      <c r="E434" s="36" t="s">
        <v>413</v>
      </c>
      <c r="F434" s="35">
        <v>11.1</v>
      </c>
      <c r="G434" s="35">
        <v>12183</v>
      </c>
      <c r="H434" s="35">
        <v>110.54</v>
      </c>
      <c r="I434" s="35">
        <v>1227</v>
      </c>
      <c r="J434" s="35">
        <v>4.8850855745721278</v>
      </c>
      <c r="K434" s="35">
        <v>9.4887499999999996</v>
      </c>
      <c r="L434" s="35">
        <v>84.626666666666665</v>
      </c>
      <c r="M434" s="35">
        <v>0.77332925835370814</v>
      </c>
      <c r="N434" s="35">
        <v>99.9</v>
      </c>
      <c r="O434" s="35">
        <v>51.333753000000002</v>
      </c>
    </row>
    <row r="435" spans="1:15" x14ac:dyDescent="0.3">
      <c r="A435" s="35" t="s">
        <v>217</v>
      </c>
      <c r="B435" s="35">
        <v>4</v>
      </c>
      <c r="C435" s="35">
        <v>1140</v>
      </c>
      <c r="D435" s="36" t="s">
        <v>415</v>
      </c>
      <c r="E435" s="36" t="s">
        <v>414</v>
      </c>
      <c r="F435" s="35">
        <v>14.8</v>
      </c>
      <c r="G435" s="35">
        <v>14551</v>
      </c>
      <c r="H435" s="35">
        <v>78.5</v>
      </c>
      <c r="I435" s="35">
        <v>1161.8</v>
      </c>
      <c r="J435" s="35">
        <v>5.0445859872611472</v>
      </c>
      <c r="K435" s="35">
        <v>8.9774999999999991</v>
      </c>
      <c r="L435" s="35">
        <v>121.29333333333332</v>
      </c>
      <c r="M435" s="35">
        <v>0.77272336030297806</v>
      </c>
      <c r="N435" s="35">
        <v>99.9</v>
      </c>
      <c r="O435" s="35">
        <v>51.333753000000002</v>
      </c>
    </row>
    <row r="436" spans="1:15" x14ac:dyDescent="0.3">
      <c r="A436" s="35" t="s">
        <v>209</v>
      </c>
      <c r="B436" s="35">
        <v>4</v>
      </c>
      <c r="C436" s="35">
        <v>1170</v>
      </c>
      <c r="D436" s="36" t="s">
        <v>415</v>
      </c>
      <c r="E436" s="36" t="s">
        <v>416</v>
      </c>
      <c r="F436" s="35">
        <v>14.8</v>
      </c>
      <c r="G436" s="35">
        <v>15400</v>
      </c>
      <c r="H436" s="35">
        <v>60.88</v>
      </c>
      <c r="I436" s="35">
        <v>901.2</v>
      </c>
      <c r="J436" s="35">
        <v>6.5033288948069243</v>
      </c>
      <c r="K436" s="35">
        <v>6.9625000000000004</v>
      </c>
      <c r="L436" s="35">
        <v>85.506666666666661</v>
      </c>
      <c r="M436" s="35">
        <v>0.77258100310696842</v>
      </c>
      <c r="N436" s="35">
        <v>99.9</v>
      </c>
      <c r="O436" s="35">
        <v>51.333753000000002</v>
      </c>
    </row>
    <row r="437" spans="1:15" x14ac:dyDescent="0.3">
      <c r="A437" s="35" t="s">
        <v>213</v>
      </c>
      <c r="B437" s="35">
        <v>2.9999999999999996</v>
      </c>
      <c r="C437" s="35">
        <v>840</v>
      </c>
      <c r="D437" s="36" t="s">
        <v>420</v>
      </c>
      <c r="E437" s="36" t="s">
        <v>415</v>
      </c>
      <c r="F437" s="35">
        <v>11.1</v>
      </c>
      <c r="G437" s="35">
        <v>7029</v>
      </c>
      <c r="H437" s="35">
        <v>67.400000000000006</v>
      </c>
      <c r="I437" s="35">
        <v>748.2</v>
      </c>
      <c r="J437" s="35">
        <v>8.0112269446672002</v>
      </c>
      <c r="K437" s="35">
        <v>5.7762500000000001</v>
      </c>
      <c r="L437" s="35">
        <v>78.173333333333318</v>
      </c>
      <c r="M437" s="35">
        <v>0.77201951349906439</v>
      </c>
      <c r="N437" s="35">
        <v>99.9</v>
      </c>
      <c r="O437" s="35">
        <v>51.333753000000002</v>
      </c>
    </row>
    <row r="438" spans="1:15" x14ac:dyDescent="0.3">
      <c r="A438" s="35" t="s">
        <v>154</v>
      </c>
      <c r="B438" s="35">
        <v>4</v>
      </c>
      <c r="C438" s="35">
        <v>1360</v>
      </c>
      <c r="D438" s="36" t="s">
        <v>415</v>
      </c>
      <c r="E438" s="36" t="s">
        <v>416</v>
      </c>
      <c r="F438" s="35">
        <v>14.8</v>
      </c>
      <c r="G438" s="35">
        <v>15829</v>
      </c>
      <c r="H438" s="35">
        <v>43.16</v>
      </c>
      <c r="I438" s="35">
        <v>638.79999999999995</v>
      </c>
      <c r="J438" s="35">
        <v>9.1747025673137159</v>
      </c>
      <c r="K438" s="35">
        <v>4.93</v>
      </c>
      <c r="L438" s="35">
        <v>88</v>
      </c>
      <c r="M438" s="35">
        <v>0.77175954915466505</v>
      </c>
      <c r="N438" s="35">
        <v>99.9</v>
      </c>
      <c r="O438" s="35">
        <v>51.333753000000002</v>
      </c>
    </row>
    <row r="439" spans="1:15" x14ac:dyDescent="0.3">
      <c r="A439" s="35" t="s">
        <v>216</v>
      </c>
      <c r="B439" s="35">
        <v>2.9999999999999996</v>
      </c>
      <c r="C439" s="35">
        <v>970</v>
      </c>
      <c r="D439" s="36" t="s">
        <v>418</v>
      </c>
      <c r="E439" s="36" t="s">
        <v>412</v>
      </c>
      <c r="F439" s="35">
        <v>11.1</v>
      </c>
      <c r="G439" s="35">
        <v>8916</v>
      </c>
      <c r="H439" s="35">
        <v>54.22</v>
      </c>
      <c r="I439" s="35">
        <v>601.79999999999995</v>
      </c>
      <c r="J439" s="35">
        <v>9.9601196410767709</v>
      </c>
      <c r="K439" s="35">
        <v>4.63375</v>
      </c>
      <c r="L439" s="35">
        <v>86.679999999999993</v>
      </c>
      <c r="M439" s="35">
        <v>0.76998172150216027</v>
      </c>
      <c r="N439" s="35">
        <v>99.9</v>
      </c>
      <c r="O439" s="35">
        <v>51.333753000000002</v>
      </c>
    </row>
    <row r="440" spans="1:15" x14ac:dyDescent="0.3">
      <c r="A440" s="35" t="s">
        <v>243</v>
      </c>
      <c r="B440" s="35">
        <v>4</v>
      </c>
      <c r="C440" s="35">
        <v>650</v>
      </c>
      <c r="D440" s="36" t="s">
        <v>419</v>
      </c>
      <c r="E440" s="36" t="s">
        <v>418</v>
      </c>
      <c r="F440" s="35">
        <v>14.8</v>
      </c>
      <c r="G440" s="35">
        <v>7848</v>
      </c>
      <c r="H440" s="35">
        <v>58.04</v>
      </c>
      <c r="I440" s="35">
        <v>859</v>
      </c>
      <c r="J440" s="35">
        <v>6.8228172293364384</v>
      </c>
      <c r="K440" s="35">
        <v>6.6079999999999997</v>
      </c>
      <c r="L440" s="35">
        <v>109</v>
      </c>
      <c r="M440" s="35">
        <v>0.76926658905704304</v>
      </c>
      <c r="N440" s="35">
        <v>99.9</v>
      </c>
      <c r="O440" s="35">
        <v>51.333753000000002</v>
      </c>
    </row>
    <row r="441" spans="1:15" x14ac:dyDescent="0.3">
      <c r="A441" s="35" t="s">
        <v>277</v>
      </c>
      <c r="B441" s="35">
        <v>2.9999999999999996</v>
      </c>
      <c r="C441" s="35">
        <v>890</v>
      </c>
      <c r="D441" s="36" t="s">
        <v>417</v>
      </c>
      <c r="E441" s="36">
        <v>7.5</v>
      </c>
      <c r="F441" s="35">
        <v>11.1</v>
      </c>
      <c r="G441" s="35">
        <v>8239</v>
      </c>
      <c r="H441" s="35">
        <v>60.76</v>
      </c>
      <c r="I441" s="35">
        <v>674.4</v>
      </c>
      <c r="J441" s="35">
        <v>8.8879003558718868</v>
      </c>
      <c r="K441" s="35">
        <v>5.1840000000000002</v>
      </c>
      <c r="L441" s="35">
        <v>85.8</v>
      </c>
      <c r="M441" s="35">
        <v>0.76868327402135239</v>
      </c>
      <c r="N441" s="35">
        <v>99.9</v>
      </c>
      <c r="O441" s="35">
        <v>51.333753000000002</v>
      </c>
    </row>
    <row r="442" spans="1:15" x14ac:dyDescent="0.3">
      <c r="A442" s="35" t="s">
        <v>105</v>
      </c>
      <c r="B442" s="35">
        <v>4</v>
      </c>
      <c r="C442" s="35">
        <v>700</v>
      </c>
      <c r="D442" s="36" t="s">
        <v>420</v>
      </c>
      <c r="E442" s="36" t="s">
        <v>415</v>
      </c>
      <c r="F442" s="35">
        <v>14.8</v>
      </c>
      <c r="G442" s="35">
        <v>9085</v>
      </c>
      <c r="H442" s="35">
        <v>92.32</v>
      </c>
      <c r="I442" s="35">
        <v>1366.4</v>
      </c>
      <c r="J442" s="35">
        <v>4.2892271662763459</v>
      </c>
      <c r="K442" s="35">
        <v>10.47625</v>
      </c>
      <c r="L442" s="35">
        <v>100.90666666666665</v>
      </c>
      <c r="M442" s="35">
        <v>0.76670447892271654</v>
      </c>
      <c r="N442" s="35">
        <v>99.9</v>
      </c>
      <c r="O442" s="35">
        <v>51.333753000000002</v>
      </c>
    </row>
    <row r="443" spans="1:15" x14ac:dyDescent="0.3">
      <c r="A443" s="35" t="s">
        <v>153</v>
      </c>
      <c r="B443" s="35">
        <v>4</v>
      </c>
      <c r="C443" s="35">
        <v>1150</v>
      </c>
      <c r="D443" s="36" t="s">
        <v>412</v>
      </c>
      <c r="E443" s="36" t="s">
        <v>413</v>
      </c>
      <c r="F443" s="35">
        <v>14.8</v>
      </c>
      <c r="G443" s="35">
        <v>13795</v>
      </c>
      <c r="H443" s="35">
        <v>33.340000000000003</v>
      </c>
      <c r="I443" s="35">
        <v>493.4</v>
      </c>
      <c r="J443" s="35">
        <v>11.87839481151196</v>
      </c>
      <c r="K443" s="35">
        <v>3.7562500000000001</v>
      </c>
      <c r="L443" s="35">
        <v>95.773333333333326</v>
      </c>
      <c r="M443" s="35">
        <v>0.76129914876368066</v>
      </c>
      <c r="N443" s="35">
        <v>99.9</v>
      </c>
      <c r="O443" s="35">
        <v>51.333753000000002</v>
      </c>
    </row>
    <row r="444" spans="1:15" x14ac:dyDescent="0.3">
      <c r="A444" s="35" t="s">
        <v>216</v>
      </c>
      <c r="B444" s="35">
        <v>2.9999999999999996</v>
      </c>
      <c r="C444" s="35">
        <v>970</v>
      </c>
      <c r="D444" s="36" t="s">
        <v>418</v>
      </c>
      <c r="E444" s="36" t="s">
        <v>415</v>
      </c>
      <c r="F444" s="35">
        <v>11.1</v>
      </c>
      <c r="G444" s="35">
        <v>8679</v>
      </c>
      <c r="H444" s="35">
        <v>59.64</v>
      </c>
      <c r="I444" s="35">
        <v>662</v>
      </c>
      <c r="J444" s="35">
        <v>9.0543806646525677</v>
      </c>
      <c r="K444" s="35">
        <v>5.0350000000000001</v>
      </c>
      <c r="L444" s="35">
        <v>96.506666666666661</v>
      </c>
      <c r="M444" s="35">
        <v>0.7605740181268883</v>
      </c>
      <c r="N444" s="35">
        <v>99.9</v>
      </c>
      <c r="O444" s="35">
        <v>51.333753000000002</v>
      </c>
    </row>
    <row r="445" spans="1:15" x14ac:dyDescent="0.3">
      <c r="A445" s="35" t="s">
        <v>201</v>
      </c>
      <c r="B445" s="35">
        <v>4</v>
      </c>
      <c r="C445" s="35">
        <v>1050</v>
      </c>
      <c r="D445" s="36" t="s">
        <v>412</v>
      </c>
      <c r="E445" s="36" t="s">
        <v>414</v>
      </c>
      <c r="F445" s="35">
        <v>14.8</v>
      </c>
      <c r="G445" s="35">
        <v>14559</v>
      </c>
      <c r="H445" s="35">
        <v>41.48</v>
      </c>
      <c r="I445" s="35">
        <v>614</v>
      </c>
      <c r="J445" s="35">
        <v>9.5452768729641697</v>
      </c>
      <c r="K445" s="35">
        <v>4.6687500000000002</v>
      </c>
      <c r="L445" s="35">
        <v>121.29333333333332</v>
      </c>
      <c r="M445" s="35">
        <v>0.76038273615635188</v>
      </c>
      <c r="N445" s="35">
        <v>99.9</v>
      </c>
      <c r="O445" s="35">
        <v>51.333753000000002</v>
      </c>
    </row>
    <row r="446" spans="1:15" x14ac:dyDescent="0.3">
      <c r="A446" s="35" t="s">
        <v>154</v>
      </c>
      <c r="B446" s="35">
        <v>4</v>
      </c>
      <c r="C446" s="35">
        <v>1360</v>
      </c>
      <c r="D446" s="36" t="s">
        <v>412</v>
      </c>
      <c r="E446" s="36" t="s">
        <v>416</v>
      </c>
      <c r="F446" s="35">
        <v>14.8</v>
      </c>
      <c r="G446" s="35">
        <v>15976</v>
      </c>
      <c r="H446" s="35">
        <v>41.6</v>
      </c>
      <c r="I446" s="35">
        <v>615.6</v>
      </c>
      <c r="J446" s="35">
        <v>9.5204678362573105</v>
      </c>
      <c r="K446" s="35">
        <v>4.67875</v>
      </c>
      <c r="L446" s="35">
        <v>88.73333333333332</v>
      </c>
      <c r="M446" s="35">
        <v>0.76003086419753085</v>
      </c>
      <c r="N446" s="35">
        <v>99.9</v>
      </c>
      <c r="O446" s="35">
        <v>51.333753000000002</v>
      </c>
    </row>
    <row r="447" spans="1:15" x14ac:dyDescent="0.3">
      <c r="A447" s="35" t="s">
        <v>216</v>
      </c>
      <c r="B447" s="35">
        <v>5</v>
      </c>
      <c r="C447" s="35">
        <v>970</v>
      </c>
      <c r="D447" s="36" t="s">
        <v>415</v>
      </c>
      <c r="E447" s="36" t="s">
        <v>416</v>
      </c>
      <c r="F447" s="35">
        <v>18.5</v>
      </c>
      <c r="G447" s="35">
        <v>15769</v>
      </c>
      <c r="H447" s="35">
        <v>52.5</v>
      </c>
      <c r="I447" s="35">
        <v>971.2</v>
      </c>
      <c r="J447" s="35">
        <v>5.7145799011532121</v>
      </c>
      <c r="K447" s="35">
        <v>7.3762499999999998</v>
      </c>
      <c r="L447" s="35">
        <v>87.56</v>
      </c>
      <c r="M447" s="35">
        <v>0.75949855848434922</v>
      </c>
      <c r="N447" s="35">
        <v>99.9</v>
      </c>
      <c r="O447" s="35">
        <v>51.333753000000002</v>
      </c>
    </row>
    <row r="448" spans="1:15" x14ac:dyDescent="0.3">
      <c r="A448" s="35" t="s">
        <v>243</v>
      </c>
      <c r="B448" s="35">
        <v>5</v>
      </c>
      <c r="C448" s="35">
        <v>650</v>
      </c>
      <c r="D448" s="36" t="s">
        <v>419</v>
      </c>
      <c r="E448" s="36">
        <v>8.5</v>
      </c>
      <c r="F448" s="35">
        <v>18.5</v>
      </c>
      <c r="G448" s="35">
        <v>9551</v>
      </c>
      <c r="H448" s="35">
        <v>72.72</v>
      </c>
      <c r="I448" s="35">
        <v>1345.2</v>
      </c>
      <c r="J448" s="35">
        <v>4.1257805530776093</v>
      </c>
      <c r="K448" s="35">
        <v>10.198</v>
      </c>
      <c r="L448" s="35">
        <v>112.8</v>
      </c>
      <c r="M448" s="35">
        <v>0.75810288432946771</v>
      </c>
      <c r="N448" s="35">
        <v>99.9</v>
      </c>
      <c r="O448" s="35">
        <v>51.333753000000002</v>
      </c>
    </row>
    <row r="449" spans="1:15" x14ac:dyDescent="0.3">
      <c r="A449" s="35" t="s">
        <v>203</v>
      </c>
      <c r="B449" s="35">
        <v>4</v>
      </c>
      <c r="C449" s="35">
        <v>1400</v>
      </c>
      <c r="D449" s="36" t="s">
        <v>412</v>
      </c>
      <c r="E449" s="36" t="s">
        <v>416</v>
      </c>
      <c r="F449" s="35">
        <v>14.8</v>
      </c>
      <c r="G449" s="35">
        <v>17690</v>
      </c>
      <c r="H449" s="35">
        <v>55.66</v>
      </c>
      <c r="I449" s="35">
        <v>823.8</v>
      </c>
      <c r="J449" s="35">
        <v>7.1143481427530961</v>
      </c>
      <c r="K449" s="35">
        <v>6.2437500000000004</v>
      </c>
      <c r="L449" s="35">
        <v>98.266666666666666</v>
      </c>
      <c r="M449" s="35">
        <v>0.7579206117989804</v>
      </c>
      <c r="N449" s="35">
        <v>99.9</v>
      </c>
      <c r="O449" s="35">
        <v>51.333753000000002</v>
      </c>
    </row>
    <row r="450" spans="1:15" x14ac:dyDescent="0.3">
      <c r="A450" s="35" t="s">
        <v>253</v>
      </c>
      <c r="B450" s="35">
        <v>4</v>
      </c>
      <c r="C450" s="35">
        <v>1300</v>
      </c>
      <c r="D450" s="36" t="s">
        <v>412</v>
      </c>
      <c r="E450" s="36" t="s">
        <v>416</v>
      </c>
      <c r="F450" s="35">
        <v>14.8</v>
      </c>
      <c r="G450" s="35">
        <v>16416</v>
      </c>
      <c r="H450" s="35">
        <v>50.76</v>
      </c>
      <c r="I450" s="35">
        <v>751.2</v>
      </c>
      <c r="J450" s="35">
        <v>7.801916932907349</v>
      </c>
      <c r="K450" s="35">
        <v>5.69</v>
      </c>
      <c r="L450" s="35">
        <v>91.2</v>
      </c>
      <c r="M450" s="35">
        <v>0.75745473908413208</v>
      </c>
      <c r="N450" s="35">
        <v>97.68</v>
      </c>
      <c r="O450" s="35">
        <v>46.108474999999999</v>
      </c>
    </row>
    <row r="451" spans="1:15" x14ac:dyDescent="0.3">
      <c r="A451" s="35" t="s">
        <v>92</v>
      </c>
      <c r="B451" s="35">
        <v>5</v>
      </c>
      <c r="C451" s="35">
        <v>420</v>
      </c>
      <c r="D451" s="36" t="s">
        <v>421</v>
      </c>
      <c r="E451" s="36" t="s">
        <v>418</v>
      </c>
      <c r="F451" s="35">
        <v>18.5</v>
      </c>
      <c r="G451" s="35">
        <v>7047</v>
      </c>
      <c r="H451" s="35">
        <v>62.1</v>
      </c>
      <c r="I451" s="35">
        <v>1148.8</v>
      </c>
      <c r="J451" s="35">
        <v>4.8311281337047358</v>
      </c>
      <c r="K451" s="35">
        <v>8.6812500000000004</v>
      </c>
      <c r="L451" s="35">
        <v>97.826666666666668</v>
      </c>
      <c r="M451" s="35">
        <v>0.75567983983286913</v>
      </c>
      <c r="N451" s="35">
        <v>97.68</v>
      </c>
      <c r="O451" s="35">
        <v>46.108474999999999</v>
      </c>
    </row>
    <row r="452" spans="1:15" x14ac:dyDescent="0.3">
      <c r="A452" s="35" t="s">
        <v>111</v>
      </c>
      <c r="B452" s="35">
        <v>4</v>
      </c>
      <c r="C452" s="35">
        <v>460</v>
      </c>
      <c r="D452" s="36" t="s">
        <v>422</v>
      </c>
      <c r="E452" s="36" t="s">
        <v>420</v>
      </c>
      <c r="F452" s="35">
        <v>14.8</v>
      </c>
      <c r="G452" s="35">
        <v>6205</v>
      </c>
      <c r="H452" s="35">
        <v>80.64</v>
      </c>
      <c r="I452" s="35">
        <v>1193.5999999999999</v>
      </c>
      <c r="J452" s="35">
        <v>4.9101876675603222</v>
      </c>
      <c r="K452" s="35">
        <v>9.0175000000000001</v>
      </c>
      <c r="L452" s="35">
        <v>103.39999999999999</v>
      </c>
      <c r="M452" s="35">
        <v>0.75548760053619313</v>
      </c>
      <c r="N452" s="35">
        <v>97.68</v>
      </c>
      <c r="O452" s="35">
        <v>46.108474999999999</v>
      </c>
    </row>
    <row r="453" spans="1:15" x14ac:dyDescent="0.3">
      <c r="A453" s="35" t="s">
        <v>203</v>
      </c>
      <c r="B453" s="35">
        <v>2.9999999999999996</v>
      </c>
      <c r="C453" s="35">
        <v>1400</v>
      </c>
      <c r="D453" s="36" t="s">
        <v>415</v>
      </c>
      <c r="E453" s="36" t="s">
        <v>414</v>
      </c>
      <c r="F453" s="35">
        <v>11.1</v>
      </c>
      <c r="G453" s="35">
        <v>12643</v>
      </c>
      <c r="H453" s="35">
        <v>70.94</v>
      </c>
      <c r="I453" s="35">
        <v>787.4</v>
      </c>
      <c r="J453" s="35">
        <v>7.6123952247904505</v>
      </c>
      <c r="K453" s="35">
        <v>5.9262499999999996</v>
      </c>
      <c r="L453" s="35">
        <v>105.30666666666666</v>
      </c>
      <c r="M453" s="35">
        <v>0.75263525527051045</v>
      </c>
      <c r="N453" s="35">
        <v>97.68</v>
      </c>
      <c r="O453" s="35">
        <v>46.108474999999999</v>
      </c>
    </row>
    <row r="454" spans="1:15" x14ac:dyDescent="0.3">
      <c r="A454" s="35" t="s">
        <v>213</v>
      </c>
      <c r="B454" s="35">
        <v>2.9999999999999996</v>
      </c>
      <c r="C454" s="35">
        <v>840</v>
      </c>
      <c r="D454" s="36" t="s">
        <v>419</v>
      </c>
      <c r="E454" s="36" t="s">
        <v>418</v>
      </c>
      <c r="F454" s="35">
        <v>11.1</v>
      </c>
      <c r="G454" s="35">
        <v>7140</v>
      </c>
      <c r="H454" s="35">
        <v>64.22</v>
      </c>
      <c r="I454" s="35">
        <v>713</v>
      </c>
      <c r="J454" s="35">
        <v>8.4067321178120622</v>
      </c>
      <c r="K454" s="35">
        <v>5.3612500000000001</v>
      </c>
      <c r="L454" s="35">
        <v>99.146666666666647</v>
      </c>
      <c r="M454" s="35">
        <v>0.7519284712482468</v>
      </c>
      <c r="N454" s="35">
        <v>97.68</v>
      </c>
      <c r="O454" s="35">
        <v>46.108474999999999</v>
      </c>
    </row>
    <row r="455" spans="1:15" x14ac:dyDescent="0.3">
      <c r="A455" s="35" t="s">
        <v>213</v>
      </c>
      <c r="B455" s="35">
        <v>4</v>
      </c>
      <c r="C455" s="35">
        <v>840</v>
      </c>
      <c r="D455" s="36" t="s">
        <v>418</v>
      </c>
      <c r="E455" s="36" t="s">
        <v>414</v>
      </c>
      <c r="F455" s="35">
        <v>14.8</v>
      </c>
      <c r="G455" s="35">
        <v>10391</v>
      </c>
      <c r="H455" s="35">
        <v>57.54</v>
      </c>
      <c r="I455" s="35">
        <v>851.6</v>
      </c>
      <c r="J455" s="35">
        <v>6.8821042743071867</v>
      </c>
      <c r="K455" s="35">
        <v>6.3975</v>
      </c>
      <c r="L455" s="35">
        <v>86.533333333333331</v>
      </c>
      <c r="M455" s="35">
        <v>0.75123297322686711</v>
      </c>
      <c r="N455" s="35">
        <v>97.68</v>
      </c>
      <c r="O455" s="35">
        <v>46.108474999999999</v>
      </c>
    </row>
    <row r="456" spans="1:15" x14ac:dyDescent="0.3">
      <c r="A456" s="35" t="s">
        <v>201</v>
      </c>
      <c r="B456" s="35">
        <v>2.9999999999999996</v>
      </c>
      <c r="C456" s="35">
        <v>1050</v>
      </c>
      <c r="D456" s="36" t="s">
        <v>418</v>
      </c>
      <c r="E456" s="36" t="s">
        <v>414</v>
      </c>
      <c r="F456" s="35">
        <v>11.1</v>
      </c>
      <c r="G456" s="35">
        <v>9560</v>
      </c>
      <c r="H456" s="35">
        <v>63.78</v>
      </c>
      <c r="I456" s="35">
        <v>708</v>
      </c>
      <c r="J456" s="35">
        <v>8.4661016949152543</v>
      </c>
      <c r="K456" s="35">
        <v>5.30375</v>
      </c>
      <c r="L456" s="35">
        <v>79.639999999999986</v>
      </c>
      <c r="M456" s="35">
        <v>0.74911723163841815</v>
      </c>
      <c r="N456" s="35">
        <v>97.68</v>
      </c>
      <c r="O456" s="35">
        <v>46.108474999999999</v>
      </c>
    </row>
    <row r="457" spans="1:15" x14ac:dyDescent="0.3">
      <c r="A457" s="35" t="s">
        <v>207</v>
      </c>
      <c r="B457" s="35">
        <v>5</v>
      </c>
      <c r="C457" s="35">
        <v>850</v>
      </c>
      <c r="D457" s="36" t="s">
        <v>412</v>
      </c>
      <c r="E457" s="36" t="s">
        <v>414</v>
      </c>
      <c r="F457" s="35">
        <v>18.5</v>
      </c>
      <c r="G457" s="35">
        <v>15110</v>
      </c>
      <c r="H457" s="35">
        <v>36.78</v>
      </c>
      <c r="I457" s="35">
        <v>680.6</v>
      </c>
      <c r="J457" s="35">
        <v>8.1545694975022052</v>
      </c>
      <c r="K457" s="35">
        <v>5.0975000000000001</v>
      </c>
      <c r="L457" s="35">
        <v>125.98666666666666</v>
      </c>
      <c r="M457" s="35">
        <v>0.74897149573905386</v>
      </c>
      <c r="N457" s="35">
        <v>97.68</v>
      </c>
      <c r="O457" s="35">
        <v>46.108474999999999</v>
      </c>
    </row>
    <row r="458" spans="1:15" x14ac:dyDescent="0.3">
      <c r="A458" s="35" t="s">
        <v>209</v>
      </c>
      <c r="B458" s="35">
        <v>4</v>
      </c>
      <c r="C458" s="35">
        <v>1170</v>
      </c>
      <c r="D458" s="36" t="s">
        <v>415</v>
      </c>
      <c r="E458" s="36" t="s">
        <v>414</v>
      </c>
      <c r="F458" s="35">
        <v>14.8</v>
      </c>
      <c r="G458" s="35">
        <v>14624</v>
      </c>
      <c r="H458" s="35">
        <v>79.959999999999994</v>
      </c>
      <c r="I458" s="35">
        <v>1183.2</v>
      </c>
      <c r="J458" s="35">
        <v>4.9533468559837734</v>
      </c>
      <c r="K458" s="35">
        <v>8.8487500000000008</v>
      </c>
      <c r="L458" s="35">
        <v>121.87999999999998</v>
      </c>
      <c r="M458" s="35">
        <v>0.74786595672751865</v>
      </c>
      <c r="N458" s="35">
        <v>97.68</v>
      </c>
      <c r="O458" s="35">
        <v>46.108474999999999</v>
      </c>
    </row>
    <row r="459" spans="1:15" x14ac:dyDescent="0.3">
      <c r="A459" s="35" t="s">
        <v>212</v>
      </c>
      <c r="B459" s="35">
        <v>2.9999999999999996</v>
      </c>
      <c r="C459" s="35">
        <v>1460</v>
      </c>
      <c r="D459" s="36" t="s">
        <v>417</v>
      </c>
      <c r="E459" s="36" t="s">
        <v>414</v>
      </c>
      <c r="F459" s="35">
        <v>11.1</v>
      </c>
      <c r="G459" s="35">
        <v>12775</v>
      </c>
      <c r="H459" s="35">
        <v>95.88</v>
      </c>
      <c r="I459" s="35">
        <v>1064.2</v>
      </c>
      <c r="J459" s="35">
        <v>5.6323999248261609</v>
      </c>
      <c r="K459" s="35">
        <v>7.9537500000000003</v>
      </c>
      <c r="L459" s="35">
        <v>106.47999999999999</v>
      </c>
      <c r="M459" s="35">
        <v>0.74739240744221014</v>
      </c>
      <c r="N459" s="35">
        <v>97.68</v>
      </c>
      <c r="O459" s="35">
        <v>46.108474999999999</v>
      </c>
    </row>
    <row r="460" spans="1:15" x14ac:dyDescent="0.3">
      <c r="A460" s="35" t="s">
        <v>217</v>
      </c>
      <c r="B460" s="35">
        <v>2.9999999999999996</v>
      </c>
      <c r="C460" s="35">
        <v>1140</v>
      </c>
      <c r="D460" s="36" t="s">
        <v>418</v>
      </c>
      <c r="E460" s="36" t="s">
        <v>415</v>
      </c>
      <c r="F460" s="35">
        <v>11.1</v>
      </c>
      <c r="G460" s="35">
        <v>9954</v>
      </c>
      <c r="H460" s="35">
        <v>94.18</v>
      </c>
      <c r="I460" s="35">
        <v>1045.4000000000001</v>
      </c>
      <c r="J460" s="35">
        <v>5.73369045341496</v>
      </c>
      <c r="K460" s="35">
        <v>7.8125</v>
      </c>
      <c r="L460" s="35">
        <v>110.58666666666667</v>
      </c>
      <c r="M460" s="35">
        <v>0.74732159938779408</v>
      </c>
      <c r="N460" s="35">
        <v>97.68</v>
      </c>
      <c r="O460" s="35">
        <v>46.108474999999999</v>
      </c>
    </row>
    <row r="461" spans="1:15" x14ac:dyDescent="0.3">
      <c r="A461" s="35" t="s">
        <v>213</v>
      </c>
      <c r="B461" s="35">
        <v>4</v>
      </c>
      <c r="C461" s="35">
        <v>840</v>
      </c>
      <c r="D461" s="36" t="s">
        <v>418</v>
      </c>
      <c r="E461" s="36" t="s">
        <v>415</v>
      </c>
      <c r="F461" s="35">
        <v>14.8</v>
      </c>
      <c r="G461" s="35">
        <v>9883</v>
      </c>
      <c r="H461" s="35">
        <v>69.459999999999994</v>
      </c>
      <c r="I461" s="35">
        <v>1028</v>
      </c>
      <c r="J461" s="35">
        <v>5.7011673151750983</v>
      </c>
      <c r="K461" s="35">
        <v>7.6812500000000004</v>
      </c>
      <c r="L461" s="35">
        <v>109.85333333333334</v>
      </c>
      <c r="M461" s="35">
        <v>0.74720330739299612</v>
      </c>
      <c r="N461" s="35">
        <v>97.68</v>
      </c>
      <c r="O461" s="35">
        <v>46.108474999999999</v>
      </c>
    </row>
    <row r="462" spans="1:15" x14ac:dyDescent="0.3">
      <c r="A462" s="35" t="s">
        <v>241</v>
      </c>
      <c r="B462" s="35">
        <v>4</v>
      </c>
      <c r="C462" s="35">
        <v>840</v>
      </c>
      <c r="D462" s="36" t="s">
        <v>417</v>
      </c>
      <c r="E462" s="36">
        <v>7.5</v>
      </c>
      <c r="F462" s="35">
        <v>14.8</v>
      </c>
      <c r="G462" s="35">
        <v>9794</v>
      </c>
      <c r="H462" s="35">
        <v>50.18</v>
      </c>
      <c r="I462" s="35">
        <v>742.6</v>
      </c>
      <c r="J462" s="35">
        <v>7.8922704012927554</v>
      </c>
      <c r="K462" s="35">
        <v>5.5439999999999996</v>
      </c>
      <c r="L462" s="35">
        <v>102.1</v>
      </c>
      <c r="M462" s="35">
        <v>0.74656611904120651</v>
      </c>
      <c r="N462" s="35">
        <v>97.68</v>
      </c>
      <c r="O462" s="35">
        <v>46.108474999999999</v>
      </c>
    </row>
    <row r="463" spans="1:15" x14ac:dyDescent="0.3">
      <c r="A463" s="35" t="s">
        <v>254</v>
      </c>
      <c r="B463" s="35">
        <v>2.9999999999999996</v>
      </c>
      <c r="C463" s="35">
        <v>1350</v>
      </c>
      <c r="D463" s="36" t="s">
        <v>418</v>
      </c>
      <c r="E463" s="36" t="s">
        <v>414</v>
      </c>
      <c r="F463" s="35">
        <v>11.1</v>
      </c>
      <c r="G463" s="35">
        <v>12023</v>
      </c>
      <c r="H463" s="35">
        <v>116.64</v>
      </c>
      <c r="I463" s="35">
        <v>1294.8</v>
      </c>
      <c r="J463" s="35">
        <v>4.6292863762743286</v>
      </c>
      <c r="K463" s="35">
        <v>9.66</v>
      </c>
      <c r="L463" s="35">
        <v>100.2</v>
      </c>
      <c r="M463" s="35">
        <v>0.74606116774791476</v>
      </c>
      <c r="N463" s="35">
        <v>97.68</v>
      </c>
      <c r="O463" s="35">
        <v>46.108474999999999</v>
      </c>
    </row>
    <row r="464" spans="1:15" x14ac:dyDescent="0.3">
      <c r="A464" s="35" t="s">
        <v>205</v>
      </c>
      <c r="B464" s="35">
        <v>2.9999999999999996</v>
      </c>
      <c r="C464" s="35">
        <v>1700</v>
      </c>
      <c r="D464" s="36" t="s">
        <v>415</v>
      </c>
      <c r="E464" s="36" t="s">
        <v>416</v>
      </c>
      <c r="F464" s="35">
        <v>11.1</v>
      </c>
      <c r="G464" s="35">
        <v>15244</v>
      </c>
      <c r="H464" s="35">
        <v>81.52</v>
      </c>
      <c r="I464" s="35">
        <v>904.8</v>
      </c>
      <c r="J464" s="35">
        <v>6.6246684350132634</v>
      </c>
      <c r="K464" s="35">
        <v>6.7462499999999999</v>
      </c>
      <c r="L464" s="35">
        <v>84.626666666666665</v>
      </c>
      <c r="M464" s="35">
        <v>0.74560676392572944</v>
      </c>
      <c r="N464" s="35">
        <v>97.68</v>
      </c>
      <c r="O464" s="35">
        <v>46.108474999999999</v>
      </c>
    </row>
    <row r="465" spans="1:15" x14ac:dyDescent="0.3">
      <c r="A465" s="35" t="s">
        <v>254</v>
      </c>
      <c r="B465" s="35">
        <v>4</v>
      </c>
      <c r="C465" s="35">
        <v>1080</v>
      </c>
      <c r="D465" s="36" t="s">
        <v>418</v>
      </c>
      <c r="E465" s="36" t="s">
        <v>413</v>
      </c>
      <c r="F465" s="35">
        <v>14.8</v>
      </c>
      <c r="G465" s="35">
        <v>13220</v>
      </c>
      <c r="H465" s="35">
        <v>98.12</v>
      </c>
      <c r="I465" s="35">
        <v>1452.2</v>
      </c>
      <c r="J465" s="35">
        <v>4.0358077399807195</v>
      </c>
      <c r="K465" s="35">
        <v>10.82</v>
      </c>
      <c r="L465" s="35">
        <v>91.8</v>
      </c>
      <c r="M465" s="35">
        <v>0.74507643575265114</v>
      </c>
      <c r="N465" s="35">
        <v>97.68</v>
      </c>
      <c r="O465" s="35">
        <v>46.108474999999999</v>
      </c>
    </row>
    <row r="466" spans="1:15" x14ac:dyDescent="0.3">
      <c r="A466" s="35" t="s">
        <v>242</v>
      </c>
      <c r="B466" s="35">
        <v>5.9999999999999991</v>
      </c>
      <c r="C466" s="35">
        <v>760</v>
      </c>
      <c r="D466" s="36" t="s">
        <v>417</v>
      </c>
      <c r="E466" s="36" t="s">
        <v>414</v>
      </c>
      <c r="F466" s="35">
        <v>22.2</v>
      </c>
      <c r="G466" s="35">
        <v>13630</v>
      </c>
      <c r="H466" s="35">
        <v>54.58</v>
      </c>
      <c r="I466" s="35">
        <v>1211.8</v>
      </c>
      <c r="J466" s="35">
        <v>4.9463607856081868</v>
      </c>
      <c r="K466" s="35">
        <v>9.0239999999999991</v>
      </c>
      <c r="L466" s="35">
        <v>113.5</v>
      </c>
      <c r="M466" s="35">
        <v>0.74467733949496606</v>
      </c>
      <c r="N466" s="35">
        <v>97.68</v>
      </c>
      <c r="O466" s="35">
        <v>46.108474999999999</v>
      </c>
    </row>
    <row r="467" spans="1:15" x14ac:dyDescent="0.3">
      <c r="A467" s="35" t="s">
        <v>167</v>
      </c>
      <c r="B467" s="35">
        <v>2.9999999999999996</v>
      </c>
      <c r="C467" s="35">
        <v>1860</v>
      </c>
      <c r="D467" s="36" t="s">
        <v>414</v>
      </c>
      <c r="E467" s="36">
        <v>4.3</v>
      </c>
      <c r="F467" s="35">
        <v>11.1</v>
      </c>
      <c r="G467" s="35">
        <v>17208</v>
      </c>
      <c r="H467" s="35">
        <v>48.4</v>
      </c>
      <c r="I467" s="35">
        <v>537.20000000000005</v>
      </c>
      <c r="J467" s="35">
        <v>11.157855547282205</v>
      </c>
      <c r="K467" s="35">
        <v>3.9862500000000001</v>
      </c>
      <c r="L467" s="35">
        <v>102.81333333333332</v>
      </c>
      <c r="M467" s="35">
        <v>0.74204206999255395</v>
      </c>
      <c r="N467" s="35">
        <v>97.68</v>
      </c>
      <c r="O467" s="35">
        <v>46.108474999999999</v>
      </c>
    </row>
    <row r="468" spans="1:15" x14ac:dyDescent="0.3">
      <c r="A468" s="35" t="s">
        <v>203</v>
      </c>
      <c r="B468" s="35">
        <v>4</v>
      </c>
      <c r="C468" s="35">
        <v>1400</v>
      </c>
      <c r="D468" s="36" t="s">
        <v>412</v>
      </c>
      <c r="E468" s="36" t="s">
        <v>416</v>
      </c>
      <c r="F468" s="35">
        <v>14.8</v>
      </c>
      <c r="G468" s="35">
        <v>17728</v>
      </c>
      <c r="H468" s="35">
        <v>53.64</v>
      </c>
      <c r="I468" s="35">
        <v>794</v>
      </c>
      <c r="J468" s="35">
        <v>7.3813602015113355</v>
      </c>
      <c r="K468" s="35">
        <v>5.8912500000000003</v>
      </c>
      <c r="L468" s="35">
        <v>98.56</v>
      </c>
      <c r="M468" s="35">
        <v>0.74197103274559195</v>
      </c>
      <c r="N468" s="35">
        <v>97.68</v>
      </c>
      <c r="O468" s="35">
        <v>46.108474999999999</v>
      </c>
    </row>
    <row r="469" spans="1:15" x14ac:dyDescent="0.3">
      <c r="A469" s="35" t="s">
        <v>203</v>
      </c>
      <c r="B469" s="35">
        <v>4</v>
      </c>
      <c r="C469" s="35">
        <v>1400</v>
      </c>
      <c r="D469" s="36" t="s">
        <v>415</v>
      </c>
      <c r="E469" s="36" t="s">
        <v>413</v>
      </c>
      <c r="F469" s="35">
        <v>14.8</v>
      </c>
      <c r="G469" s="35">
        <v>16955</v>
      </c>
      <c r="H469" s="35">
        <v>69.48</v>
      </c>
      <c r="I469" s="35">
        <v>1028.2</v>
      </c>
      <c r="J469" s="35">
        <v>5.7000583544057575</v>
      </c>
      <c r="K469" s="35">
        <v>7.6187500000000004</v>
      </c>
      <c r="L469" s="35">
        <v>117.77333333333333</v>
      </c>
      <c r="M469" s="35">
        <v>0.74097938144329889</v>
      </c>
      <c r="N469" s="35">
        <v>97.68</v>
      </c>
      <c r="O469" s="35">
        <v>46.108474999999999</v>
      </c>
    </row>
    <row r="470" spans="1:15" x14ac:dyDescent="0.3">
      <c r="A470" s="35" t="s">
        <v>217</v>
      </c>
      <c r="B470" s="35">
        <v>4</v>
      </c>
      <c r="C470" s="35">
        <v>1140</v>
      </c>
      <c r="D470" s="36" t="s">
        <v>418</v>
      </c>
      <c r="E470" s="36" t="s">
        <v>413</v>
      </c>
      <c r="F470" s="35">
        <v>14.8</v>
      </c>
      <c r="G470" s="35">
        <v>13937</v>
      </c>
      <c r="H470" s="35">
        <v>96.28</v>
      </c>
      <c r="I470" s="35">
        <v>1425</v>
      </c>
      <c r="J470" s="35">
        <v>4.1128421052631579</v>
      </c>
      <c r="K470" s="35">
        <v>10.5425</v>
      </c>
      <c r="L470" s="35">
        <v>96.8</v>
      </c>
      <c r="M470" s="35">
        <v>0.73982456140350883</v>
      </c>
      <c r="N470" s="35">
        <v>97.68</v>
      </c>
      <c r="O470" s="35">
        <v>46.108474999999999</v>
      </c>
    </row>
    <row r="471" spans="1:15" x14ac:dyDescent="0.3">
      <c r="A471" s="35" t="s">
        <v>277</v>
      </c>
      <c r="B471" s="35">
        <v>2.9999999999999996</v>
      </c>
      <c r="C471" s="35">
        <v>890</v>
      </c>
      <c r="D471" s="36" t="s">
        <v>417</v>
      </c>
      <c r="E471" s="36" t="s">
        <v>417</v>
      </c>
      <c r="F471" s="35">
        <v>11.1</v>
      </c>
      <c r="G471" s="35">
        <v>8479</v>
      </c>
      <c r="H471" s="35">
        <v>52.34</v>
      </c>
      <c r="I471" s="35">
        <v>581</v>
      </c>
      <c r="J471" s="35">
        <v>10.316695352839933</v>
      </c>
      <c r="K471" s="35">
        <v>4.2939999999999996</v>
      </c>
      <c r="L471" s="35">
        <v>106</v>
      </c>
      <c r="M471" s="35">
        <v>0.7390705679862305</v>
      </c>
      <c r="N471" s="35">
        <v>97.68</v>
      </c>
      <c r="O471" s="35">
        <v>46.108474999999999</v>
      </c>
    </row>
    <row r="472" spans="1:15" x14ac:dyDescent="0.3">
      <c r="A472" s="35" t="s">
        <v>231</v>
      </c>
      <c r="B472" s="35">
        <v>2.9999999999999996</v>
      </c>
      <c r="C472" s="35">
        <v>1700</v>
      </c>
      <c r="D472" s="36" t="s">
        <v>412</v>
      </c>
      <c r="E472" s="36" t="s">
        <v>414</v>
      </c>
      <c r="F472" s="35">
        <v>11.1</v>
      </c>
      <c r="G472" s="35">
        <v>14918</v>
      </c>
      <c r="H472" s="35">
        <v>61.22</v>
      </c>
      <c r="I472" s="35">
        <v>679.4</v>
      </c>
      <c r="J472" s="35">
        <v>8.8224904327347673</v>
      </c>
      <c r="K472" s="35">
        <v>5.0199999999999996</v>
      </c>
      <c r="L472" s="35">
        <v>124.4</v>
      </c>
      <c r="M472" s="35">
        <v>0.73888725345893425</v>
      </c>
      <c r="N472" s="35">
        <v>92.5</v>
      </c>
      <c r="O472" s="35">
        <v>46.884502999999995</v>
      </c>
    </row>
    <row r="473" spans="1:15" x14ac:dyDescent="0.3">
      <c r="A473" s="35" t="s">
        <v>213</v>
      </c>
      <c r="B473" s="35">
        <v>5</v>
      </c>
      <c r="C473" s="35">
        <v>840</v>
      </c>
      <c r="D473" s="36" t="s">
        <v>417</v>
      </c>
      <c r="E473" s="36" t="s">
        <v>414</v>
      </c>
      <c r="F473" s="35">
        <v>18.5</v>
      </c>
      <c r="G473" s="35">
        <v>13195</v>
      </c>
      <c r="H473" s="35">
        <v>60.98</v>
      </c>
      <c r="I473" s="35">
        <v>1128</v>
      </c>
      <c r="J473" s="35">
        <v>4.9202127659574471</v>
      </c>
      <c r="K473" s="35">
        <v>8.3337500000000002</v>
      </c>
      <c r="L473" s="35">
        <v>109.99999999999999</v>
      </c>
      <c r="M473" s="35">
        <v>0.73880762411347523</v>
      </c>
      <c r="N473" s="35">
        <v>92.5</v>
      </c>
      <c r="O473" s="35">
        <v>46.884502999999995</v>
      </c>
    </row>
    <row r="474" spans="1:15" x14ac:dyDescent="0.3">
      <c r="A474" s="35" t="s">
        <v>244</v>
      </c>
      <c r="B474" s="35">
        <v>4</v>
      </c>
      <c r="C474" s="35">
        <v>610</v>
      </c>
      <c r="D474" s="36" t="s">
        <v>421</v>
      </c>
      <c r="E474" s="36" t="s">
        <v>418</v>
      </c>
      <c r="F474" s="35">
        <v>14.8</v>
      </c>
      <c r="G474" s="35">
        <v>7253</v>
      </c>
      <c r="H474" s="35">
        <v>94.48</v>
      </c>
      <c r="I474" s="35">
        <v>1398.4</v>
      </c>
      <c r="J474" s="35">
        <v>4.1910755148741421</v>
      </c>
      <c r="K474" s="35">
        <v>10.33</v>
      </c>
      <c r="L474" s="35">
        <v>100.8</v>
      </c>
      <c r="M474" s="35">
        <v>0.73870137299771166</v>
      </c>
      <c r="N474" s="35">
        <v>92.5</v>
      </c>
      <c r="O474" s="35">
        <v>46.884502999999995</v>
      </c>
    </row>
    <row r="475" spans="1:15" x14ac:dyDescent="0.3">
      <c r="A475" s="35" t="s">
        <v>217</v>
      </c>
      <c r="B475" s="35">
        <v>2.9999999999999996</v>
      </c>
      <c r="C475" s="35">
        <v>1140</v>
      </c>
      <c r="D475" s="36" t="s">
        <v>418</v>
      </c>
      <c r="E475" s="36" t="s">
        <v>414</v>
      </c>
      <c r="F475" s="35">
        <v>11.1</v>
      </c>
      <c r="G475" s="35">
        <v>10514</v>
      </c>
      <c r="H475" s="35">
        <v>80.099999999999994</v>
      </c>
      <c r="I475" s="35">
        <v>889.2</v>
      </c>
      <c r="J475" s="35">
        <v>6.7408906882591095</v>
      </c>
      <c r="K475" s="35">
        <v>6.5475000000000003</v>
      </c>
      <c r="L475" s="35">
        <v>87.56</v>
      </c>
      <c r="M475" s="35">
        <v>0.73633603238866396</v>
      </c>
      <c r="N475" s="35">
        <v>92.5</v>
      </c>
      <c r="O475" s="35">
        <v>46.884502999999995</v>
      </c>
    </row>
    <row r="476" spans="1:15" x14ac:dyDescent="0.3">
      <c r="A476" s="35" t="s">
        <v>216</v>
      </c>
      <c r="B476" s="35">
        <v>2.9999999999999996</v>
      </c>
      <c r="C476" s="35">
        <v>970</v>
      </c>
      <c r="D476" s="36" t="s">
        <v>419</v>
      </c>
      <c r="E476" s="36" t="s">
        <v>415</v>
      </c>
      <c r="F476" s="35">
        <v>11.1</v>
      </c>
      <c r="G476" s="35">
        <v>8215</v>
      </c>
      <c r="H476" s="35">
        <v>71.02</v>
      </c>
      <c r="I476" s="35">
        <v>788.2</v>
      </c>
      <c r="J476" s="35">
        <v>7.6046688657701091</v>
      </c>
      <c r="K476" s="35">
        <v>5.7887500000000003</v>
      </c>
      <c r="L476" s="35">
        <v>91.226666666666659</v>
      </c>
      <c r="M476" s="35">
        <v>0.73442654148693221</v>
      </c>
      <c r="N476" s="35">
        <v>92.5</v>
      </c>
      <c r="O476" s="35">
        <v>46.884502999999995</v>
      </c>
    </row>
    <row r="477" spans="1:15" x14ac:dyDescent="0.3">
      <c r="A477" s="35" t="s">
        <v>108</v>
      </c>
      <c r="B477" s="35">
        <v>5.9999999999999991</v>
      </c>
      <c r="C477" s="35">
        <v>310</v>
      </c>
      <c r="D477" s="36" t="s">
        <v>422</v>
      </c>
      <c r="E477" s="36" t="s">
        <v>420</v>
      </c>
      <c r="F477" s="35">
        <v>22.2</v>
      </c>
      <c r="G477" s="35">
        <v>6331</v>
      </c>
      <c r="H477" s="35">
        <v>57.2</v>
      </c>
      <c r="I477" s="35">
        <v>1270</v>
      </c>
      <c r="J477" s="35">
        <v>4.7196850393700789</v>
      </c>
      <c r="K477" s="35">
        <v>9.2862500000000008</v>
      </c>
      <c r="L477" s="35">
        <v>105.45333333333333</v>
      </c>
      <c r="M477" s="35">
        <v>0.73120078740157479</v>
      </c>
      <c r="N477" s="35">
        <v>92.5</v>
      </c>
      <c r="O477" s="35">
        <v>46.884502999999995</v>
      </c>
    </row>
    <row r="478" spans="1:15" x14ac:dyDescent="0.3">
      <c r="A478" s="35" t="s">
        <v>254</v>
      </c>
      <c r="B478" s="35">
        <v>2.9999999999999996</v>
      </c>
      <c r="C478" s="35">
        <v>1080</v>
      </c>
      <c r="D478" s="36" t="s">
        <v>417</v>
      </c>
      <c r="E478" s="36">
        <v>7.5</v>
      </c>
      <c r="F478" s="35">
        <v>11.1</v>
      </c>
      <c r="G478" s="35">
        <v>10190</v>
      </c>
      <c r="H478" s="35">
        <v>72.56</v>
      </c>
      <c r="I478" s="35">
        <v>805.4</v>
      </c>
      <c r="J478" s="35">
        <v>7.4422647131859954</v>
      </c>
      <c r="K478" s="35">
        <v>5.8879999999999999</v>
      </c>
      <c r="L478" s="35">
        <v>106.2</v>
      </c>
      <c r="M478" s="35">
        <v>0.73106530916314871</v>
      </c>
      <c r="N478" s="35">
        <v>92.5</v>
      </c>
      <c r="O478" s="35">
        <v>46.884502999999995</v>
      </c>
    </row>
    <row r="479" spans="1:15" x14ac:dyDescent="0.3">
      <c r="A479" s="35" t="s">
        <v>201</v>
      </c>
      <c r="B479" s="35">
        <v>5</v>
      </c>
      <c r="C479" s="35">
        <v>1050</v>
      </c>
      <c r="D479" s="36" t="s">
        <v>412</v>
      </c>
      <c r="E479" s="36" t="s">
        <v>416</v>
      </c>
      <c r="F479" s="35">
        <v>18.5</v>
      </c>
      <c r="G479" s="35">
        <v>17904</v>
      </c>
      <c r="H479" s="35">
        <v>47.72</v>
      </c>
      <c r="I479" s="35">
        <v>883</v>
      </c>
      <c r="J479" s="35">
        <v>6.2853907134767839</v>
      </c>
      <c r="K479" s="35">
        <v>6.4550000000000001</v>
      </c>
      <c r="L479" s="35">
        <v>99.439999999999984</v>
      </c>
      <c r="M479" s="35">
        <v>0.73103057757644396</v>
      </c>
      <c r="N479" s="35">
        <v>92.5</v>
      </c>
      <c r="O479" s="35">
        <v>46.884502999999995</v>
      </c>
    </row>
    <row r="480" spans="1:15" x14ac:dyDescent="0.3">
      <c r="A480" s="35" t="s">
        <v>92</v>
      </c>
      <c r="B480" s="35">
        <v>5.9999999999999991</v>
      </c>
      <c r="C480" s="35">
        <v>420</v>
      </c>
      <c r="D480" s="36" t="s">
        <v>420</v>
      </c>
      <c r="E480" s="36" t="s">
        <v>418</v>
      </c>
      <c r="F480" s="35">
        <v>22.2</v>
      </c>
      <c r="G480" s="35">
        <v>8520</v>
      </c>
      <c r="H480" s="35">
        <v>65.58</v>
      </c>
      <c r="I480" s="35">
        <v>1455.6</v>
      </c>
      <c r="J480" s="35">
        <v>4.117889530090685</v>
      </c>
      <c r="K480" s="35">
        <v>10.635</v>
      </c>
      <c r="L480" s="35">
        <v>118.36</v>
      </c>
      <c r="M480" s="35">
        <v>0.73062654575432817</v>
      </c>
      <c r="N480" s="35">
        <v>92.5</v>
      </c>
      <c r="O480" s="35">
        <v>46.884502999999995</v>
      </c>
    </row>
    <row r="481" spans="1:15" x14ac:dyDescent="0.3">
      <c r="A481" s="35" t="s">
        <v>242</v>
      </c>
      <c r="B481" s="35">
        <v>4</v>
      </c>
      <c r="C481" s="35">
        <v>760</v>
      </c>
      <c r="D481" s="36" t="s">
        <v>417</v>
      </c>
      <c r="E481" s="36" t="s">
        <v>417</v>
      </c>
      <c r="F481" s="35">
        <v>14.8</v>
      </c>
      <c r="G481" s="35">
        <v>8959</v>
      </c>
      <c r="H481" s="35">
        <v>46.34</v>
      </c>
      <c r="I481" s="35">
        <v>685.8</v>
      </c>
      <c r="J481" s="35">
        <v>8.5459317585301839</v>
      </c>
      <c r="K481" s="35">
        <v>4.984</v>
      </c>
      <c r="L481" s="35">
        <v>112.1</v>
      </c>
      <c r="M481" s="35">
        <v>0.72674249052201811</v>
      </c>
      <c r="N481" s="35">
        <v>92.5</v>
      </c>
      <c r="O481" s="35">
        <v>46.884502999999995</v>
      </c>
    </row>
    <row r="482" spans="1:15" x14ac:dyDescent="0.3">
      <c r="A482" s="35" t="s">
        <v>216</v>
      </c>
      <c r="B482" s="35">
        <v>5</v>
      </c>
      <c r="C482" s="35">
        <v>970</v>
      </c>
      <c r="D482" s="36" t="s">
        <v>415</v>
      </c>
      <c r="E482" s="36" t="s">
        <v>414</v>
      </c>
      <c r="F482" s="35">
        <v>18.5</v>
      </c>
      <c r="G482" s="35">
        <v>14989</v>
      </c>
      <c r="H482" s="35">
        <v>69.88</v>
      </c>
      <c r="I482" s="35">
        <v>1292.8</v>
      </c>
      <c r="J482" s="35">
        <v>4.2930074257425748</v>
      </c>
      <c r="K482" s="35">
        <v>9.3874999999999993</v>
      </c>
      <c r="L482" s="35">
        <v>124.96</v>
      </c>
      <c r="M482" s="35">
        <v>0.72613706683168311</v>
      </c>
      <c r="N482" s="35">
        <v>92.5</v>
      </c>
      <c r="O482" s="35">
        <v>46.884502999999995</v>
      </c>
    </row>
    <row r="483" spans="1:15" x14ac:dyDescent="0.3">
      <c r="A483" s="35" t="s">
        <v>253</v>
      </c>
      <c r="B483" s="35">
        <v>2.9999999999999996</v>
      </c>
      <c r="C483" s="35">
        <v>1950</v>
      </c>
      <c r="D483" s="36" t="s">
        <v>412</v>
      </c>
      <c r="E483" s="36" t="s">
        <v>416</v>
      </c>
      <c r="F483" s="35">
        <v>11.1</v>
      </c>
      <c r="G483" s="35">
        <v>18631</v>
      </c>
      <c r="H483" s="35">
        <v>85.16</v>
      </c>
      <c r="I483" s="35">
        <v>945.4</v>
      </c>
      <c r="J483" s="35">
        <v>6.3401734715464357</v>
      </c>
      <c r="K483" s="35">
        <v>6.8639999999999999</v>
      </c>
      <c r="L483" s="35">
        <v>103.5</v>
      </c>
      <c r="M483" s="35">
        <v>0.72604188703194417</v>
      </c>
      <c r="N483" s="35">
        <v>92.5</v>
      </c>
      <c r="O483" s="35">
        <v>46.884502999999995</v>
      </c>
    </row>
    <row r="484" spans="1:15" x14ac:dyDescent="0.3">
      <c r="A484" s="35" t="s">
        <v>253</v>
      </c>
      <c r="B484" s="35">
        <v>4</v>
      </c>
      <c r="C484" s="35">
        <v>1300</v>
      </c>
      <c r="D484" s="36" t="s">
        <v>415</v>
      </c>
      <c r="E484" s="36" t="s">
        <v>416</v>
      </c>
      <c r="F484" s="35">
        <v>14.8</v>
      </c>
      <c r="G484" s="35">
        <v>16341</v>
      </c>
      <c r="H484" s="35">
        <v>73.12</v>
      </c>
      <c r="I484" s="35">
        <v>1082.2</v>
      </c>
      <c r="J484" s="35">
        <v>5.415634817963408</v>
      </c>
      <c r="K484" s="35">
        <v>7.8479999999999999</v>
      </c>
      <c r="L484" s="35">
        <v>90.8</v>
      </c>
      <c r="M484" s="35">
        <v>0.72518942894104599</v>
      </c>
      <c r="N484" s="35">
        <v>92.5</v>
      </c>
      <c r="O484" s="35">
        <v>46.884502999999995</v>
      </c>
    </row>
    <row r="485" spans="1:15" x14ac:dyDescent="0.3">
      <c r="A485" s="35" t="s">
        <v>206</v>
      </c>
      <c r="B485" s="35">
        <v>2.9999999999999996</v>
      </c>
      <c r="C485" s="35">
        <v>2100</v>
      </c>
      <c r="D485" s="36" t="s">
        <v>414</v>
      </c>
      <c r="E485" s="36" t="s">
        <v>416</v>
      </c>
      <c r="F485" s="35">
        <v>11.1</v>
      </c>
      <c r="G485" s="35">
        <v>20127</v>
      </c>
      <c r="H485" s="35">
        <v>55.82</v>
      </c>
      <c r="I485" s="35">
        <v>619.6</v>
      </c>
      <c r="J485" s="35">
        <v>9.6739832149774045</v>
      </c>
      <c r="K485" s="35">
        <v>4.4800000000000004</v>
      </c>
      <c r="L485" s="35">
        <v>111.75999999999999</v>
      </c>
      <c r="M485" s="35">
        <v>0.72304712717882513</v>
      </c>
      <c r="N485" s="35">
        <v>92.5</v>
      </c>
      <c r="O485" s="35">
        <v>46.884502999999995</v>
      </c>
    </row>
    <row r="486" spans="1:15" x14ac:dyDescent="0.3">
      <c r="A486" s="35" t="s">
        <v>213</v>
      </c>
      <c r="B486" s="35">
        <v>5</v>
      </c>
      <c r="C486" s="35">
        <v>840</v>
      </c>
      <c r="D486" s="36" t="s">
        <v>415</v>
      </c>
      <c r="E486" s="36" t="s">
        <v>414</v>
      </c>
      <c r="F486" s="35">
        <v>18.5</v>
      </c>
      <c r="G486" s="35">
        <v>13585</v>
      </c>
      <c r="H486" s="35">
        <v>52.08</v>
      </c>
      <c r="I486" s="35">
        <v>963.6</v>
      </c>
      <c r="J486" s="35">
        <v>5.7596513075965134</v>
      </c>
      <c r="K486" s="35">
        <v>6.9625000000000004</v>
      </c>
      <c r="L486" s="35">
        <v>113.22666666666666</v>
      </c>
      <c r="M486" s="35">
        <v>0.72255085097550853</v>
      </c>
      <c r="N486" s="35">
        <v>92.5</v>
      </c>
      <c r="O486" s="35">
        <v>46.884502999999995</v>
      </c>
    </row>
    <row r="487" spans="1:15" x14ac:dyDescent="0.3">
      <c r="A487" s="35" t="s">
        <v>201</v>
      </c>
      <c r="B487" s="35">
        <v>4</v>
      </c>
      <c r="C487" s="35">
        <v>1050</v>
      </c>
      <c r="D487" s="36" t="s">
        <v>412</v>
      </c>
      <c r="E487" s="36" t="s">
        <v>413</v>
      </c>
      <c r="F487" s="35">
        <v>14.8</v>
      </c>
      <c r="G487" s="35">
        <v>14634</v>
      </c>
      <c r="H487" s="35">
        <v>40.14</v>
      </c>
      <c r="I487" s="35">
        <v>594</v>
      </c>
      <c r="J487" s="35">
        <v>9.8666666666666671</v>
      </c>
      <c r="K487" s="35">
        <v>4.29</v>
      </c>
      <c r="L487" s="35">
        <v>101.63999999999999</v>
      </c>
      <c r="M487" s="35">
        <v>0.72222222222222221</v>
      </c>
      <c r="N487" s="35">
        <v>92.5</v>
      </c>
      <c r="O487" s="35">
        <v>46.884502999999995</v>
      </c>
    </row>
    <row r="488" spans="1:15" x14ac:dyDescent="0.3">
      <c r="A488" s="35" t="s">
        <v>241</v>
      </c>
      <c r="B488" s="35">
        <v>5</v>
      </c>
      <c r="C488" s="35">
        <v>840</v>
      </c>
      <c r="D488" s="36" t="s">
        <v>415</v>
      </c>
      <c r="E488" s="36" t="s">
        <v>414</v>
      </c>
      <c r="F488" s="35">
        <v>18.5</v>
      </c>
      <c r="G488" s="35">
        <v>12600</v>
      </c>
      <c r="H488" s="35">
        <v>46.7</v>
      </c>
      <c r="I488" s="35">
        <v>864</v>
      </c>
      <c r="J488" s="35">
        <v>6.4236111111111116</v>
      </c>
      <c r="K488" s="35">
        <v>6.2320000000000002</v>
      </c>
      <c r="L488" s="35">
        <v>105</v>
      </c>
      <c r="M488" s="35">
        <v>0.72129629629629632</v>
      </c>
      <c r="N488" s="35">
        <v>92.5</v>
      </c>
      <c r="O488" s="35">
        <v>46.884502999999995</v>
      </c>
    </row>
    <row r="489" spans="1:15" x14ac:dyDescent="0.3">
      <c r="A489" s="35" t="s">
        <v>254</v>
      </c>
      <c r="B489" s="35">
        <v>4</v>
      </c>
      <c r="C489" s="35">
        <v>1080</v>
      </c>
      <c r="D489" s="36" t="s">
        <v>417</v>
      </c>
      <c r="E489" s="36" t="s">
        <v>414</v>
      </c>
      <c r="F489" s="35">
        <v>14.8</v>
      </c>
      <c r="G489" s="35">
        <v>13702</v>
      </c>
      <c r="H489" s="35">
        <v>81.680000000000007</v>
      </c>
      <c r="I489" s="35">
        <v>1209</v>
      </c>
      <c r="J489" s="35">
        <v>4.847642679900745</v>
      </c>
      <c r="K489" s="35">
        <v>8.7200000000000006</v>
      </c>
      <c r="L489" s="35">
        <v>114.3</v>
      </c>
      <c r="M489" s="35">
        <v>0.72125723738626968</v>
      </c>
      <c r="N489" s="35">
        <v>99.9</v>
      </c>
      <c r="O489" s="35">
        <v>51.293752999999995</v>
      </c>
    </row>
    <row r="490" spans="1:15" x14ac:dyDescent="0.3">
      <c r="A490" s="35" t="s">
        <v>212</v>
      </c>
      <c r="B490" s="35">
        <v>2.9999999999999996</v>
      </c>
      <c r="C490" s="35">
        <v>1460</v>
      </c>
      <c r="D490" s="36" t="s">
        <v>415</v>
      </c>
      <c r="E490" s="36" t="s">
        <v>414</v>
      </c>
      <c r="F490" s="35">
        <v>11.1</v>
      </c>
      <c r="G490" s="35">
        <v>13209</v>
      </c>
      <c r="H490" s="35">
        <v>83.02</v>
      </c>
      <c r="I490" s="35">
        <v>921.6</v>
      </c>
      <c r="J490" s="35">
        <v>6.50390625</v>
      </c>
      <c r="K490" s="35">
        <v>6.64</v>
      </c>
      <c r="L490" s="35">
        <v>110.14666666666665</v>
      </c>
      <c r="M490" s="35">
        <v>0.72048611111111105</v>
      </c>
      <c r="N490" s="35">
        <v>99.9</v>
      </c>
      <c r="O490" s="35">
        <v>51.293752999999995</v>
      </c>
    </row>
    <row r="491" spans="1:15" x14ac:dyDescent="0.3">
      <c r="A491" s="35" t="s">
        <v>241</v>
      </c>
      <c r="B491" s="35">
        <v>5.9999999999999991</v>
      </c>
      <c r="C491" s="35">
        <v>840</v>
      </c>
      <c r="D491" s="36" t="s">
        <v>412</v>
      </c>
      <c r="E491" s="36" t="s">
        <v>414</v>
      </c>
      <c r="F491" s="35">
        <v>22.2</v>
      </c>
      <c r="G491" s="35">
        <v>15948</v>
      </c>
      <c r="H491" s="35">
        <v>36.18</v>
      </c>
      <c r="I491" s="35">
        <v>803</v>
      </c>
      <c r="J491" s="35">
        <v>7.4645080946450815</v>
      </c>
      <c r="K491" s="35">
        <v>5.782</v>
      </c>
      <c r="L491" s="35">
        <v>132.9</v>
      </c>
      <c r="M491" s="35">
        <v>0.7200498132004981</v>
      </c>
      <c r="N491" s="35">
        <v>99.9</v>
      </c>
      <c r="O491" s="35">
        <v>51.293752999999995</v>
      </c>
    </row>
    <row r="492" spans="1:15" x14ac:dyDescent="0.3">
      <c r="A492" s="35" t="s">
        <v>231</v>
      </c>
      <c r="B492" s="35">
        <v>2.9999999999999996</v>
      </c>
      <c r="C492" s="35">
        <v>1700</v>
      </c>
      <c r="D492" s="36" t="s">
        <v>412</v>
      </c>
      <c r="E492" s="36" t="s">
        <v>413</v>
      </c>
      <c r="F492" s="35">
        <v>11.1</v>
      </c>
      <c r="G492" s="35">
        <v>15038</v>
      </c>
      <c r="H492" s="35">
        <v>59.1</v>
      </c>
      <c r="I492" s="35">
        <v>656</v>
      </c>
      <c r="J492" s="35">
        <v>9.1371951219512191</v>
      </c>
      <c r="K492" s="35">
        <v>4.71</v>
      </c>
      <c r="L492" s="35">
        <v>104.4</v>
      </c>
      <c r="M492" s="35">
        <v>0.71798780487804881</v>
      </c>
      <c r="N492" s="35">
        <v>99.9</v>
      </c>
      <c r="O492" s="35">
        <v>51.293752999999995</v>
      </c>
    </row>
    <row r="493" spans="1:15" x14ac:dyDescent="0.3">
      <c r="A493" s="35" t="s">
        <v>201</v>
      </c>
      <c r="B493" s="35">
        <v>5</v>
      </c>
      <c r="C493" s="35">
        <v>1050</v>
      </c>
      <c r="D493" s="36" t="s">
        <v>415</v>
      </c>
      <c r="E493" s="36" t="s">
        <v>413</v>
      </c>
      <c r="F493" s="35">
        <v>18.5</v>
      </c>
      <c r="G493" s="35">
        <v>17215</v>
      </c>
      <c r="H493" s="35">
        <v>59.8</v>
      </c>
      <c r="I493" s="35">
        <v>1106.4000000000001</v>
      </c>
      <c r="J493" s="35">
        <v>5.0162689804772231</v>
      </c>
      <c r="K493" s="35">
        <v>7.9325000000000001</v>
      </c>
      <c r="L493" s="35">
        <v>119.53333333333333</v>
      </c>
      <c r="M493" s="35">
        <v>0.71696493130874905</v>
      </c>
      <c r="N493" s="35">
        <v>99.9</v>
      </c>
      <c r="O493" s="35">
        <v>51.293752999999995</v>
      </c>
    </row>
    <row r="494" spans="1:15" x14ac:dyDescent="0.3">
      <c r="A494" s="35" t="s">
        <v>201</v>
      </c>
      <c r="B494" s="35">
        <v>2.9999999999999996</v>
      </c>
      <c r="C494" s="35">
        <v>1050</v>
      </c>
      <c r="D494" s="36" t="s">
        <v>415</v>
      </c>
      <c r="E494" s="36" t="s">
        <v>415</v>
      </c>
      <c r="F494" s="35">
        <v>11.1</v>
      </c>
      <c r="G494" s="35">
        <v>10340</v>
      </c>
      <c r="H494" s="35">
        <v>50.16</v>
      </c>
      <c r="I494" s="35">
        <v>556.79999999999995</v>
      </c>
      <c r="J494" s="35">
        <v>10.765086206896553</v>
      </c>
      <c r="K494" s="35">
        <v>3.9862500000000001</v>
      </c>
      <c r="L494" s="35">
        <v>114.83999999999999</v>
      </c>
      <c r="M494" s="35">
        <v>0.71592133620689657</v>
      </c>
      <c r="N494" s="35">
        <v>99.9</v>
      </c>
      <c r="O494" s="35">
        <v>51.293752999999995</v>
      </c>
    </row>
    <row r="495" spans="1:15" x14ac:dyDescent="0.3">
      <c r="A495" s="35" t="s">
        <v>244</v>
      </c>
      <c r="B495" s="35">
        <v>5.9999999999999991</v>
      </c>
      <c r="C495" s="35">
        <v>610</v>
      </c>
      <c r="D495" s="36" t="s">
        <v>418</v>
      </c>
      <c r="E495" s="36" t="s">
        <v>412</v>
      </c>
      <c r="F495" s="35">
        <v>22.2</v>
      </c>
      <c r="G495" s="35">
        <v>11893</v>
      </c>
      <c r="H495" s="35">
        <v>67</v>
      </c>
      <c r="I495" s="35">
        <v>1487.4</v>
      </c>
      <c r="J495" s="35">
        <v>4.0298507462686564</v>
      </c>
      <c r="K495" s="35">
        <v>10.648</v>
      </c>
      <c r="L495" s="35">
        <v>115.6</v>
      </c>
      <c r="M495" s="35">
        <v>0.71588005916364117</v>
      </c>
      <c r="N495" s="35">
        <v>99.9</v>
      </c>
      <c r="O495" s="35">
        <v>51.293752999999995</v>
      </c>
    </row>
    <row r="496" spans="1:15" x14ac:dyDescent="0.3">
      <c r="A496" s="35" t="s">
        <v>203</v>
      </c>
      <c r="B496" s="35">
        <v>2.9999999999999996</v>
      </c>
      <c r="C496" s="35">
        <v>1400</v>
      </c>
      <c r="D496" s="36">
        <v>7.5</v>
      </c>
      <c r="E496" s="36" t="s">
        <v>416</v>
      </c>
      <c r="F496" s="35">
        <v>11.1</v>
      </c>
      <c r="G496" s="35">
        <v>12475</v>
      </c>
      <c r="H496" s="35">
        <v>64.34</v>
      </c>
      <c r="I496" s="35">
        <v>714</v>
      </c>
      <c r="J496" s="35">
        <v>8.3949579831932777</v>
      </c>
      <c r="K496" s="35">
        <v>5.1062500000000002</v>
      </c>
      <c r="L496" s="35">
        <v>69.373333333333321</v>
      </c>
      <c r="M496" s="35">
        <v>0.71516106442577032</v>
      </c>
      <c r="N496" s="35">
        <v>99.9</v>
      </c>
      <c r="O496" s="35">
        <v>51.293752999999995</v>
      </c>
    </row>
    <row r="497" spans="1:15" x14ac:dyDescent="0.3">
      <c r="A497" s="35" t="s">
        <v>243</v>
      </c>
      <c r="B497" s="35">
        <v>5.9999999999999991</v>
      </c>
      <c r="C497" s="35">
        <v>650</v>
      </c>
      <c r="D497" s="36" t="s">
        <v>418</v>
      </c>
      <c r="E497" s="36" t="s">
        <v>412</v>
      </c>
      <c r="F497" s="35">
        <v>22.2</v>
      </c>
      <c r="G497" s="35">
        <v>11816</v>
      </c>
      <c r="H497" s="35">
        <v>65.680000000000007</v>
      </c>
      <c r="I497" s="35">
        <v>1458</v>
      </c>
      <c r="J497" s="35">
        <v>4.1111111111111116</v>
      </c>
      <c r="K497" s="35">
        <v>10.423999999999999</v>
      </c>
      <c r="L497" s="35">
        <v>114.8</v>
      </c>
      <c r="M497" s="35">
        <v>0.71495198902606305</v>
      </c>
      <c r="N497" s="35">
        <v>99.9</v>
      </c>
      <c r="O497" s="35">
        <v>51.293752999999995</v>
      </c>
    </row>
    <row r="498" spans="1:15" x14ac:dyDescent="0.3">
      <c r="A498" s="35" t="s">
        <v>209</v>
      </c>
      <c r="B498" s="35">
        <v>2.9999999999999996</v>
      </c>
      <c r="C498" s="35">
        <v>1170</v>
      </c>
      <c r="D498" s="36" t="s">
        <v>418</v>
      </c>
      <c r="E498" s="36" t="s">
        <v>414</v>
      </c>
      <c r="F498" s="35">
        <v>11.1</v>
      </c>
      <c r="G498" s="35">
        <v>10447</v>
      </c>
      <c r="H498" s="35">
        <v>80.98</v>
      </c>
      <c r="I498" s="35">
        <v>898.8</v>
      </c>
      <c r="J498" s="35">
        <v>6.6688918558077441</v>
      </c>
      <c r="K498" s="35">
        <v>6.42</v>
      </c>
      <c r="L498" s="35">
        <v>87.11999999999999</v>
      </c>
      <c r="M498" s="35">
        <v>0.7142857142857143</v>
      </c>
      <c r="N498" s="35">
        <v>99.9</v>
      </c>
      <c r="O498" s="35">
        <v>51.293752999999995</v>
      </c>
    </row>
    <row r="499" spans="1:15" x14ac:dyDescent="0.3">
      <c r="A499" s="35" t="s">
        <v>207</v>
      </c>
      <c r="B499" s="35">
        <v>5</v>
      </c>
      <c r="C499" s="35">
        <v>850</v>
      </c>
      <c r="D499" s="36" t="s">
        <v>412</v>
      </c>
      <c r="E499" s="36" t="s">
        <v>413</v>
      </c>
      <c r="F499" s="35">
        <v>18.5</v>
      </c>
      <c r="G499" s="35">
        <v>15195</v>
      </c>
      <c r="H499" s="35">
        <v>35.299999999999997</v>
      </c>
      <c r="I499" s="35">
        <v>653.20000000000005</v>
      </c>
      <c r="J499" s="35">
        <v>8.4966319657072873</v>
      </c>
      <c r="K499" s="35">
        <v>4.63375</v>
      </c>
      <c r="L499" s="35">
        <v>105.45333333333333</v>
      </c>
      <c r="M499" s="35">
        <v>0.70939222290263315</v>
      </c>
      <c r="N499" s="35">
        <v>99.9</v>
      </c>
      <c r="O499" s="35">
        <v>51.293752999999995</v>
      </c>
    </row>
    <row r="500" spans="1:15" x14ac:dyDescent="0.3">
      <c r="A500" s="35" t="s">
        <v>209</v>
      </c>
      <c r="B500" s="35">
        <v>2.9999999999999996</v>
      </c>
      <c r="C500" s="35">
        <v>1170</v>
      </c>
      <c r="D500" s="36" t="s">
        <v>418</v>
      </c>
      <c r="E500" s="36" t="s">
        <v>415</v>
      </c>
      <c r="F500" s="35">
        <v>11.1</v>
      </c>
      <c r="G500" s="35">
        <v>9794</v>
      </c>
      <c r="H500" s="35">
        <v>94.86</v>
      </c>
      <c r="I500" s="35">
        <v>1053</v>
      </c>
      <c r="J500" s="35">
        <v>5.6923076923076925</v>
      </c>
      <c r="K500" s="35">
        <v>7.4649999999999999</v>
      </c>
      <c r="L500" s="35">
        <v>108.82666666666667</v>
      </c>
      <c r="M500" s="35">
        <v>0.70892687559354228</v>
      </c>
      <c r="N500" s="35">
        <v>99.9</v>
      </c>
      <c r="O500" s="35">
        <v>51.293752999999995</v>
      </c>
    </row>
    <row r="501" spans="1:15" x14ac:dyDescent="0.3">
      <c r="A501" s="35" t="s">
        <v>92</v>
      </c>
      <c r="B501" s="35">
        <v>5.9999999999999991</v>
      </c>
      <c r="C501" s="35">
        <v>420</v>
      </c>
      <c r="D501" s="36" t="s">
        <v>420</v>
      </c>
      <c r="E501" s="36" t="s">
        <v>415</v>
      </c>
      <c r="F501" s="35">
        <v>22.2</v>
      </c>
      <c r="G501" s="35">
        <v>8675</v>
      </c>
      <c r="H501" s="35">
        <v>55.1</v>
      </c>
      <c r="I501" s="35">
        <v>1223</v>
      </c>
      <c r="J501" s="35">
        <v>4.9010629599345874</v>
      </c>
      <c r="K501" s="35">
        <v>8.6687499999999993</v>
      </c>
      <c r="L501" s="35">
        <v>96.36</v>
      </c>
      <c r="M501" s="35">
        <v>0.70881030253475052</v>
      </c>
      <c r="N501" s="35">
        <v>99.9</v>
      </c>
      <c r="O501" s="35">
        <v>51.293752999999995</v>
      </c>
    </row>
    <row r="502" spans="1:15" x14ac:dyDescent="0.3">
      <c r="A502" s="35" t="s">
        <v>213</v>
      </c>
      <c r="B502" s="35">
        <v>5.9999999999999991</v>
      </c>
      <c r="C502" s="35">
        <v>840</v>
      </c>
      <c r="D502" s="36" t="s">
        <v>415</v>
      </c>
      <c r="E502" s="36" t="s">
        <v>416</v>
      </c>
      <c r="F502" s="35">
        <v>22.2</v>
      </c>
      <c r="G502" s="35">
        <v>16515</v>
      </c>
      <c r="H502" s="35">
        <v>51.48</v>
      </c>
      <c r="I502" s="35">
        <v>1142.8</v>
      </c>
      <c r="J502" s="35">
        <v>5.2450122506125316</v>
      </c>
      <c r="K502" s="35">
        <v>8.0950000000000006</v>
      </c>
      <c r="L502" s="35">
        <v>91.813333333333333</v>
      </c>
      <c r="M502" s="35">
        <v>0.70834791739586989</v>
      </c>
      <c r="N502" s="35">
        <v>99.9</v>
      </c>
      <c r="O502" s="35">
        <v>51.293752999999995</v>
      </c>
    </row>
    <row r="503" spans="1:15" x14ac:dyDescent="0.3">
      <c r="A503" s="35" t="s">
        <v>201</v>
      </c>
      <c r="B503" s="35">
        <v>5</v>
      </c>
      <c r="C503" s="35">
        <v>1050</v>
      </c>
      <c r="D503" s="36" t="s">
        <v>412</v>
      </c>
      <c r="E503" s="36" t="s">
        <v>416</v>
      </c>
      <c r="F503" s="35">
        <v>18.5</v>
      </c>
      <c r="G503" s="35">
        <v>18001</v>
      </c>
      <c r="H503" s="35">
        <v>46.12</v>
      </c>
      <c r="I503" s="35">
        <v>853.2</v>
      </c>
      <c r="J503" s="35">
        <v>6.50492264416315</v>
      </c>
      <c r="K503" s="35">
        <v>6.0274999999999999</v>
      </c>
      <c r="L503" s="35">
        <v>100.02666666666667</v>
      </c>
      <c r="M503" s="35">
        <v>0.70645804031879977</v>
      </c>
      <c r="N503" s="35">
        <v>99.9</v>
      </c>
      <c r="O503" s="35">
        <v>51.293752999999995</v>
      </c>
    </row>
    <row r="504" spans="1:15" x14ac:dyDescent="0.3">
      <c r="A504" s="35" t="s">
        <v>232</v>
      </c>
      <c r="B504" s="35">
        <v>2.9999999999999996</v>
      </c>
      <c r="C504" s="35">
        <v>1450</v>
      </c>
      <c r="D504" s="36" t="s">
        <v>412</v>
      </c>
      <c r="E504" s="36" t="s">
        <v>414</v>
      </c>
      <c r="F504" s="35">
        <v>11.1</v>
      </c>
      <c r="G504" s="35">
        <v>15275</v>
      </c>
      <c r="H504" s="35">
        <v>66.08</v>
      </c>
      <c r="I504" s="35">
        <v>733.6</v>
      </c>
      <c r="J504" s="35">
        <v>8.1706652126499453</v>
      </c>
      <c r="K504" s="35">
        <v>5.1740000000000004</v>
      </c>
      <c r="L504" s="35">
        <v>127.3</v>
      </c>
      <c r="M504" s="35">
        <v>0.70528898582333699</v>
      </c>
      <c r="N504" s="35">
        <v>99.9</v>
      </c>
      <c r="O504" s="35">
        <v>51.293752999999995</v>
      </c>
    </row>
    <row r="505" spans="1:15" x14ac:dyDescent="0.3">
      <c r="A505" s="35" t="s">
        <v>97</v>
      </c>
      <c r="B505" s="35">
        <v>5</v>
      </c>
      <c r="C505" s="35">
        <v>520</v>
      </c>
      <c r="D505" s="36" t="s">
        <v>420</v>
      </c>
      <c r="E505" s="36" t="s">
        <v>415</v>
      </c>
      <c r="F505" s="35">
        <v>18.5</v>
      </c>
      <c r="G505" s="35">
        <v>8656</v>
      </c>
      <c r="H505" s="35">
        <v>66.7</v>
      </c>
      <c r="I505" s="35">
        <v>1234</v>
      </c>
      <c r="J505" s="35">
        <v>4.4975688816855754</v>
      </c>
      <c r="K505" s="35">
        <v>8.6549999999999994</v>
      </c>
      <c r="L505" s="35">
        <v>96.213333333333324</v>
      </c>
      <c r="M505" s="35">
        <v>0.70137763371150719</v>
      </c>
      <c r="N505" s="35">
        <v>97.68</v>
      </c>
      <c r="O505" s="35">
        <v>46.108474999999999</v>
      </c>
    </row>
    <row r="506" spans="1:15" x14ac:dyDescent="0.3">
      <c r="A506" s="35" t="s">
        <v>92</v>
      </c>
      <c r="B506" s="35">
        <v>5</v>
      </c>
      <c r="C506" s="35">
        <v>420</v>
      </c>
      <c r="D506" s="36" t="s">
        <v>420</v>
      </c>
      <c r="E506" s="36" t="s">
        <v>420</v>
      </c>
      <c r="F506" s="35">
        <v>18.5</v>
      </c>
      <c r="G506" s="35">
        <v>7184</v>
      </c>
      <c r="H506" s="35">
        <v>54.96</v>
      </c>
      <c r="I506" s="35">
        <v>1016.6</v>
      </c>
      <c r="J506" s="35">
        <v>5.4593743852055869</v>
      </c>
      <c r="K506" s="35">
        <v>7.11625</v>
      </c>
      <c r="L506" s="35">
        <v>119.67999999999998</v>
      </c>
      <c r="M506" s="35">
        <v>0.70000491835530199</v>
      </c>
      <c r="N506" s="35">
        <v>97.68</v>
      </c>
      <c r="O506" s="35">
        <v>46.108474999999999</v>
      </c>
    </row>
    <row r="507" spans="1:15" x14ac:dyDescent="0.3">
      <c r="A507" s="35" t="s">
        <v>232</v>
      </c>
      <c r="B507" s="35">
        <v>2.9999999999999996</v>
      </c>
      <c r="C507" s="35">
        <v>1450</v>
      </c>
      <c r="D507" s="36" t="s">
        <v>412</v>
      </c>
      <c r="E507" s="36" t="s">
        <v>413</v>
      </c>
      <c r="F507" s="35">
        <v>11.1</v>
      </c>
      <c r="G507" s="35">
        <v>15316</v>
      </c>
      <c r="H507" s="35">
        <v>62.2</v>
      </c>
      <c r="I507" s="35">
        <v>690.4</v>
      </c>
      <c r="J507" s="35">
        <v>8.6819235225955964</v>
      </c>
      <c r="K507" s="35">
        <v>4.8159999999999998</v>
      </c>
      <c r="L507" s="35">
        <v>106.3</v>
      </c>
      <c r="M507" s="35">
        <v>0.69756662804171499</v>
      </c>
      <c r="N507" s="35">
        <v>97.68</v>
      </c>
      <c r="O507" s="35">
        <v>46.108474999999999</v>
      </c>
    </row>
    <row r="508" spans="1:15" x14ac:dyDescent="0.3">
      <c r="A508" s="35" t="s">
        <v>242</v>
      </c>
      <c r="B508" s="35">
        <v>4</v>
      </c>
      <c r="C508" s="35">
        <v>760</v>
      </c>
      <c r="D508" s="36" t="s">
        <v>418</v>
      </c>
      <c r="E508" s="36" t="s">
        <v>418</v>
      </c>
      <c r="F508" s="35">
        <v>14.8</v>
      </c>
      <c r="G508" s="35">
        <v>8563</v>
      </c>
      <c r="H508" s="35">
        <v>58.28</v>
      </c>
      <c r="I508" s="35">
        <v>862.6</v>
      </c>
      <c r="J508" s="35">
        <v>6.7943426849060975</v>
      </c>
      <c r="K508" s="35">
        <v>6.0039999999999996</v>
      </c>
      <c r="L508" s="35">
        <v>118.9</v>
      </c>
      <c r="M508" s="35">
        <v>0.69603524229074876</v>
      </c>
      <c r="N508" s="35">
        <v>97.68</v>
      </c>
      <c r="O508" s="35">
        <v>46.108474999999999</v>
      </c>
    </row>
    <row r="509" spans="1:15" x14ac:dyDescent="0.3">
      <c r="A509" s="35" t="s">
        <v>212</v>
      </c>
      <c r="B509" s="35">
        <v>4</v>
      </c>
      <c r="C509" s="35">
        <v>1460</v>
      </c>
      <c r="D509" s="36" t="s">
        <v>415</v>
      </c>
      <c r="E509" s="36" t="s">
        <v>413</v>
      </c>
      <c r="F509" s="35">
        <v>14.8</v>
      </c>
      <c r="G509" s="35">
        <v>17791</v>
      </c>
      <c r="H509" s="35">
        <v>81.180000000000007</v>
      </c>
      <c r="I509" s="35">
        <v>1201.5999999999999</v>
      </c>
      <c r="J509" s="35">
        <v>4.8774966711051935</v>
      </c>
      <c r="K509" s="35">
        <v>8.36</v>
      </c>
      <c r="L509" s="35">
        <v>123.49333333333333</v>
      </c>
      <c r="M509" s="35">
        <v>0.69573901464713717</v>
      </c>
      <c r="N509" s="35">
        <v>97.68</v>
      </c>
      <c r="O509" s="35">
        <v>46.108474999999999</v>
      </c>
    </row>
    <row r="510" spans="1:15" x14ac:dyDescent="0.3">
      <c r="A510" s="35" t="s">
        <v>207</v>
      </c>
      <c r="B510" s="35">
        <v>2.9999999999999996</v>
      </c>
      <c r="C510" s="35">
        <v>850</v>
      </c>
      <c r="D510" s="36" t="s">
        <v>417</v>
      </c>
      <c r="E510" s="36" t="s">
        <v>417</v>
      </c>
      <c r="F510" s="35">
        <v>11.1</v>
      </c>
      <c r="G510" s="35">
        <v>8084</v>
      </c>
      <c r="H510" s="35">
        <v>48.82</v>
      </c>
      <c r="I510" s="35">
        <v>541.79999999999995</v>
      </c>
      <c r="J510" s="35">
        <v>11.063122923588042</v>
      </c>
      <c r="K510" s="35">
        <v>3.7650000000000001</v>
      </c>
      <c r="L510" s="35">
        <v>101.05333333333333</v>
      </c>
      <c r="M510" s="35">
        <v>0.69490586932447407</v>
      </c>
      <c r="N510" s="35">
        <v>97.68</v>
      </c>
      <c r="O510" s="35">
        <v>46.108474999999999</v>
      </c>
    </row>
    <row r="511" spans="1:15" x14ac:dyDescent="0.3">
      <c r="A511" s="35" t="s">
        <v>254</v>
      </c>
      <c r="B511" s="35">
        <v>2.9999999999999996</v>
      </c>
      <c r="C511" s="35">
        <v>1350</v>
      </c>
      <c r="D511" s="36" t="s">
        <v>415</v>
      </c>
      <c r="E511" s="36" t="s">
        <v>414</v>
      </c>
      <c r="F511" s="35">
        <v>11.1</v>
      </c>
      <c r="G511" s="35">
        <v>12923</v>
      </c>
      <c r="H511" s="35">
        <v>81.36</v>
      </c>
      <c r="I511" s="35">
        <v>903.2</v>
      </c>
      <c r="J511" s="35">
        <v>6.6364038972542074</v>
      </c>
      <c r="K511" s="35">
        <v>6.2539999999999996</v>
      </c>
      <c r="L511" s="35">
        <v>107.6</v>
      </c>
      <c r="M511" s="35">
        <v>0.69242692648361381</v>
      </c>
      <c r="N511" s="35">
        <v>97.68</v>
      </c>
      <c r="O511" s="35">
        <v>46.108474999999999</v>
      </c>
    </row>
    <row r="512" spans="1:15" x14ac:dyDescent="0.3">
      <c r="A512" s="35" t="s">
        <v>92</v>
      </c>
      <c r="B512" s="35">
        <v>5.9999999999999991</v>
      </c>
      <c r="C512" s="35">
        <v>420</v>
      </c>
      <c r="D512" s="36" t="s">
        <v>419</v>
      </c>
      <c r="E512" s="36" t="s">
        <v>418</v>
      </c>
      <c r="F512" s="35">
        <v>22.2</v>
      </c>
      <c r="G512" s="35">
        <v>8739</v>
      </c>
      <c r="H512" s="35">
        <v>51.92</v>
      </c>
      <c r="I512" s="35">
        <v>1152.5999999999999</v>
      </c>
      <c r="J512" s="35">
        <v>5.200416449765747</v>
      </c>
      <c r="K512" s="35">
        <v>7.9675000000000002</v>
      </c>
      <c r="L512" s="35">
        <v>121.43999999999998</v>
      </c>
      <c r="M512" s="35">
        <v>0.69126323095609932</v>
      </c>
      <c r="N512" s="35">
        <v>97.68</v>
      </c>
      <c r="O512" s="35">
        <v>46.108474999999999</v>
      </c>
    </row>
    <row r="513" spans="1:15" x14ac:dyDescent="0.3">
      <c r="A513" s="35" t="s">
        <v>244</v>
      </c>
      <c r="B513" s="35">
        <v>4</v>
      </c>
      <c r="C513" s="35">
        <v>610</v>
      </c>
      <c r="D513" s="36" t="s">
        <v>420</v>
      </c>
      <c r="E513" s="36" t="s">
        <v>420</v>
      </c>
      <c r="F513" s="35">
        <v>14.8</v>
      </c>
      <c r="G513" s="35">
        <v>7506</v>
      </c>
      <c r="H513" s="35">
        <v>80.48</v>
      </c>
      <c r="I513" s="35">
        <v>1191.2</v>
      </c>
      <c r="J513" s="35">
        <v>4.9200805910006711</v>
      </c>
      <c r="K513" s="35">
        <v>8.2140000000000004</v>
      </c>
      <c r="L513" s="35">
        <v>125.1</v>
      </c>
      <c r="M513" s="35">
        <v>0.6895567494963063</v>
      </c>
      <c r="N513" s="35">
        <v>97.68</v>
      </c>
      <c r="O513" s="35">
        <v>46.108474999999999</v>
      </c>
    </row>
    <row r="514" spans="1:15" x14ac:dyDescent="0.3">
      <c r="A514" s="35" t="s">
        <v>209</v>
      </c>
      <c r="B514" s="35">
        <v>2.9999999999999996</v>
      </c>
      <c r="C514" s="35">
        <v>1170</v>
      </c>
      <c r="D514" s="36" t="s">
        <v>415</v>
      </c>
      <c r="E514" s="36" t="s">
        <v>415</v>
      </c>
      <c r="F514" s="35">
        <v>11.1</v>
      </c>
      <c r="G514" s="35">
        <v>11191</v>
      </c>
      <c r="H514" s="35">
        <v>62.54</v>
      </c>
      <c r="I514" s="35">
        <v>694.2</v>
      </c>
      <c r="J514" s="35">
        <v>8.6343993085566115</v>
      </c>
      <c r="K514" s="35">
        <v>4.7837500000000004</v>
      </c>
      <c r="L514" s="35">
        <v>124.37333333333332</v>
      </c>
      <c r="M514" s="35">
        <v>0.6891025641025641</v>
      </c>
      <c r="N514" s="35">
        <v>97.68</v>
      </c>
      <c r="O514" s="35">
        <v>46.108474999999999</v>
      </c>
    </row>
    <row r="515" spans="1:15" x14ac:dyDescent="0.3">
      <c r="A515" s="35" t="s">
        <v>232</v>
      </c>
      <c r="B515" s="35">
        <v>4</v>
      </c>
      <c r="C515" s="35">
        <v>1450</v>
      </c>
      <c r="D515" s="36" t="s">
        <v>414</v>
      </c>
      <c r="E515" s="36">
        <v>4.5</v>
      </c>
      <c r="F515" s="35">
        <v>14.8</v>
      </c>
      <c r="G515" s="35">
        <v>20885</v>
      </c>
      <c r="H515" s="35">
        <v>60.46</v>
      </c>
      <c r="I515" s="35">
        <v>894.8</v>
      </c>
      <c r="J515" s="35">
        <v>6.5498435404559681</v>
      </c>
      <c r="K515" s="35">
        <v>6.1319999999999997</v>
      </c>
      <c r="L515" s="35">
        <v>130.5</v>
      </c>
      <c r="M515" s="35">
        <v>0.68529280286097449</v>
      </c>
      <c r="N515" s="35">
        <v>97.68</v>
      </c>
      <c r="O515" s="35">
        <v>46.108474999999999</v>
      </c>
    </row>
    <row r="516" spans="1:15" x14ac:dyDescent="0.3">
      <c r="A516" s="35" t="s">
        <v>205</v>
      </c>
      <c r="B516" s="35">
        <v>2.9999999999999996</v>
      </c>
      <c r="C516" s="35">
        <v>1700</v>
      </c>
      <c r="D516" s="36" t="s">
        <v>412</v>
      </c>
      <c r="E516" s="36" t="s">
        <v>414</v>
      </c>
      <c r="F516" s="35">
        <v>11.1</v>
      </c>
      <c r="G516" s="35">
        <v>15675</v>
      </c>
      <c r="H516" s="35">
        <v>72.319999999999993</v>
      </c>
      <c r="I516" s="35">
        <v>802.8</v>
      </c>
      <c r="J516" s="35">
        <v>7.4663677130044848</v>
      </c>
      <c r="K516" s="35">
        <v>5.4850000000000003</v>
      </c>
      <c r="L516" s="35">
        <v>130.67999999999998</v>
      </c>
      <c r="M516" s="35">
        <v>0.68323368211260604</v>
      </c>
      <c r="N516" s="35">
        <v>97.68</v>
      </c>
      <c r="O516" s="35">
        <v>46.108474999999999</v>
      </c>
    </row>
    <row r="517" spans="1:15" x14ac:dyDescent="0.3">
      <c r="A517" s="35" t="s">
        <v>97</v>
      </c>
      <c r="B517" s="35">
        <v>5</v>
      </c>
      <c r="C517" s="35">
        <v>520</v>
      </c>
      <c r="D517" s="36" t="s">
        <v>419</v>
      </c>
      <c r="E517" s="36" t="s">
        <v>418</v>
      </c>
      <c r="F517" s="35">
        <v>18.5</v>
      </c>
      <c r="G517" s="35">
        <v>8730</v>
      </c>
      <c r="H517" s="35">
        <v>62.14</v>
      </c>
      <c r="I517" s="35">
        <v>1149.5999999999999</v>
      </c>
      <c r="J517" s="35">
        <v>4.8277661795407099</v>
      </c>
      <c r="K517" s="35">
        <v>7.84</v>
      </c>
      <c r="L517" s="35">
        <v>121.29333333333332</v>
      </c>
      <c r="M517" s="35">
        <v>0.68197633959638138</v>
      </c>
      <c r="N517" s="35">
        <v>97.68</v>
      </c>
      <c r="O517" s="35">
        <v>46.108474999999999</v>
      </c>
    </row>
    <row r="518" spans="1:15" x14ac:dyDescent="0.3">
      <c r="A518" s="35" t="s">
        <v>217</v>
      </c>
      <c r="B518" s="35">
        <v>4</v>
      </c>
      <c r="C518" s="35">
        <v>1140</v>
      </c>
      <c r="D518" s="36" t="s">
        <v>417</v>
      </c>
      <c r="E518" s="36" t="s">
        <v>414</v>
      </c>
      <c r="F518" s="35">
        <v>14.8</v>
      </c>
      <c r="G518" s="35">
        <v>13908</v>
      </c>
      <c r="H518" s="35">
        <v>92.52</v>
      </c>
      <c r="I518" s="35">
        <v>1369.4</v>
      </c>
      <c r="J518" s="35">
        <v>4.2798305827369649</v>
      </c>
      <c r="K518" s="35">
        <v>9.3074999999999992</v>
      </c>
      <c r="L518" s="35">
        <v>115.86666666666666</v>
      </c>
      <c r="M518" s="35">
        <v>0.67967723090404542</v>
      </c>
      <c r="N518" s="35">
        <v>97.68</v>
      </c>
      <c r="O518" s="35">
        <v>46.108474999999999</v>
      </c>
    </row>
    <row r="519" spans="1:15" x14ac:dyDescent="0.3">
      <c r="A519" s="35" t="s">
        <v>97</v>
      </c>
      <c r="B519" s="35">
        <v>4</v>
      </c>
      <c r="C519" s="35">
        <v>520</v>
      </c>
      <c r="D519" s="36" t="s">
        <v>422</v>
      </c>
      <c r="E519" s="36" t="s">
        <v>420</v>
      </c>
      <c r="F519" s="35">
        <v>14.8</v>
      </c>
      <c r="G519" s="35">
        <v>6418</v>
      </c>
      <c r="H519" s="35">
        <v>94.52</v>
      </c>
      <c r="I519" s="35">
        <v>1398.8</v>
      </c>
      <c r="J519" s="35">
        <v>4.1898770374606809</v>
      </c>
      <c r="K519" s="35">
        <v>9.48</v>
      </c>
      <c r="L519" s="35">
        <v>106.92</v>
      </c>
      <c r="M519" s="35">
        <v>0.677723763225622</v>
      </c>
      <c r="N519" s="35">
        <v>92.5</v>
      </c>
      <c r="O519" s="35">
        <v>46.884502999999995</v>
      </c>
    </row>
    <row r="520" spans="1:15" x14ac:dyDescent="0.3">
      <c r="A520" s="35" t="s">
        <v>253</v>
      </c>
      <c r="B520" s="35">
        <v>4</v>
      </c>
      <c r="C520" s="35">
        <v>1300</v>
      </c>
      <c r="D520" s="36" t="s">
        <v>412</v>
      </c>
      <c r="E520" s="36" t="s">
        <v>414</v>
      </c>
      <c r="F520" s="35">
        <v>14.8</v>
      </c>
      <c r="G520" s="35">
        <v>16739</v>
      </c>
      <c r="H520" s="35">
        <v>63</v>
      </c>
      <c r="I520" s="35">
        <v>932.4</v>
      </c>
      <c r="J520" s="35">
        <v>6.2857142857142865</v>
      </c>
      <c r="K520" s="35">
        <v>6.3159999999999998</v>
      </c>
      <c r="L520" s="35">
        <v>139.5</v>
      </c>
      <c r="M520" s="35">
        <v>0.67739167739167738</v>
      </c>
      <c r="N520" s="35">
        <v>92.5</v>
      </c>
      <c r="O520" s="35">
        <v>46.884502999999995</v>
      </c>
    </row>
    <row r="521" spans="1:15" x14ac:dyDescent="0.3">
      <c r="A521" s="35" t="s">
        <v>216</v>
      </c>
      <c r="B521" s="35">
        <v>2.9999999999999996</v>
      </c>
      <c r="C521" s="35">
        <v>970</v>
      </c>
      <c r="D521" s="36" t="s">
        <v>417</v>
      </c>
      <c r="E521" s="36" t="s">
        <v>417</v>
      </c>
      <c r="F521" s="35">
        <v>11.1</v>
      </c>
      <c r="G521" s="35">
        <v>8703</v>
      </c>
      <c r="H521" s="35">
        <v>59.6</v>
      </c>
      <c r="I521" s="35">
        <v>661.4</v>
      </c>
      <c r="J521" s="35">
        <v>9.0625944965225287</v>
      </c>
      <c r="K521" s="35">
        <v>4.4712500000000004</v>
      </c>
      <c r="L521" s="35">
        <v>108.82666666666667</v>
      </c>
      <c r="M521" s="35">
        <v>0.67602812216510433</v>
      </c>
      <c r="N521" s="35">
        <v>92.5</v>
      </c>
      <c r="O521" s="35">
        <v>46.884502999999995</v>
      </c>
    </row>
    <row r="522" spans="1:15" x14ac:dyDescent="0.3">
      <c r="A522" s="35" t="s">
        <v>212</v>
      </c>
      <c r="B522" s="35">
        <v>2.9999999999999996</v>
      </c>
      <c r="C522" s="35">
        <v>1460</v>
      </c>
      <c r="D522" s="36">
        <v>7.5</v>
      </c>
      <c r="E522" s="36" t="s">
        <v>416</v>
      </c>
      <c r="F522" s="35">
        <v>11.1</v>
      </c>
      <c r="G522" s="35">
        <v>13071</v>
      </c>
      <c r="H522" s="35">
        <v>75.58</v>
      </c>
      <c r="I522" s="35">
        <v>838.8</v>
      </c>
      <c r="J522" s="35">
        <v>7.1459227467811175</v>
      </c>
      <c r="K522" s="35">
        <v>5.6487499999999997</v>
      </c>
      <c r="L522" s="35">
        <v>72.599999999999994</v>
      </c>
      <c r="M522" s="35">
        <v>0.67343228421554602</v>
      </c>
      <c r="N522" s="35">
        <v>92.5</v>
      </c>
      <c r="O522" s="35">
        <v>46.884502999999995</v>
      </c>
    </row>
    <row r="523" spans="1:15" x14ac:dyDescent="0.3">
      <c r="A523" s="35" t="s">
        <v>241</v>
      </c>
      <c r="B523" s="35">
        <v>4</v>
      </c>
      <c r="C523" s="35">
        <v>840</v>
      </c>
      <c r="D523" s="36" t="s">
        <v>415</v>
      </c>
      <c r="E523" s="36" t="s">
        <v>415</v>
      </c>
      <c r="F523" s="35">
        <v>14.8</v>
      </c>
      <c r="G523" s="35">
        <v>10166</v>
      </c>
      <c r="H523" s="35">
        <v>40.92</v>
      </c>
      <c r="I523" s="35">
        <v>605.6</v>
      </c>
      <c r="J523" s="35">
        <v>9.677675033025098</v>
      </c>
      <c r="K523" s="35">
        <v>4.0620000000000003</v>
      </c>
      <c r="L523" s="35">
        <v>112.9</v>
      </c>
      <c r="M523" s="35">
        <v>0.67073976221928666</v>
      </c>
      <c r="N523" s="35">
        <v>92.5</v>
      </c>
      <c r="O523" s="35">
        <v>46.884502999999995</v>
      </c>
    </row>
    <row r="524" spans="1:15" x14ac:dyDescent="0.3">
      <c r="A524" s="35" t="s">
        <v>206</v>
      </c>
      <c r="B524" s="35">
        <v>2.9999999999999996</v>
      </c>
      <c r="C524" s="35">
        <v>2100</v>
      </c>
      <c r="D524" s="36" t="s">
        <v>412</v>
      </c>
      <c r="E524" s="36" t="s">
        <v>416</v>
      </c>
      <c r="F524" s="35">
        <v>11.1</v>
      </c>
      <c r="G524" s="35">
        <v>18611</v>
      </c>
      <c r="H524" s="35">
        <v>86.22</v>
      </c>
      <c r="I524" s="35">
        <v>957.2</v>
      </c>
      <c r="J524" s="35">
        <v>6.2620142081069794</v>
      </c>
      <c r="K524" s="35">
        <v>6.4112499999999999</v>
      </c>
      <c r="L524" s="35">
        <v>103.39999999999999</v>
      </c>
      <c r="M524" s="35">
        <v>0.6697921019640618</v>
      </c>
      <c r="N524" s="35">
        <v>92.5</v>
      </c>
      <c r="O524" s="35">
        <v>46.884502999999995</v>
      </c>
    </row>
    <row r="525" spans="1:15" x14ac:dyDescent="0.3">
      <c r="A525" s="35" t="s">
        <v>243</v>
      </c>
      <c r="B525" s="35">
        <v>4</v>
      </c>
      <c r="C525" s="35">
        <v>650</v>
      </c>
      <c r="D525" s="36" t="s">
        <v>420</v>
      </c>
      <c r="E525" s="36" t="s">
        <v>420</v>
      </c>
      <c r="F525" s="35">
        <v>14.8</v>
      </c>
      <c r="G525" s="35">
        <v>7342</v>
      </c>
      <c r="H525" s="35">
        <v>77.739999999999995</v>
      </c>
      <c r="I525" s="35">
        <v>1150.5999999999999</v>
      </c>
      <c r="J525" s="35">
        <v>5.0936902485659665</v>
      </c>
      <c r="K525" s="35">
        <v>7.702</v>
      </c>
      <c r="L525" s="35">
        <v>122.3</v>
      </c>
      <c r="M525" s="35">
        <v>0.66938988353902318</v>
      </c>
      <c r="N525" s="35">
        <v>92.5</v>
      </c>
      <c r="O525" s="35">
        <v>46.884502999999995</v>
      </c>
    </row>
    <row r="526" spans="1:15" x14ac:dyDescent="0.3">
      <c r="A526" s="35" t="s">
        <v>213</v>
      </c>
      <c r="B526" s="35">
        <v>4</v>
      </c>
      <c r="C526" s="35">
        <v>840</v>
      </c>
      <c r="D526" s="36" t="s">
        <v>418</v>
      </c>
      <c r="E526" s="36" t="s">
        <v>412</v>
      </c>
      <c r="F526" s="35">
        <v>14.8</v>
      </c>
      <c r="G526" s="35">
        <v>10205</v>
      </c>
      <c r="H526" s="35">
        <v>61.94</v>
      </c>
      <c r="I526" s="35">
        <v>916.8</v>
      </c>
      <c r="J526" s="35">
        <v>6.3926701570680633</v>
      </c>
      <c r="K526" s="35">
        <v>6.0975000000000001</v>
      </c>
      <c r="L526" s="35">
        <v>99.146666666666647</v>
      </c>
      <c r="M526" s="35">
        <v>0.66508507853403143</v>
      </c>
      <c r="N526" s="35">
        <v>92.5</v>
      </c>
      <c r="O526" s="35">
        <v>46.884502999999995</v>
      </c>
    </row>
    <row r="527" spans="1:15" x14ac:dyDescent="0.3">
      <c r="A527" s="35" t="s">
        <v>254</v>
      </c>
      <c r="B527" s="35">
        <v>4</v>
      </c>
      <c r="C527" s="35">
        <v>1350</v>
      </c>
      <c r="D527" s="36" t="s">
        <v>415</v>
      </c>
      <c r="E527" s="36" t="s">
        <v>416</v>
      </c>
      <c r="F527" s="35">
        <v>14.8</v>
      </c>
      <c r="G527" s="35">
        <v>17413</v>
      </c>
      <c r="H527" s="35">
        <v>88.46</v>
      </c>
      <c r="I527" s="35">
        <v>1309.4000000000001</v>
      </c>
      <c r="J527" s="35">
        <v>4.4759431800824805</v>
      </c>
      <c r="K527" s="35">
        <v>8.702</v>
      </c>
      <c r="L527" s="35">
        <v>96.8</v>
      </c>
      <c r="M527" s="35">
        <v>0.66457919657858555</v>
      </c>
      <c r="N527" s="35">
        <v>92.5</v>
      </c>
      <c r="O527" s="35">
        <v>46.884502999999995</v>
      </c>
    </row>
    <row r="528" spans="1:15" x14ac:dyDescent="0.3">
      <c r="A528" s="35" t="s">
        <v>213</v>
      </c>
      <c r="B528" s="35">
        <v>2.9999999999999996</v>
      </c>
      <c r="C528" s="35">
        <v>840</v>
      </c>
      <c r="D528" s="36" t="s">
        <v>418</v>
      </c>
      <c r="E528" s="36" t="s">
        <v>418</v>
      </c>
      <c r="F528" s="35">
        <v>11.1</v>
      </c>
      <c r="G528" s="35">
        <v>7489</v>
      </c>
      <c r="H528" s="35">
        <v>57.92</v>
      </c>
      <c r="I528" s="35">
        <v>643</v>
      </c>
      <c r="J528" s="35">
        <v>9.3219284603421464</v>
      </c>
      <c r="K528" s="35">
        <v>4.25875</v>
      </c>
      <c r="L528" s="35">
        <v>103.98666666666666</v>
      </c>
      <c r="M528" s="35">
        <v>0.66232503888024885</v>
      </c>
      <c r="N528" s="35">
        <v>92.5</v>
      </c>
      <c r="O528" s="35">
        <v>46.884502999999995</v>
      </c>
    </row>
    <row r="529" spans="1:15" x14ac:dyDescent="0.3">
      <c r="A529" s="35" t="s">
        <v>105</v>
      </c>
      <c r="B529" s="35">
        <v>4</v>
      </c>
      <c r="C529" s="35">
        <v>700</v>
      </c>
      <c r="D529" s="36" t="s">
        <v>420</v>
      </c>
      <c r="E529" s="36" t="s">
        <v>415</v>
      </c>
      <c r="F529" s="35">
        <v>14.8</v>
      </c>
      <c r="G529" s="35">
        <v>9045</v>
      </c>
      <c r="H529" s="35">
        <v>95.5</v>
      </c>
      <c r="I529" s="35">
        <v>1413.4</v>
      </c>
      <c r="J529" s="35">
        <v>4.1465968586387429</v>
      </c>
      <c r="K529" s="35">
        <v>9.3387499999999992</v>
      </c>
      <c r="L529" s="35">
        <v>100.46666666666665</v>
      </c>
      <c r="M529" s="35">
        <v>0.66072944672421097</v>
      </c>
      <c r="N529" s="35">
        <v>92.5</v>
      </c>
      <c r="O529" s="35">
        <v>46.884502999999995</v>
      </c>
    </row>
    <row r="530" spans="1:15" x14ac:dyDescent="0.3">
      <c r="A530" s="35" t="s">
        <v>206</v>
      </c>
      <c r="B530" s="35">
        <v>2.9999999999999996</v>
      </c>
      <c r="C530" s="35">
        <v>2100</v>
      </c>
      <c r="D530" s="36" t="s">
        <v>412</v>
      </c>
      <c r="E530" s="36" t="s">
        <v>416</v>
      </c>
      <c r="F530" s="35">
        <v>11.1</v>
      </c>
      <c r="G530" s="35">
        <v>18331</v>
      </c>
      <c r="H530" s="35">
        <v>91.64</v>
      </c>
      <c r="I530" s="35">
        <v>1017.2</v>
      </c>
      <c r="J530" s="35">
        <v>5.8926464805348013</v>
      </c>
      <c r="K530" s="35">
        <v>6.72</v>
      </c>
      <c r="L530" s="35">
        <v>101.78666666666666</v>
      </c>
      <c r="M530" s="35">
        <v>0.66063704286276048</v>
      </c>
      <c r="N530" s="35">
        <v>92.5</v>
      </c>
      <c r="O530" s="35">
        <v>46.884502999999995</v>
      </c>
    </row>
    <row r="531" spans="1:15" x14ac:dyDescent="0.3">
      <c r="A531" s="35" t="s">
        <v>207</v>
      </c>
      <c r="B531" s="35">
        <v>4</v>
      </c>
      <c r="C531" s="35">
        <v>850</v>
      </c>
      <c r="D531" s="36" t="s">
        <v>415</v>
      </c>
      <c r="E531" s="36" t="s">
        <v>415</v>
      </c>
      <c r="F531" s="35">
        <v>14.8</v>
      </c>
      <c r="G531" s="35">
        <v>11261</v>
      </c>
      <c r="H531" s="35">
        <v>48.9</v>
      </c>
      <c r="I531" s="35">
        <v>723.6</v>
      </c>
      <c r="J531" s="35">
        <v>8.0995024875621908</v>
      </c>
      <c r="K531" s="35">
        <v>4.78</v>
      </c>
      <c r="L531" s="35">
        <v>125.10666666666665</v>
      </c>
      <c r="M531" s="35">
        <v>0.66058595909342177</v>
      </c>
      <c r="N531" s="35">
        <v>92.5</v>
      </c>
      <c r="O531" s="35">
        <v>46.884502999999995</v>
      </c>
    </row>
    <row r="532" spans="1:15" x14ac:dyDescent="0.3">
      <c r="A532" s="35" t="s">
        <v>217</v>
      </c>
      <c r="B532" s="35">
        <v>2.9999999999999996</v>
      </c>
      <c r="C532" s="35">
        <v>1140</v>
      </c>
      <c r="D532" s="36" t="s">
        <v>417</v>
      </c>
      <c r="E532" s="36">
        <v>7.5</v>
      </c>
      <c r="F532" s="35">
        <v>11.1</v>
      </c>
      <c r="G532" s="35">
        <v>10274</v>
      </c>
      <c r="H532" s="35">
        <v>84.36</v>
      </c>
      <c r="I532" s="35">
        <v>936.2</v>
      </c>
      <c r="J532" s="35">
        <v>6.4024781029694511</v>
      </c>
      <c r="K532" s="35">
        <v>6.1775000000000002</v>
      </c>
      <c r="L532" s="35">
        <v>107.06666666666666</v>
      </c>
      <c r="M532" s="35">
        <v>0.6598483230079043</v>
      </c>
      <c r="N532" s="35">
        <v>92.5</v>
      </c>
      <c r="O532" s="35">
        <v>46.884502999999995</v>
      </c>
    </row>
    <row r="533" spans="1:15" x14ac:dyDescent="0.3">
      <c r="A533" s="35" t="s">
        <v>217</v>
      </c>
      <c r="B533" s="35">
        <v>2.9999999999999996</v>
      </c>
      <c r="C533" s="35">
        <v>1140</v>
      </c>
      <c r="D533" s="36" t="s">
        <v>418</v>
      </c>
      <c r="E533" s="36" t="s">
        <v>412</v>
      </c>
      <c r="F533" s="35">
        <v>11.1</v>
      </c>
      <c r="G533" s="35">
        <v>10341</v>
      </c>
      <c r="H533" s="35">
        <v>85.8</v>
      </c>
      <c r="I533" s="35">
        <v>952.4</v>
      </c>
      <c r="J533" s="35">
        <v>6.29357412851743</v>
      </c>
      <c r="K533" s="35">
        <v>6.2737499999999997</v>
      </c>
      <c r="L533" s="35">
        <v>100.46666666666665</v>
      </c>
      <c r="M533" s="35">
        <v>0.65873057538849222</v>
      </c>
      <c r="N533" s="35">
        <v>92.5</v>
      </c>
      <c r="O533" s="35">
        <v>46.884502999999995</v>
      </c>
    </row>
    <row r="534" spans="1:15" x14ac:dyDescent="0.3">
      <c r="A534" s="35" t="s">
        <v>254</v>
      </c>
      <c r="B534" s="35">
        <v>5</v>
      </c>
      <c r="C534" s="35">
        <v>1080</v>
      </c>
      <c r="D534" s="36" t="s">
        <v>415</v>
      </c>
      <c r="E534" s="36" t="s">
        <v>416</v>
      </c>
      <c r="F534" s="35">
        <v>18.5</v>
      </c>
      <c r="G534" s="35">
        <v>17658</v>
      </c>
      <c r="H534" s="35">
        <v>73.42</v>
      </c>
      <c r="I534" s="35">
        <v>1358.4</v>
      </c>
      <c r="J534" s="35">
        <v>4.0856890459363955</v>
      </c>
      <c r="K534" s="35">
        <v>8.9239999999999995</v>
      </c>
      <c r="L534" s="35">
        <v>98.1</v>
      </c>
      <c r="M534" s="35">
        <v>0.65694935217903405</v>
      </c>
      <c r="N534" s="35">
        <v>92.5</v>
      </c>
      <c r="O534" s="35">
        <v>46.884502999999995</v>
      </c>
    </row>
    <row r="535" spans="1:15" x14ac:dyDescent="0.3">
      <c r="A535" s="35" t="s">
        <v>213</v>
      </c>
      <c r="B535" s="35">
        <v>4</v>
      </c>
      <c r="C535" s="35">
        <v>840</v>
      </c>
      <c r="D535" s="36" t="s">
        <v>418</v>
      </c>
      <c r="E535" s="36" t="s">
        <v>415</v>
      </c>
      <c r="F535" s="35">
        <v>14.8</v>
      </c>
      <c r="G535" s="35">
        <v>9930</v>
      </c>
      <c r="H535" s="35">
        <v>68.42</v>
      </c>
      <c r="I535" s="35">
        <v>1012.6</v>
      </c>
      <c r="J535" s="35">
        <v>5.7878728026861541</v>
      </c>
      <c r="K535" s="35">
        <v>6.6487499999999997</v>
      </c>
      <c r="L535" s="35">
        <v>110.29333333333334</v>
      </c>
      <c r="M535" s="35">
        <v>0.6566018171044834</v>
      </c>
      <c r="N535" s="35">
        <v>92.5</v>
      </c>
      <c r="O535" s="35">
        <v>46.884502999999995</v>
      </c>
    </row>
    <row r="536" spans="1:15" x14ac:dyDescent="0.3">
      <c r="A536" s="35" t="s">
        <v>213</v>
      </c>
      <c r="B536" s="35">
        <v>4</v>
      </c>
      <c r="C536" s="35">
        <v>840</v>
      </c>
      <c r="D536" s="36" t="s">
        <v>417</v>
      </c>
      <c r="E536" s="36">
        <v>7.5</v>
      </c>
      <c r="F536" s="35">
        <v>14.8</v>
      </c>
      <c r="G536" s="35">
        <v>10175</v>
      </c>
      <c r="H536" s="35">
        <v>62.36</v>
      </c>
      <c r="I536" s="35">
        <v>923</v>
      </c>
      <c r="J536" s="35">
        <v>6.3497291440953418</v>
      </c>
      <c r="K536" s="35">
        <v>6.0587499999999999</v>
      </c>
      <c r="L536" s="35">
        <v>106.03999999999999</v>
      </c>
      <c r="M536" s="35">
        <v>0.65641928494041168</v>
      </c>
      <c r="N536" s="35">
        <v>99.9</v>
      </c>
      <c r="O536" s="35">
        <v>51.293752999999995</v>
      </c>
    </row>
    <row r="537" spans="1:15" x14ac:dyDescent="0.3">
      <c r="A537" s="35" t="s">
        <v>203</v>
      </c>
      <c r="B537" s="35">
        <v>2.9999999999999996</v>
      </c>
      <c r="C537" s="35">
        <v>1400</v>
      </c>
      <c r="D537" s="36" t="s">
        <v>412</v>
      </c>
      <c r="E537" s="36" t="s">
        <v>412</v>
      </c>
      <c r="F537" s="35">
        <v>11.1</v>
      </c>
      <c r="G537" s="35">
        <v>13444</v>
      </c>
      <c r="H537" s="35">
        <v>56.6</v>
      </c>
      <c r="I537" s="35">
        <v>628.20000000000005</v>
      </c>
      <c r="J537" s="35">
        <v>9.5415472779369619</v>
      </c>
      <c r="K537" s="35">
        <v>4.1137499999999996</v>
      </c>
      <c r="L537" s="35">
        <v>130.67999999999998</v>
      </c>
      <c r="M537" s="35">
        <v>0.65484718242597895</v>
      </c>
      <c r="N537" s="35">
        <v>99.9</v>
      </c>
      <c r="O537" s="35">
        <v>51.293752999999995</v>
      </c>
    </row>
    <row r="538" spans="1:15" x14ac:dyDescent="0.3">
      <c r="A538" s="35" t="s">
        <v>241</v>
      </c>
      <c r="B538" s="35">
        <v>4</v>
      </c>
      <c r="C538" s="35">
        <v>840</v>
      </c>
      <c r="D538" s="36" t="s">
        <v>417</v>
      </c>
      <c r="E538" s="36" t="s">
        <v>417</v>
      </c>
      <c r="F538" s="35">
        <v>14.8</v>
      </c>
      <c r="G538" s="35">
        <v>9510</v>
      </c>
      <c r="H538" s="35">
        <v>56.86</v>
      </c>
      <c r="I538" s="35">
        <v>841.6</v>
      </c>
      <c r="J538" s="35">
        <v>6.9638783269961975</v>
      </c>
      <c r="K538" s="35">
        <v>5.51</v>
      </c>
      <c r="L538" s="35">
        <v>118.9</v>
      </c>
      <c r="M538" s="35">
        <v>0.65470532319391628</v>
      </c>
      <c r="N538" s="35">
        <v>99.9</v>
      </c>
      <c r="O538" s="35">
        <v>51.293752999999995</v>
      </c>
    </row>
    <row r="539" spans="1:15" x14ac:dyDescent="0.3">
      <c r="A539" s="35" t="s">
        <v>217</v>
      </c>
      <c r="B539" s="35">
        <v>4</v>
      </c>
      <c r="C539" s="35">
        <v>1140</v>
      </c>
      <c r="D539" s="36" t="s">
        <v>415</v>
      </c>
      <c r="E539" s="36" t="s">
        <v>414</v>
      </c>
      <c r="F539" s="35">
        <v>14.8</v>
      </c>
      <c r="G539" s="35">
        <v>14330</v>
      </c>
      <c r="H539" s="35">
        <v>80.42</v>
      </c>
      <c r="I539" s="35">
        <v>1190.4000000000001</v>
      </c>
      <c r="J539" s="35">
        <v>4.9233870967741939</v>
      </c>
      <c r="K539" s="35">
        <v>7.7862499999999999</v>
      </c>
      <c r="L539" s="35">
        <v>119.38666666666667</v>
      </c>
      <c r="M539" s="35">
        <v>0.65408686155913975</v>
      </c>
      <c r="N539" s="35">
        <v>99.9</v>
      </c>
      <c r="O539" s="35">
        <v>51.293752999999995</v>
      </c>
    </row>
    <row r="540" spans="1:15" x14ac:dyDescent="0.3">
      <c r="A540" s="35" t="s">
        <v>209</v>
      </c>
      <c r="B540" s="35">
        <v>4</v>
      </c>
      <c r="C540" s="35">
        <v>1170</v>
      </c>
      <c r="D540" s="36" t="s">
        <v>417</v>
      </c>
      <c r="E540" s="36" t="s">
        <v>414</v>
      </c>
      <c r="F540" s="35">
        <v>14.8</v>
      </c>
      <c r="G540" s="35">
        <v>13891</v>
      </c>
      <c r="H540" s="35">
        <v>95.82</v>
      </c>
      <c r="I540" s="35">
        <v>1418.2</v>
      </c>
      <c r="J540" s="35">
        <v>4.1325624030461148</v>
      </c>
      <c r="K540" s="35">
        <v>9.2725000000000009</v>
      </c>
      <c r="L540" s="35">
        <v>115.72</v>
      </c>
      <c r="M540" s="35">
        <v>0.65382174587505293</v>
      </c>
      <c r="N540" s="35">
        <v>99.9</v>
      </c>
      <c r="O540" s="35">
        <v>51.293752999999995</v>
      </c>
    </row>
    <row r="541" spans="1:15" x14ac:dyDescent="0.3">
      <c r="A541" s="35" t="s">
        <v>217</v>
      </c>
      <c r="B541" s="35">
        <v>2.9999999999999996</v>
      </c>
      <c r="C541" s="35">
        <v>1140</v>
      </c>
      <c r="D541" s="36" t="s">
        <v>418</v>
      </c>
      <c r="E541" s="36" t="s">
        <v>415</v>
      </c>
      <c r="F541" s="35">
        <v>11.1</v>
      </c>
      <c r="G541" s="35">
        <v>10076</v>
      </c>
      <c r="H541" s="35">
        <v>94.16</v>
      </c>
      <c r="I541" s="35">
        <v>1045.2</v>
      </c>
      <c r="J541" s="35">
        <v>5.7347876004592422</v>
      </c>
      <c r="K541" s="35">
        <v>6.7987500000000001</v>
      </c>
      <c r="L541" s="35">
        <v>111.90666666666665</v>
      </c>
      <c r="M541" s="35">
        <v>0.65047359357060852</v>
      </c>
      <c r="N541" s="35">
        <v>99.9</v>
      </c>
      <c r="O541" s="35">
        <v>51.293752999999995</v>
      </c>
    </row>
    <row r="542" spans="1:15" x14ac:dyDescent="0.3">
      <c r="A542" s="35" t="s">
        <v>216</v>
      </c>
      <c r="B542" s="35">
        <v>4</v>
      </c>
      <c r="C542" s="35">
        <v>970</v>
      </c>
      <c r="D542" s="36" t="s">
        <v>418</v>
      </c>
      <c r="E542" s="36" t="s">
        <v>414</v>
      </c>
      <c r="F542" s="35">
        <v>14.8</v>
      </c>
      <c r="G542" s="35">
        <v>11289</v>
      </c>
      <c r="H542" s="35">
        <v>77.5</v>
      </c>
      <c r="I542" s="35">
        <v>1147</v>
      </c>
      <c r="J542" s="35">
        <v>5.1096774193548393</v>
      </c>
      <c r="K542" s="35">
        <v>7.4512499999999999</v>
      </c>
      <c r="L542" s="35">
        <v>94.013333333333321</v>
      </c>
      <c r="M542" s="35">
        <v>0.64962946817785527</v>
      </c>
      <c r="N542" s="35">
        <v>99.9</v>
      </c>
      <c r="O542" s="35">
        <v>51.293752999999995</v>
      </c>
    </row>
    <row r="543" spans="1:15" x14ac:dyDescent="0.3">
      <c r="A543" s="35" t="s">
        <v>253</v>
      </c>
      <c r="B543" s="35">
        <v>4</v>
      </c>
      <c r="C543" s="35">
        <v>1300</v>
      </c>
      <c r="D543" s="36" t="s">
        <v>412</v>
      </c>
      <c r="E543" s="36" t="s">
        <v>413</v>
      </c>
      <c r="F543" s="35">
        <v>14.8</v>
      </c>
      <c r="G543" s="35">
        <v>16824</v>
      </c>
      <c r="H543" s="35">
        <v>61.04</v>
      </c>
      <c r="I543" s="35">
        <v>903.4</v>
      </c>
      <c r="J543" s="35">
        <v>6.4874916980296664</v>
      </c>
      <c r="K543" s="35">
        <v>5.8659999999999997</v>
      </c>
      <c r="L543" s="35">
        <v>116.9</v>
      </c>
      <c r="M543" s="35">
        <v>0.64932477307947756</v>
      </c>
      <c r="N543" s="35">
        <v>99.9</v>
      </c>
      <c r="O543" s="35">
        <v>51.293752999999995</v>
      </c>
    </row>
    <row r="544" spans="1:15" x14ac:dyDescent="0.3">
      <c r="A544" s="35" t="s">
        <v>232</v>
      </c>
      <c r="B544" s="35">
        <v>4</v>
      </c>
      <c r="C544" s="35">
        <v>1450</v>
      </c>
      <c r="D544" s="36" t="s">
        <v>414</v>
      </c>
      <c r="E544" s="36">
        <v>4.3</v>
      </c>
      <c r="F544" s="35">
        <v>14.8</v>
      </c>
      <c r="G544" s="35">
        <v>20756</v>
      </c>
      <c r="H544" s="35">
        <v>64.599999999999994</v>
      </c>
      <c r="I544" s="35">
        <v>956</v>
      </c>
      <c r="J544" s="35">
        <v>6.130543933054394</v>
      </c>
      <c r="K544" s="35">
        <v>6.2060000000000004</v>
      </c>
      <c r="L544" s="35">
        <v>123.9</v>
      </c>
      <c r="M544" s="35">
        <v>0.649163179916318</v>
      </c>
      <c r="N544" s="35">
        <v>99.9</v>
      </c>
      <c r="O544" s="35">
        <v>51.293752999999995</v>
      </c>
    </row>
    <row r="545" spans="1:15" x14ac:dyDescent="0.3">
      <c r="A545" s="35" t="s">
        <v>205</v>
      </c>
      <c r="B545" s="35">
        <v>2.9999999999999996</v>
      </c>
      <c r="C545" s="35">
        <v>1700</v>
      </c>
      <c r="D545" s="36" t="s">
        <v>412</v>
      </c>
      <c r="E545" s="36" t="s">
        <v>413</v>
      </c>
      <c r="F545" s="35">
        <v>11.1</v>
      </c>
      <c r="G545" s="35">
        <v>15689</v>
      </c>
      <c r="H545" s="35">
        <v>68.98</v>
      </c>
      <c r="I545" s="35">
        <v>765.6</v>
      </c>
      <c r="J545" s="35">
        <v>7.8291536050156738</v>
      </c>
      <c r="K545" s="35">
        <v>4.96</v>
      </c>
      <c r="L545" s="35">
        <v>108.97333333333331</v>
      </c>
      <c r="M545" s="35">
        <v>0.64785788923719956</v>
      </c>
      <c r="N545" s="35">
        <v>99.9</v>
      </c>
      <c r="O545" s="35">
        <v>51.293752999999995</v>
      </c>
    </row>
    <row r="546" spans="1:15" x14ac:dyDescent="0.3">
      <c r="A546" s="35" t="s">
        <v>277</v>
      </c>
      <c r="B546" s="35">
        <v>2.9999999999999996</v>
      </c>
      <c r="C546" s="35">
        <v>890</v>
      </c>
      <c r="D546" s="36" t="s">
        <v>418</v>
      </c>
      <c r="E546" s="36" t="s">
        <v>418</v>
      </c>
      <c r="F546" s="35">
        <v>11.1</v>
      </c>
      <c r="G546" s="35">
        <v>8020</v>
      </c>
      <c r="H546" s="35">
        <v>69.2</v>
      </c>
      <c r="I546" s="35">
        <v>768</v>
      </c>
      <c r="J546" s="35">
        <v>7.8046875000000009</v>
      </c>
      <c r="K546" s="35">
        <v>4.9660000000000002</v>
      </c>
      <c r="L546" s="35">
        <v>111.3</v>
      </c>
      <c r="M546" s="35">
        <v>0.64661458333333333</v>
      </c>
      <c r="N546" s="35">
        <v>99.9</v>
      </c>
      <c r="O546" s="35">
        <v>51.293752999999995</v>
      </c>
    </row>
    <row r="547" spans="1:15" x14ac:dyDescent="0.3">
      <c r="A547" s="35" t="s">
        <v>102</v>
      </c>
      <c r="B547" s="35">
        <v>5</v>
      </c>
      <c r="C547" s="35">
        <v>600</v>
      </c>
      <c r="D547" s="36" t="s">
        <v>419</v>
      </c>
      <c r="E547" s="36" t="s">
        <v>415</v>
      </c>
      <c r="F547" s="35">
        <v>18.5</v>
      </c>
      <c r="G547" s="35">
        <v>10225</v>
      </c>
      <c r="H547" s="35">
        <v>73.5</v>
      </c>
      <c r="I547" s="35">
        <v>1359.8</v>
      </c>
      <c r="J547" s="35">
        <v>4.0814825709663189</v>
      </c>
      <c r="K547" s="35">
        <v>8.7837499999999995</v>
      </c>
      <c r="L547" s="35">
        <v>113.66666666666666</v>
      </c>
      <c r="M547" s="35">
        <v>0.64595896455361079</v>
      </c>
      <c r="N547" s="35">
        <v>99.9</v>
      </c>
      <c r="O547" s="35">
        <v>51.293752999999995</v>
      </c>
    </row>
    <row r="548" spans="1:15" x14ac:dyDescent="0.3">
      <c r="A548" s="35" t="s">
        <v>205</v>
      </c>
      <c r="B548" s="35">
        <v>4</v>
      </c>
      <c r="C548" s="35">
        <v>1700</v>
      </c>
      <c r="D548" s="36" t="s">
        <v>414</v>
      </c>
      <c r="E548" s="36">
        <v>4.5</v>
      </c>
      <c r="F548" s="35">
        <v>14.8</v>
      </c>
      <c r="G548" s="35">
        <v>21590</v>
      </c>
      <c r="H548" s="35">
        <v>67.16</v>
      </c>
      <c r="I548" s="35">
        <v>994</v>
      </c>
      <c r="J548" s="35">
        <v>5.896177062374246</v>
      </c>
      <c r="K548" s="35">
        <v>6.4024999999999999</v>
      </c>
      <c r="L548" s="35">
        <v>134.93333333333334</v>
      </c>
      <c r="M548" s="35">
        <v>0.64411468812877259</v>
      </c>
      <c r="N548" s="35">
        <v>99.9</v>
      </c>
      <c r="O548" s="35">
        <v>51.293752999999995</v>
      </c>
    </row>
    <row r="549" spans="1:15" x14ac:dyDescent="0.3">
      <c r="A549" s="35" t="s">
        <v>105</v>
      </c>
      <c r="B549" s="35">
        <v>4</v>
      </c>
      <c r="C549" s="35">
        <v>700</v>
      </c>
      <c r="D549" s="36" t="s">
        <v>419</v>
      </c>
      <c r="E549" s="36" t="s">
        <v>418</v>
      </c>
      <c r="F549" s="35">
        <v>14.8</v>
      </c>
      <c r="G549" s="35">
        <v>9055</v>
      </c>
      <c r="H549" s="35">
        <v>89.7</v>
      </c>
      <c r="I549" s="35">
        <v>1327.6</v>
      </c>
      <c r="J549" s="35">
        <v>4.4145827056342277</v>
      </c>
      <c r="K549" s="35">
        <v>8.5500000000000007</v>
      </c>
      <c r="L549" s="35">
        <v>125.69333333333333</v>
      </c>
      <c r="M549" s="35">
        <v>0.6440192829165412</v>
      </c>
      <c r="N549" s="35">
        <v>99.9</v>
      </c>
      <c r="O549" s="35">
        <v>51.293752999999995</v>
      </c>
    </row>
    <row r="550" spans="1:15" x14ac:dyDescent="0.3">
      <c r="A550" s="35" t="s">
        <v>167</v>
      </c>
      <c r="B550" s="35">
        <v>2.9999999999999996</v>
      </c>
      <c r="C550" s="35">
        <v>1860</v>
      </c>
      <c r="D550" s="36">
        <v>6.5</v>
      </c>
      <c r="E550" s="36">
        <v>5</v>
      </c>
      <c r="F550" s="35">
        <v>11.1</v>
      </c>
      <c r="G550" s="35">
        <v>17361</v>
      </c>
      <c r="H550" s="35">
        <v>46.34</v>
      </c>
      <c r="I550" s="35">
        <v>514.4</v>
      </c>
      <c r="J550" s="35">
        <v>11.652410575427684</v>
      </c>
      <c r="K550" s="35">
        <v>3.3112499999999998</v>
      </c>
      <c r="L550" s="35">
        <v>120.56</v>
      </c>
      <c r="M550" s="35">
        <v>0.64371111975116635</v>
      </c>
      <c r="N550" s="35">
        <v>97.68</v>
      </c>
      <c r="O550" s="35">
        <v>46.108474999999999</v>
      </c>
    </row>
    <row r="551" spans="1:15" x14ac:dyDescent="0.3">
      <c r="A551" s="35" t="s">
        <v>201</v>
      </c>
      <c r="B551" s="35">
        <v>5.9999999999999991</v>
      </c>
      <c r="C551" s="35">
        <v>1050</v>
      </c>
      <c r="D551" s="36" t="s">
        <v>414</v>
      </c>
      <c r="E551" s="36">
        <v>4.5</v>
      </c>
      <c r="F551" s="35">
        <v>22.2</v>
      </c>
      <c r="G551" s="35">
        <v>21695</v>
      </c>
      <c r="H551" s="35">
        <v>44.6</v>
      </c>
      <c r="I551" s="35">
        <v>990</v>
      </c>
      <c r="J551" s="35">
        <v>6.0545454545454556</v>
      </c>
      <c r="K551" s="35">
        <v>6.3674999999999997</v>
      </c>
      <c r="L551" s="35">
        <v>135.66666666666666</v>
      </c>
      <c r="M551" s="35">
        <v>0.64318181818181819</v>
      </c>
      <c r="N551" s="35">
        <v>97.68</v>
      </c>
      <c r="O551" s="35">
        <v>46.108474999999999</v>
      </c>
    </row>
    <row r="552" spans="1:15" x14ac:dyDescent="0.3">
      <c r="A552" s="35" t="s">
        <v>201</v>
      </c>
      <c r="B552" s="35">
        <v>4</v>
      </c>
      <c r="C552" s="35">
        <v>1050</v>
      </c>
      <c r="D552" s="36">
        <v>7.5</v>
      </c>
      <c r="E552" s="36" t="s">
        <v>416</v>
      </c>
      <c r="F552" s="35">
        <v>14.8</v>
      </c>
      <c r="G552" s="35">
        <v>13399</v>
      </c>
      <c r="H552" s="35">
        <v>62.08</v>
      </c>
      <c r="I552" s="35">
        <v>918.6</v>
      </c>
      <c r="J552" s="35">
        <v>6.3801436969301122</v>
      </c>
      <c r="K552" s="35">
        <v>5.9</v>
      </c>
      <c r="L552" s="35">
        <v>74.506666666666661</v>
      </c>
      <c r="M552" s="35">
        <v>0.64228173307206615</v>
      </c>
      <c r="N552" s="35">
        <v>97.68</v>
      </c>
      <c r="O552" s="35">
        <v>46.108474999999999</v>
      </c>
    </row>
    <row r="553" spans="1:15" x14ac:dyDescent="0.3">
      <c r="A553" s="35" t="s">
        <v>242</v>
      </c>
      <c r="B553" s="35">
        <v>5</v>
      </c>
      <c r="C553" s="35">
        <v>760</v>
      </c>
      <c r="D553" s="36" t="s">
        <v>417</v>
      </c>
      <c r="E553" s="36">
        <v>7.5</v>
      </c>
      <c r="F553" s="35">
        <v>18.5</v>
      </c>
      <c r="G553" s="35">
        <v>10916</v>
      </c>
      <c r="H553" s="35">
        <v>59.78</v>
      </c>
      <c r="I553" s="35">
        <v>1106</v>
      </c>
      <c r="J553" s="35">
        <v>5.0180831826401446</v>
      </c>
      <c r="K553" s="35">
        <v>7.07</v>
      </c>
      <c r="L553" s="35">
        <v>113.7</v>
      </c>
      <c r="M553" s="35">
        <v>0.63924050632911389</v>
      </c>
      <c r="N553" s="35">
        <v>97.68</v>
      </c>
      <c r="O553" s="35">
        <v>46.108474999999999</v>
      </c>
    </row>
    <row r="554" spans="1:15" x14ac:dyDescent="0.3">
      <c r="A554" s="35" t="s">
        <v>203</v>
      </c>
      <c r="B554" s="35">
        <v>5</v>
      </c>
      <c r="C554" s="35">
        <v>1400</v>
      </c>
      <c r="D554" s="36" t="s">
        <v>414</v>
      </c>
      <c r="E554" s="36">
        <v>4.5</v>
      </c>
      <c r="F554" s="35">
        <v>18.5</v>
      </c>
      <c r="G554" s="35">
        <v>22425</v>
      </c>
      <c r="H554" s="35">
        <v>57.5</v>
      </c>
      <c r="I554" s="35">
        <v>1063.5999999999999</v>
      </c>
      <c r="J554" s="35">
        <v>5.2181271154569391</v>
      </c>
      <c r="K554" s="35">
        <v>6.7774999999999999</v>
      </c>
      <c r="L554" s="35">
        <v>140.21333333333331</v>
      </c>
      <c r="M554" s="35">
        <v>0.63722264009025953</v>
      </c>
      <c r="N554" s="35">
        <v>97.68</v>
      </c>
      <c r="O554" s="35">
        <v>46.108474999999999</v>
      </c>
    </row>
    <row r="555" spans="1:15" x14ac:dyDescent="0.3">
      <c r="A555" s="35" t="s">
        <v>154</v>
      </c>
      <c r="B555" s="35">
        <v>4</v>
      </c>
      <c r="C555" s="35">
        <v>1360</v>
      </c>
      <c r="D555" s="36">
        <v>6.5</v>
      </c>
      <c r="E555" s="36">
        <v>5.5</v>
      </c>
      <c r="F555" s="35">
        <v>14.8</v>
      </c>
      <c r="G555" s="35">
        <v>16623</v>
      </c>
      <c r="H555" s="35">
        <v>33.24</v>
      </c>
      <c r="I555" s="35">
        <v>492</v>
      </c>
      <c r="J555" s="35">
        <v>11.912195121951219</v>
      </c>
      <c r="K555" s="35">
        <v>3.1349999999999998</v>
      </c>
      <c r="L555" s="35">
        <v>127.01333333333332</v>
      </c>
      <c r="M555" s="35">
        <v>0.63719512195121952</v>
      </c>
      <c r="N555" s="35">
        <v>97.68</v>
      </c>
      <c r="O555" s="35">
        <v>46.108474999999999</v>
      </c>
    </row>
    <row r="556" spans="1:15" x14ac:dyDescent="0.3">
      <c r="A556" s="35" t="s">
        <v>209</v>
      </c>
      <c r="B556" s="35">
        <v>5</v>
      </c>
      <c r="C556" s="35">
        <v>1170</v>
      </c>
      <c r="D556" s="36" t="s">
        <v>412</v>
      </c>
      <c r="E556" s="36" t="s">
        <v>416</v>
      </c>
      <c r="F556" s="35">
        <v>18.5</v>
      </c>
      <c r="G556" s="35">
        <v>19364</v>
      </c>
      <c r="H556" s="35">
        <v>64.16</v>
      </c>
      <c r="I556" s="35">
        <v>1187</v>
      </c>
      <c r="J556" s="35">
        <v>4.6756529064869419</v>
      </c>
      <c r="K556" s="35">
        <v>7.5612500000000002</v>
      </c>
      <c r="L556" s="35">
        <v>107.50666666666666</v>
      </c>
      <c r="M556" s="35">
        <v>0.63700505475989888</v>
      </c>
      <c r="N556" s="35">
        <v>97.68</v>
      </c>
      <c r="O556" s="35">
        <v>46.108474999999999</v>
      </c>
    </row>
    <row r="557" spans="1:15" x14ac:dyDescent="0.3">
      <c r="A557" s="35" t="s">
        <v>209</v>
      </c>
      <c r="B557" s="35">
        <v>2.9999999999999996</v>
      </c>
      <c r="C557" s="35">
        <v>1170</v>
      </c>
      <c r="D557" s="36" t="s">
        <v>418</v>
      </c>
      <c r="E557" s="36" t="s">
        <v>412</v>
      </c>
      <c r="F557" s="35">
        <v>11.1</v>
      </c>
      <c r="G557" s="35">
        <v>10267</v>
      </c>
      <c r="H557" s="35">
        <v>86.18</v>
      </c>
      <c r="I557" s="35">
        <v>956.6</v>
      </c>
      <c r="J557" s="35">
        <v>6.265941877482752</v>
      </c>
      <c r="K557" s="35">
        <v>6.0762499999999999</v>
      </c>
      <c r="L557" s="35">
        <v>99.879999999999981</v>
      </c>
      <c r="M557" s="35">
        <v>0.6351923478988083</v>
      </c>
      <c r="N557" s="35">
        <v>97.68</v>
      </c>
      <c r="O557" s="35">
        <v>46.108474999999999</v>
      </c>
    </row>
    <row r="558" spans="1:15" x14ac:dyDescent="0.3">
      <c r="A558" s="35" t="s">
        <v>209</v>
      </c>
      <c r="B558" s="35">
        <v>4</v>
      </c>
      <c r="C558" s="35">
        <v>1170</v>
      </c>
      <c r="D558" s="36" t="s">
        <v>415</v>
      </c>
      <c r="E558" s="36" t="s">
        <v>414</v>
      </c>
      <c r="F558" s="35">
        <v>14.8</v>
      </c>
      <c r="G558" s="35">
        <v>14444</v>
      </c>
      <c r="H558" s="35">
        <v>84.24</v>
      </c>
      <c r="I558" s="35">
        <v>1246.5999999999999</v>
      </c>
      <c r="J558" s="35">
        <v>4.7014278838440564</v>
      </c>
      <c r="K558" s="35">
        <v>7.8925000000000001</v>
      </c>
      <c r="L558" s="35">
        <v>120.41333333333331</v>
      </c>
      <c r="M558" s="35">
        <v>0.6331220920904862</v>
      </c>
      <c r="N558" s="35">
        <v>97.68</v>
      </c>
      <c r="O558" s="35">
        <v>46.108474999999999</v>
      </c>
    </row>
    <row r="559" spans="1:15" x14ac:dyDescent="0.3">
      <c r="A559" s="35" t="s">
        <v>207</v>
      </c>
      <c r="B559" s="35">
        <v>4</v>
      </c>
      <c r="C559" s="35">
        <v>850</v>
      </c>
      <c r="D559" s="36">
        <v>7.5</v>
      </c>
      <c r="E559" s="36" t="s">
        <v>416</v>
      </c>
      <c r="F559" s="35">
        <v>14.8</v>
      </c>
      <c r="G559" s="35">
        <v>11672</v>
      </c>
      <c r="H559" s="35">
        <v>42.86</v>
      </c>
      <c r="I559" s="35">
        <v>634.20000000000005</v>
      </c>
      <c r="J559" s="35">
        <v>9.2412488174077581</v>
      </c>
      <c r="K559" s="35">
        <v>4.0125000000000002</v>
      </c>
      <c r="L559" s="35">
        <v>64.826666666666668</v>
      </c>
      <c r="M559" s="35">
        <v>0.6326868495742668</v>
      </c>
      <c r="N559" s="35">
        <v>97.68</v>
      </c>
      <c r="O559" s="35">
        <v>46.108474999999999</v>
      </c>
    </row>
    <row r="560" spans="1:15" x14ac:dyDescent="0.3">
      <c r="A560" s="35" t="s">
        <v>242</v>
      </c>
      <c r="B560" s="35">
        <v>5.9999999999999991</v>
      </c>
      <c r="C560" s="35">
        <v>760</v>
      </c>
      <c r="D560" s="36" t="s">
        <v>415</v>
      </c>
      <c r="E560" s="36" t="s">
        <v>414</v>
      </c>
      <c r="F560" s="35">
        <v>22.2</v>
      </c>
      <c r="G560" s="35">
        <v>13670</v>
      </c>
      <c r="H560" s="35">
        <v>53.44</v>
      </c>
      <c r="I560" s="35">
        <v>1186.4000000000001</v>
      </c>
      <c r="J560" s="35">
        <v>5.052258934592043</v>
      </c>
      <c r="K560" s="35">
        <v>7.5039999999999996</v>
      </c>
      <c r="L560" s="35">
        <v>114</v>
      </c>
      <c r="M560" s="35">
        <v>0.63250168577208354</v>
      </c>
      <c r="N560" s="35">
        <v>97.68</v>
      </c>
      <c r="O560" s="35">
        <v>46.108474999999999</v>
      </c>
    </row>
    <row r="561" spans="1:15" x14ac:dyDescent="0.3">
      <c r="A561" s="35" t="s">
        <v>216</v>
      </c>
      <c r="B561" s="35">
        <v>4</v>
      </c>
      <c r="C561" s="35">
        <v>970</v>
      </c>
      <c r="D561" s="36" t="s">
        <v>415</v>
      </c>
      <c r="E561" s="36" t="s">
        <v>415</v>
      </c>
      <c r="F561" s="35">
        <v>14.8</v>
      </c>
      <c r="G561" s="35">
        <v>12050</v>
      </c>
      <c r="H561" s="35">
        <v>59.52</v>
      </c>
      <c r="I561" s="35">
        <v>880.8</v>
      </c>
      <c r="J561" s="35">
        <v>6.6539509536784749</v>
      </c>
      <c r="K561" s="35">
        <v>5.56</v>
      </c>
      <c r="L561" s="35">
        <v>133.90666666666667</v>
      </c>
      <c r="M561" s="35">
        <v>0.63124432334241598</v>
      </c>
      <c r="N561" s="35">
        <v>97.68</v>
      </c>
      <c r="O561" s="35">
        <v>46.108474999999999</v>
      </c>
    </row>
    <row r="562" spans="1:15" x14ac:dyDescent="0.3">
      <c r="A562" s="35" t="s">
        <v>209</v>
      </c>
      <c r="B562" s="35">
        <v>2.9999999999999996</v>
      </c>
      <c r="C562" s="35">
        <v>1170</v>
      </c>
      <c r="D562" s="36" t="s">
        <v>417</v>
      </c>
      <c r="E562" s="36">
        <v>7.5</v>
      </c>
      <c r="F562" s="35">
        <v>11.1</v>
      </c>
      <c r="G562" s="35">
        <v>10188</v>
      </c>
      <c r="H562" s="35">
        <v>86.86</v>
      </c>
      <c r="I562" s="35">
        <v>964.2</v>
      </c>
      <c r="J562" s="35">
        <v>6.2165525824517731</v>
      </c>
      <c r="K562" s="35">
        <v>6.05</v>
      </c>
      <c r="L562" s="35">
        <v>106.18666666666667</v>
      </c>
      <c r="M562" s="35">
        <v>0.62746318191246619</v>
      </c>
      <c r="N562" s="35">
        <v>97.68</v>
      </c>
      <c r="O562" s="35">
        <v>46.108474999999999</v>
      </c>
    </row>
    <row r="563" spans="1:15" x14ac:dyDescent="0.3">
      <c r="A563" s="35" t="s">
        <v>209</v>
      </c>
      <c r="B563" s="35">
        <v>2.9999999999999996</v>
      </c>
      <c r="C563" s="35">
        <v>1170</v>
      </c>
      <c r="D563" s="36" t="s">
        <v>418</v>
      </c>
      <c r="E563" s="36" t="s">
        <v>415</v>
      </c>
      <c r="F563" s="35">
        <v>11.1</v>
      </c>
      <c r="G563" s="35">
        <v>9969</v>
      </c>
      <c r="H563" s="35">
        <v>94.28</v>
      </c>
      <c r="I563" s="35">
        <v>1046.5999999999999</v>
      </c>
      <c r="J563" s="35">
        <v>5.7271163768392901</v>
      </c>
      <c r="K563" s="35">
        <v>6.5562500000000004</v>
      </c>
      <c r="L563" s="35">
        <v>110.73333333333332</v>
      </c>
      <c r="M563" s="35">
        <v>0.62643321230651638</v>
      </c>
      <c r="N563" s="35">
        <v>97.68</v>
      </c>
      <c r="O563" s="35">
        <v>46.108474999999999</v>
      </c>
    </row>
    <row r="564" spans="1:15" x14ac:dyDescent="0.3">
      <c r="A564" s="35" t="s">
        <v>254</v>
      </c>
      <c r="B564" s="35">
        <v>4</v>
      </c>
      <c r="C564" s="35">
        <v>1080</v>
      </c>
      <c r="D564" s="36" t="s">
        <v>415</v>
      </c>
      <c r="E564" s="36" t="s">
        <v>414</v>
      </c>
      <c r="F564" s="35">
        <v>14.8</v>
      </c>
      <c r="G564" s="35">
        <v>13813</v>
      </c>
      <c r="H564" s="35">
        <v>77.44</v>
      </c>
      <c r="I564" s="35">
        <v>1146.2</v>
      </c>
      <c r="J564" s="35">
        <v>5.113243761996161</v>
      </c>
      <c r="K564" s="35">
        <v>7.16</v>
      </c>
      <c r="L564" s="35">
        <v>115.1</v>
      </c>
      <c r="M564" s="35">
        <v>0.62467283196649792</v>
      </c>
      <c r="N564" s="35">
        <v>97.68</v>
      </c>
      <c r="O564" s="35">
        <v>46.108474999999999</v>
      </c>
    </row>
    <row r="565" spans="1:15" x14ac:dyDescent="0.3">
      <c r="A565" s="35" t="s">
        <v>97</v>
      </c>
      <c r="B565" s="35">
        <v>5.9999999999999991</v>
      </c>
      <c r="C565" s="35">
        <v>520</v>
      </c>
      <c r="D565" s="36" t="s">
        <v>419</v>
      </c>
      <c r="E565" s="36" t="s">
        <v>415</v>
      </c>
      <c r="F565" s="35">
        <v>22.2</v>
      </c>
      <c r="G565" s="35">
        <v>10475</v>
      </c>
      <c r="H565" s="35">
        <v>66.56</v>
      </c>
      <c r="I565" s="35">
        <v>1477.6</v>
      </c>
      <c r="J565" s="35">
        <v>4.0565782349756363</v>
      </c>
      <c r="K565" s="35">
        <v>9.1887500000000006</v>
      </c>
      <c r="L565" s="35">
        <v>116.45333333333333</v>
      </c>
      <c r="M565" s="35">
        <v>0.62186992420140774</v>
      </c>
      <c r="N565" s="35">
        <v>97.68</v>
      </c>
      <c r="O565" s="35">
        <v>46.108474999999999</v>
      </c>
    </row>
    <row r="566" spans="1:15" x14ac:dyDescent="0.3">
      <c r="A566" s="35" t="s">
        <v>253</v>
      </c>
      <c r="B566" s="35">
        <v>5</v>
      </c>
      <c r="C566" s="35">
        <v>1300</v>
      </c>
      <c r="D566" s="36" t="s">
        <v>412</v>
      </c>
      <c r="E566" s="36" t="s">
        <v>416</v>
      </c>
      <c r="F566" s="35">
        <v>18.5</v>
      </c>
      <c r="G566" s="35">
        <v>20692</v>
      </c>
      <c r="H566" s="35">
        <v>73.680000000000007</v>
      </c>
      <c r="I566" s="35">
        <v>1362.8</v>
      </c>
      <c r="J566" s="35">
        <v>4.072497798649839</v>
      </c>
      <c r="K566" s="35">
        <v>8.4640000000000004</v>
      </c>
      <c r="L566" s="35">
        <v>115</v>
      </c>
      <c r="M566" s="35">
        <v>0.62107425887877898</v>
      </c>
      <c r="N566" s="35">
        <v>97.68</v>
      </c>
      <c r="O566" s="35">
        <v>46.108474999999999</v>
      </c>
    </row>
    <row r="567" spans="1:15" x14ac:dyDescent="0.3">
      <c r="A567" s="35" t="s">
        <v>102</v>
      </c>
      <c r="B567" s="35">
        <v>4</v>
      </c>
      <c r="C567" s="35">
        <v>600</v>
      </c>
      <c r="D567" s="36" t="s">
        <v>420</v>
      </c>
      <c r="E567" s="36" t="s">
        <v>420</v>
      </c>
      <c r="F567" s="35">
        <v>14.8</v>
      </c>
      <c r="G567" s="35">
        <v>7866</v>
      </c>
      <c r="H567" s="35">
        <v>91.96</v>
      </c>
      <c r="I567" s="35">
        <v>1361</v>
      </c>
      <c r="J567" s="35">
        <v>4.3062454077883912</v>
      </c>
      <c r="K567" s="35">
        <v>8.4387500000000006</v>
      </c>
      <c r="L567" s="35">
        <v>131.12</v>
      </c>
      <c r="M567" s="35">
        <v>0.62004041146216027</v>
      </c>
      <c r="N567" s="35">
        <v>97.68</v>
      </c>
      <c r="O567" s="35">
        <v>46.108474999999999</v>
      </c>
    </row>
    <row r="568" spans="1:15" x14ac:dyDescent="0.3">
      <c r="A568" s="35" t="s">
        <v>216</v>
      </c>
      <c r="B568" s="35">
        <v>5</v>
      </c>
      <c r="C568" s="35">
        <v>970</v>
      </c>
      <c r="D568" s="36" t="s">
        <v>415</v>
      </c>
      <c r="E568" s="36" t="s">
        <v>414</v>
      </c>
      <c r="F568" s="35">
        <v>18.5</v>
      </c>
      <c r="G568" s="35">
        <v>14863</v>
      </c>
      <c r="H568" s="35">
        <v>73.14</v>
      </c>
      <c r="I568" s="35">
        <v>1353</v>
      </c>
      <c r="J568" s="35">
        <v>4.1019955654101992</v>
      </c>
      <c r="K568" s="35">
        <v>8.3550000000000004</v>
      </c>
      <c r="L568" s="35">
        <v>123.78666666666666</v>
      </c>
      <c r="M568" s="35">
        <v>0.6175166297117517</v>
      </c>
      <c r="N568" s="35">
        <v>97.68</v>
      </c>
      <c r="O568" s="35">
        <v>46.108474999999999</v>
      </c>
    </row>
    <row r="569" spans="1:15" x14ac:dyDescent="0.3">
      <c r="A569" s="35" t="s">
        <v>254</v>
      </c>
      <c r="B569" s="35">
        <v>4</v>
      </c>
      <c r="C569" s="35">
        <v>1350</v>
      </c>
      <c r="D569" s="36" t="s">
        <v>412</v>
      </c>
      <c r="E569" s="36" t="s">
        <v>414</v>
      </c>
      <c r="F569" s="35">
        <v>14.8</v>
      </c>
      <c r="G569" s="35">
        <v>17800</v>
      </c>
      <c r="H569" s="35">
        <v>75.86</v>
      </c>
      <c r="I569" s="35">
        <v>1122.5999999999999</v>
      </c>
      <c r="J569" s="35">
        <v>5.2207375734901129</v>
      </c>
      <c r="K569" s="35">
        <v>6.9119999999999999</v>
      </c>
      <c r="L569" s="35">
        <v>148.30000000000001</v>
      </c>
      <c r="M569" s="35">
        <v>0.61571352218065212</v>
      </c>
      <c r="N569" s="35">
        <v>97.68</v>
      </c>
      <c r="O569" s="35">
        <v>46.108474999999999</v>
      </c>
    </row>
    <row r="570" spans="1:15" x14ac:dyDescent="0.3">
      <c r="A570" s="35" t="s">
        <v>254</v>
      </c>
      <c r="B570" s="35">
        <v>2.9999999999999996</v>
      </c>
      <c r="C570" s="35">
        <v>1080</v>
      </c>
      <c r="D570" s="36" t="s">
        <v>417</v>
      </c>
      <c r="E570" s="36" t="s">
        <v>417</v>
      </c>
      <c r="F570" s="35">
        <v>11.1</v>
      </c>
      <c r="G570" s="35">
        <v>9903</v>
      </c>
      <c r="H570" s="35">
        <v>84.1</v>
      </c>
      <c r="I570" s="35">
        <v>933.6</v>
      </c>
      <c r="J570" s="35">
        <v>6.4203084832904889</v>
      </c>
      <c r="K570" s="35">
        <v>5.73</v>
      </c>
      <c r="L570" s="35">
        <v>123.8</v>
      </c>
      <c r="M570" s="35">
        <v>0.61375321336760935</v>
      </c>
      <c r="N570" s="35">
        <v>92.5</v>
      </c>
      <c r="O570" s="35">
        <v>46.884502999999995</v>
      </c>
    </row>
    <row r="571" spans="1:15" x14ac:dyDescent="0.3">
      <c r="A571" s="35" t="s">
        <v>167</v>
      </c>
      <c r="B571" s="35">
        <v>2.9999999999999996</v>
      </c>
      <c r="C571" s="35">
        <v>1860</v>
      </c>
      <c r="D571" s="36">
        <v>6.5</v>
      </c>
      <c r="E571" s="36">
        <v>5.5</v>
      </c>
      <c r="F571" s="35">
        <v>11.1</v>
      </c>
      <c r="G571" s="35">
        <v>17171</v>
      </c>
      <c r="H571" s="35">
        <v>48.86</v>
      </c>
      <c r="I571" s="35">
        <v>542.4</v>
      </c>
      <c r="J571" s="35">
        <v>11.050884955752213</v>
      </c>
      <c r="K571" s="35">
        <v>3.3162500000000001</v>
      </c>
      <c r="L571" s="35">
        <v>131.12</v>
      </c>
      <c r="M571" s="35">
        <v>0.61140302359882015</v>
      </c>
      <c r="N571" s="35">
        <v>92.5</v>
      </c>
      <c r="O571" s="35">
        <v>46.884502999999995</v>
      </c>
    </row>
    <row r="572" spans="1:15" x14ac:dyDescent="0.3">
      <c r="A572" s="35" t="s">
        <v>201</v>
      </c>
      <c r="B572" s="35">
        <v>5.9999999999999991</v>
      </c>
      <c r="C572" s="35">
        <v>1050</v>
      </c>
      <c r="D572" s="36">
        <v>6</v>
      </c>
      <c r="E572" s="36">
        <v>4.3</v>
      </c>
      <c r="F572" s="35">
        <v>22.2</v>
      </c>
      <c r="G572" s="35">
        <v>21532</v>
      </c>
      <c r="H572" s="35">
        <v>47.3</v>
      </c>
      <c r="I572" s="35">
        <v>1050</v>
      </c>
      <c r="J572" s="35">
        <v>5.7085714285714291</v>
      </c>
      <c r="K572" s="35">
        <v>6.415</v>
      </c>
      <c r="L572" s="35">
        <v>128.62666666666667</v>
      </c>
      <c r="M572" s="35">
        <v>0.61095238095238091</v>
      </c>
      <c r="N572" s="35">
        <v>92.5</v>
      </c>
      <c r="O572" s="35">
        <v>46.884502999999995</v>
      </c>
    </row>
    <row r="573" spans="1:15" x14ac:dyDescent="0.3">
      <c r="A573" s="35" t="s">
        <v>205</v>
      </c>
      <c r="B573" s="35">
        <v>4</v>
      </c>
      <c r="C573" s="35">
        <v>1700</v>
      </c>
      <c r="D573" s="36" t="s">
        <v>414</v>
      </c>
      <c r="E573" s="36">
        <v>4.3</v>
      </c>
      <c r="F573" s="35">
        <v>14.8</v>
      </c>
      <c r="G573" s="35">
        <v>21375</v>
      </c>
      <c r="H573" s="35">
        <v>70.78</v>
      </c>
      <c r="I573" s="35">
        <v>1047.4000000000001</v>
      </c>
      <c r="J573" s="35">
        <v>5.5955699828145882</v>
      </c>
      <c r="K573" s="35">
        <v>6.3762499999999998</v>
      </c>
      <c r="L573" s="35">
        <v>127.6</v>
      </c>
      <c r="M573" s="35">
        <v>0.60876933358793195</v>
      </c>
      <c r="N573" s="35">
        <v>92.5</v>
      </c>
      <c r="O573" s="35">
        <v>46.884502999999995</v>
      </c>
    </row>
    <row r="574" spans="1:15" x14ac:dyDescent="0.3">
      <c r="A574" s="35" t="s">
        <v>205</v>
      </c>
      <c r="B574" s="35">
        <v>4</v>
      </c>
      <c r="C574" s="35">
        <v>1700</v>
      </c>
      <c r="D574" s="36" t="s">
        <v>412</v>
      </c>
      <c r="E574" s="36" t="s">
        <v>416</v>
      </c>
      <c r="F574" s="35">
        <v>14.8</v>
      </c>
      <c r="G574" s="35">
        <v>20633</v>
      </c>
      <c r="H574" s="35">
        <v>88.64</v>
      </c>
      <c r="I574" s="35">
        <v>1311.8</v>
      </c>
      <c r="J574" s="35">
        <v>4.4677542308278708</v>
      </c>
      <c r="K574" s="35">
        <v>7.95</v>
      </c>
      <c r="L574" s="35">
        <v>114.69333333333333</v>
      </c>
      <c r="M574" s="35">
        <v>0.60603750571733506</v>
      </c>
      <c r="N574" s="35">
        <v>92.5</v>
      </c>
      <c r="O574" s="35">
        <v>46.884502999999995</v>
      </c>
    </row>
    <row r="575" spans="1:15" x14ac:dyDescent="0.3">
      <c r="A575" s="35" t="s">
        <v>201</v>
      </c>
      <c r="B575" s="35">
        <v>4</v>
      </c>
      <c r="C575" s="35">
        <v>1050</v>
      </c>
      <c r="D575" s="36" t="s">
        <v>412</v>
      </c>
      <c r="E575" s="36" t="s">
        <v>412</v>
      </c>
      <c r="F575" s="35">
        <v>14.8</v>
      </c>
      <c r="G575" s="35">
        <v>14070</v>
      </c>
      <c r="H575" s="35">
        <v>50.6</v>
      </c>
      <c r="I575" s="35">
        <v>748.8</v>
      </c>
      <c r="J575" s="35">
        <v>7.8269230769230775</v>
      </c>
      <c r="K575" s="35">
        <v>4.5237499999999997</v>
      </c>
      <c r="L575" s="35">
        <v>136.83999999999997</v>
      </c>
      <c r="M575" s="35">
        <v>0.60413327991452992</v>
      </c>
      <c r="N575" s="35">
        <v>92.5</v>
      </c>
      <c r="O575" s="35">
        <v>46.884502999999995</v>
      </c>
    </row>
    <row r="576" spans="1:15" x14ac:dyDescent="0.3">
      <c r="A576" s="35" t="s">
        <v>201</v>
      </c>
      <c r="B576" s="35">
        <v>5.9999999999999991</v>
      </c>
      <c r="C576" s="35">
        <v>1050</v>
      </c>
      <c r="D576" s="36" t="s">
        <v>412</v>
      </c>
      <c r="E576" s="36" t="s">
        <v>416</v>
      </c>
      <c r="F576" s="35">
        <v>22.2</v>
      </c>
      <c r="G576" s="35">
        <v>20804</v>
      </c>
      <c r="H576" s="35">
        <v>59.96</v>
      </c>
      <c r="I576" s="35">
        <v>1331</v>
      </c>
      <c r="J576" s="35">
        <v>4.5033809166040566</v>
      </c>
      <c r="K576" s="35">
        <v>8.0250000000000004</v>
      </c>
      <c r="L576" s="35">
        <v>115.57333333333332</v>
      </c>
      <c r="M576" s="35">
        <v>0.60293012772351617</v>
      </c>
      <c r="N576" s="35">
        <v>92.5</v>
      </c>
      <c r="O576" s="35">
        <v>46.884502999999995</v>
      </c>
    </row>
    <row r="577" spans="1:15" x14ac:dyDescent="0.3">
      <c r="A577" s="35" t="s">
        <v>203</v>
      </c>
      <c r="B577" s="35">
        <v>5</v>
      </c>
      <c r="C577" s="35">
        <v>1400</v>
      </c>
      <c r="D577" s="36" t="s">
        <v>414</v>
      </c>
      <c r="E577" s="36">
        <v>4.3</v>
      </c>
      <c r="F577" s="35">
        <v>18.5</v>
      </c>
      <c r="G577" s="35">
        <v>22190</v>
      </c>
      <c r="H577" s="35">
        <v>61.98</v>
      </c>
      <c r="I577" s="35">
        <v>1146.5999999999999</v>
      </c>
      <c r="J577" s="35">
        <v>4.8403976975405554</v>
      </c>
      <c r="K577" s="35">
        <v>6.8525</v>
      </c>
      <c r="L577" s="35">
        <v>132.58666666666667</v>
      </c>
      <c r="M577" s="35">
        <v>0.59763649049363343</v>
      </c>
      <c r="N577" s="35">
        <v>92.5</v>
      </c>
      <c r="O577" s="35">
        <v>46.884502999999995</v>
      </c>
    </row>
    <row r="578" spans="1:15" x14ac:dyDescent="0.3">
      <c r="A578" s="35" t="s">
        <v>153</v>
      </c>
      <c r="B578" s="35">
        <v>4</v>
      </c>
      <c r="C578" s="35">
        <v>1150</v>
      </c>
      <c r="D578" s="36" t="s">
        <v>412</v>
      </c>
      <c r="E578" s="36" t="s">
        <v>414</v>
      </c>
      <c r="F578" s="35">
        <v>14.8</v>
      </c>
      <c r="G578" s="35">
        <v>14678</v>
      </c>
      <c r="H578" s="35">
        <v>33.24</v>
      </c>
      <c r="I578" s="35">
        <v>492</v>
      </c>
      <c r="J578" s="35">
        <v>11.912195121951219</v>
      </c>
      <c r="K578" s="35">
        <v>2.9275000000000002</v>
      </c>
      <c r="L578" s="35">
        <v>122.32</v>
      </c>
      <c r="M578" s="35">
        <v>0.5950203252032521</v>
      </c>
      <c r="N578" s="35">
        <v>92.5</v>
      </c>
      <c r="O578" s="35">
        <v>46.884502999999995</v>
      </c>
    </row>
    <row r="579" spans="1:15" x14ac:dyDescent="0.3">
      <c r="A579" s="35" t="s">
        <v>203</v>
      </c>
      <c r="B579" s="35">
        <v>4</v>
      </c>
      <c r="C579" s="35">
        <v>1400</v>
      </c>
      <c r="D579" s="36" t="s">
        <v>412</v>
      </c>
      <c r="E579" s="36" t="s">
        <v>414</v>
      </c>
      <c r="F579" s="35">
        <v>14.8</v>
      </c>
      <c r="G579" s="35">
        <v>17177</v>
      </c>
      <c r="H579" s="35">
        <v>74.36</v>
      </c>
      <c r="I579" s="35">
        <v>1100.4000000000001</v>
      </c>
      <c r="J579" s="35">
        <v>5.3260632497273717</v>
      </c>
      <c r="K579" s="35">
        <v>6.5250000000000004</v>
      </c>
      <c r="L579" s="35">
        <v>143.14666666666665</v>
      </c>
      <c r="M579" s="35">
        <v>0.5929661941112323</v>
      </c>
      <c r="N579" s="35">
        <v>92.5</v>
      </c>
      <c r="O579" s="35">
        <v>46.884502999999995</v>
      </c>
    </row>
    <row r="580" spans="1:15" x14ac:dyDescent="0.3">
      <c r="A580" s="35" t="s">
        <v>217</v>
      </c>
      <c r="B580" s="35">
        <v>2.9999999999999996</v>
      </c>
      <c r="C580" s="35">
        <v>1140</v>
      </c>
      <c r="D580" s="36" t="s">
        <v>417</v>
      </c>
      <c r="E580" s="36" t="s">
        <v>417</v>
      </c>
      <c r="F580" s="35">
        <v>11.1</v>
      </c>
      <c r="G580" s="35">
        <v>10035</v>
      </c>
      <c r="H580" s="35">
        <v>92.64</v>
      </c>
      <c r="I580" s="35">
        <v>1028.4000000000001</v>
      </c>
      <c r="J580" s="35">
        <v>5.828471411901984</v>
      </c>
      <c r="K580" s="35">
        <v>6.09375</v>
      </c>
      <c r="L580" s="35">
        <v>125.39999999999999</v>
      </c>
      <c r="M580" s="35">
        <v>0.59254667444574083</v>
      </c>
      <c r="N580" s="35">
        <v>92.5</v>
      </c>
      <c r="O580" s="35">
        <v>46.884502999999995</v>
      </c>
    </row>
    <row r="581" spans="1:15" x14ac:dyDescent="0.3">
      <c r="A581" s="35" t="s">
        <v>201</v>
      </c>
      <c r="B581" s="35">
        <v>5</v>
      </c>
      <c r="C581" s="35">
        <v>1050</v>
      </c>
      <c r="D581" s="36" t="s">
        <v>412</v>
      </c>
      <c r="E581" s="36" t="s">
        <v>414</v>
      </c>
      <c r="F581" s="35">
        <v>18.5</v>
      </c>
      <c r="G581" s="35">
        <v>17214</v>
      </c>
      <c r="H581" s="35">
        <v>59.92</v>
      </c>
      <c r="I581" s="35">
        <v>1108.4000000000001</v>
      </c>
      <c r="J581" s="35">
        <v>5.0072176109707689</v>
      </c>
      <c r="K581" s="35">
        <v>6.5437500000000002</v>
      </c>
      <c r="L581" s="35">
        <v>143.44</v>
      </c>
      <c r="M581" s="35">
        <v>0.59037802237459402</v>
      </c>
      <c r="N581" s="35">
        <v>92.5</v>
      </c>
      <c r="O581" s="35">
        <v>46.884502999999995</v>
      </c>
    </row>
    <row r="582" spans="1:15" x14ac:dyDescent="0.3">
      <c r="A582" s="35" t="s">
        <v>207</v>
      </c>
      <c r="B582" s="35">
        <v>5</v>
      </c>
      <c r="C582" s="35">
        <v>850</v>
      </c>
      <c r="D582" s="36" t="s">
        <v>412</v>
      </c>
      <c r="E582" s="36" t="s">
        <v>412</v>
      </c>
      <c r="F582" s="35">
        <v>18.5</v>
      </c>
      <c r="G582" s="35">
        <v>14652</v>
      </c>
      <c r="H582" s="35">
        <v>44.82</v>
      </c>
      <c r="I582" s="35">
        <v>829</v>
      </c>
      <c r="J582" s="35">
        <v>6.6948130277442699</v>
      </c>
      <c r="K582" s="35">
        <v>4.8849999999999998</v>
      </c>
      <c r="L582" s="35">
        <v>142.41333333333333</v>
      </c>
      <c r="M582" s="35">
        <v>0.5892641737032569</v>
      </c>
      <c r="N582" s="35">
        <v>92.5</v>
      </c>
      <c r="O582" s="35">
        <v>46.884502999999995</v>
      </c>
    </row>
    <row r="583" spans="1:15" x14ac:dyDescent="0.3">
      <c r="A583" s="35" t="s">
        <v>253</v>
      </c>
      <c r="B583" s="35">
        <v>2.9999999999999996</v>
      </c>
      <c r="C583" s="35">
        <v>1950</v>
      </c>
      <c r="D583" s="36" t="s">
        <v>412</v>
      </c>
      <c r="E583" s="36" t="s">
        <v>414</v>
      </c>
      <c r="F583" s="35">
        <v>11.1</v>
      </c>
      <c r="G583" s="35">
        <v>17881</v>
      </c>
      <c r="H583" s="35">
        <v>109.48</v>
      </c>
      <c r="I583" s="35">
        <v>1215.2</v>
      </c>
      <c r="J583" s="35">
        <v>4.9325213956550362</v>
      </c>
      <c r="K583" s="35">
        <v>7.16</v>
      </c>
      <c r="L583" s="35">
        <v>149</v>
      </c>
      <c r="M583" s="35">
        <v>0.5892034233048058</v>
      </c>
      <c r="N583" s="35">
        <v>92.5</v>
      </c>
      <c r="O583" s="35">
        <v>46.884502999999995</v>
      </c>
    </row>
    <row r="584" spans="1:15" x14ac:dyDescent="0.3">
      <c r="A584" s="35" t="s">
        <v>216</v>
      </c>
      <c r="B584" s="35">
        <v>2.9999999999999996</v>
      </c>
      <c r="C584" s="35">
        <v>970</v>
      </c>
      <c r="D584" s="36" t="s">
        <v>418</v>
      </c>
      <c r="E584" s="36" t="s">
        <v>418</v>
      </c>
      <c r="F584" s="35">
        <v>11.1</v>
      </c>
      <c r="G584" s="35">
        <v>8015</v>
      </c>
      <c r="H584" s="35">
        <v>75.319999999999993</v>
      </c>
      <c r="I584" s="35">
        <v>836.2</v>
      </c>
      <c r="J584" s="35">
        <v>7.168141592920354</v>
      </c>
      <c r="K584" s="35">
        <v>4.9249999999999998</v>
      </c>
      <c r="L584" s="35">
        <v>111.32000000000001</v>
      </c>
      <c r="M584" s="35">
        <v>0.58897392968189421</v>
      </c>
      <c r="N584" s="35">
        <v>99.9</v>
      </c>
      <c r="O584" s="35">
        <v>51.293752999999995</v>
      </c>
    </row>
    <row r="585" spans="1:15" x14ac:dyDescent="0.3">
      <c r="A585" s="35" t="s">
        <v>203</v>
      </c>
      <c r="B585" s="35">
        <v>4</v>
      </c>
      <c r="C585" s="35">
        <v>1400</v>
      </c>
      <c r="D585" s="36" t="s">
        <v>412</v>
      </c>
      <c r="E585" s="36" t="s">
        <v>413</v>
      </c>
      <c r="F585" s="35">
        <v>14.8</v>
      </c>
      <c r="G585" s="35">
        <v>17285</v>
      </c>
      <c r="H585" s="35">
        <v>68.78</v>
      </c>
      <c r="I585" s="35">
        <v>1017.8</v>
      </c>
      <c r="J585" s="35">
        <v>5.7583022204755361</v>
      </c>
      <c r="K585" s="35">
        <v>5.9787499999999998</v>
      </c>
      <c r="L585" s="35">
        <v>119.97333333333331</v>
      </c>
      <c r="M585" s="35">
        <v>0.58741894281784246</v>
      </c>
      <c r="N585" s="35">
        <v>99.9</v>
      </c>
      <c r="O585" s="35">
        <v>51.293752999999995</v>
      </c>
    </row>
    <row r="586" spans="1:15" x14ac:dyDescent="0.3">
      <c r="A586" s="35" t="s">
        <v>213</v>
      </c>
      <c r="B586" s="35">
        <v>4</v>
      </c>
      <c r="C586" s="35">
        <v>840</v>
      </c>
      <c r="D586" s="36" t="s">
        <v>417</v>
      </c>
      <c r="E586" s="36" t="s">
        <v>417</v>
      </c>
      <c r="F586" s="35">
        <v>14.8</v>
      </c>
      <c r="G586" s="35">
        <v>9918</v>
      </c>
      <c r="H586" s="35">
        <v>68.760000000000005</v>
      </c>
      <c r="I586" s="35">
        <v>1017.6</v>
      </c>
      <c r="J586" s="35">
        <v>5.7594339622641515</v>
      </c>
      <c r="K586" s="35">
        <v>5.9562499999999998</v>
      </c>
      <c r="L586" s="35">
        <v>123.93333333333332</v>
      </c>
      <c r="M586" s="35">
        <v>0.58532330974842761</v>
      </c>
      <c r="N586" s="35">
        <v>99.9</v>
      </c>
      <c r="O586" s="35">
        <v>51.293752999999995</v>
      </c>
    </row>
    <row r="587" spans="1:15" x14ac:dyDescent="0.3">
      <c r="A587" s="35" t="s">
        <v>106</v>
      </c>
      <c r="B587" s="35">
        <v>4</v>
      </c>
      <c r="C587" s="35">
        <v>830</v>
      </c>
      <c r="D587" s="36" t="s">
        <v>418</v>
      </c>
      <c r="E587" s="36" t="s">
        <v>415</v>
      </c>
      <c r="F587" s="35">
        <v>14.8</v>
      </c>
      <c r="G587" s="35">
        <v>11530</v>
      </c>
      <c r="H587" s="35">
        <v>98.94</v>
      </c>
      <c r="I587" s="35">
        <v>1464.4</v>
      </c>
      <c r="J587" s="35">
        <v>4.0021851953018306</v>
      </c>
      <c r="K587" s="35">
        <v>8.5712499999999991</v>
      </c>
      <c r="L587" s="35">
        <v>128.04</v>
      </c>
      <c r="M587" s="35">
        <v>0.58530797596285156</v>
      </c>
      <c r="N587" s="35">
        <v>99.9</v>
      </c>
      <c r="O587" s="35">
        <v>51.293752999999995</v>
      </c>
    </row>
    <row r="588" spans="1:15" x14ac:dyDescent="0.3">
      <c r="A588" s="35" t="s">
        <v>277</v>
      </c>
      <c r="B588" s="35">
        <v>5</v>
      </c>
      <c r="C588" s="35">
        <v>890</v>
      </c>
      <c r="D588" s="36" t="s">
        <v>415</v>
      </c>
      <c r="E588" s="36" t="s">
        <v>414</v>
      </c>
      <c r="F588" s="35">
        <v>18.5</v>
      </c>
      <c r="G588" s="35">
        <v>14024</v>
      </c>
      <c r="H588" s="35">
        <v>71.78</v>
      </c>
      <c r="I588" s="35">
        <v>1327.8</v>
      </c>
      <c r="J588" s="35">
        <v>4.1798463624039766</v>
      </c>
      <c r="K588" s="35">
        <v>7.76</v>
      </c>
      <c r="L588" s="35">
        <v>116.9</v>
      </c>
      <c r="M588" s="35">
        <v>0.58442536526585331</v>
      </c>
      <c r="N588" s="35">
        <v>99.9</v>
      </c>
      <c r="O588" s="35">
        <v>57.813752999999998</v>
      </c>
    </row>
    <row r="589" spans="1:15" x14ac:dyDescent="0.3">
      <c r="A589" s="35" t="s">
        <v>242</v>
      </c>
      <c r="B589" s="35">
        <v>5</v>
      </c>
      <c r="C589" s="35">
        <v>760</v>
      </c>
      <c r="D589" s="36" t="s">
        <v>415</v>
      </c>
      <c r="E589" s="36" t="s">
        <v>415</v>
      </c>
      <c r="F589" s="35">
        <v>18.5</v>
      </c>
      <c r="G589" s="35">
        <v>11353</v>
      </c>
      <c r="H589" s="35">
        <v>47.76</v>
      </c>
      <c r="I589" s="35">
        <v>883.6</v>
      </c>
      <c r="J589" s="35">
        <v>6.2811226799456765</v>
      </c>
      <c r="K589" s="35">
        <v>5.1440000000000001</v>
      </c>
      <c r="L589" s="35">
        <v>12.1</v>
      </c>
      <c r="M589" s="35">
        <v>0.58216387505658673</v>
      </c>
      <c r="N589" s="35">
        <v>99.9</v>
      </c>
      <c r="O589" s="35">
        <v>57.813752999999998</v>
      </c>
    </row>
    <row r="590" spans="1:15" x14ac:dyDescent="0.3">
      <c r="A590" s="35" t="s">
        <v>242</v>
      </c>
      <c r="B590" s="35">
        <v>5</v>
      </c>
      <c r="C590" s="35">
        <v>760</v>
      </c>
      <c r="D590" s="36" t="s">
        <v>417</v>
      </c>
      <c r="E590" s="36" t="s">
        <v>417</v>
      </c>
      <c r="F590" s="35">
        <v>18.5</v>
      </c>
      <c r="G590" s="35">
        <v>10681</v>
      </c>
      <c r="H590" s="35">
        <v>66.099999999999994</v>
      </c>
      <c r="I590" s="35">
        <v>1222.8</v>
      </c>
      <c r="J590" s="35">
        <v>4.5387634936211976</v>
      </c>
      <c r="K590" s="35">
        <v>7.08</v>
      </c>
      <c r="L590" s="35">
        <v>133.5</v>
      </c>
      <c r="M590" s="35">
        <v>0.57899901864573111</v>
      </c>
      <c r="N590" s="35">
        <v>99.9</v>
      </c>
      <c r="O590" s="35">
        <v>57.813752999999998</v>
      </c>
    </row>
    <row r="591" spans="1:15" x14ac:dyDescent="0.3">
      <c r="A591" s="35" t="s">
        <v>167</v>
      </c>
      <c r="B591" s="35">
        <v>2.9999999999999996</v>
      </c>
      <c r="C591" s="35">
        <v>1860</v>
      </c>
      <c r="D591" s="36" t="s">
        <v>414</v>
      </c>
      <c r="E591" s="36" t="s">
        <v>414</v>
      </c>
      <c r="F591" s="35">
        <v>11.1</v>
      </c>
      <c r="G591" s="35">
        <v>17076</v>
      </c>
      <c r="H591" s="35">
        <v>48.06</v>
      </c>
      <c r="I591" s="35">
        <v>533.6</v>
      </c>
      <c r="J591" s="35">
        <v>11.233133433283358</v>
      </c>
      <c r="K591" s="35">
        <v>3.0862500000000002</v>
      </c>
      <c r="L591" s="35">
        <v>142.26666666666665</v>
      </c>
      <c r="M591" s="35">
        <v>0.57838268365817092</v>
      </c>
      <c r="N591" s="35">
        <v>99.9</v>
      </c>
      <c r="O591" s="35">
        <v>57.813752999999998</v>
      </c>
    </row>
    <row r="592" spans="1:15" x14ac:dyDescent="0.3">
      <c r="A592" s="35" t="s">
        <v>253</v>
      </c>
      <c r="B592" s="35">
        <v>2.9999999999999996</v>
      </c>
      <c r="C592" s="35">
        <v>1950</v>
      </c>
      <c r="D592" s="36" t="s">
        <v>412</v>
      </c>
      <c r="E592" s="36" t="s">
        <v>413</v>
      </c>
      <c r="F592" s="35">
        <v>11.1</v>
      </c>
      <c r="G592" s="35">
        <v>17974</v>
      </c>
      <c r="H592" s="35">
        <v>106.16</v>
      </c>
      <c r="I592" s="35">
        <v>1178.4000000000001</v>
      </c>
      <c r="J592" s="35">
        <v>5.0865580448065177</v>
      </c>
      <c r="K592" s="35">
        <v>6.7539999999999996</v>
      </c>
      <c r="L592" s="35">
        <v>124.8</v>
      </c>
      <c r="M592" s="35">
        <v>0.57315003394433128</v>
      </c>
      <c r="N592" s="35">
        <v>99.9</v>
      </c>
      <c r="O592" s="35">
        <v>57.813752999999998</v>
      </c>
    </row>
    <row r="593" spans="1:15" x14ac:dyDescent="0.3">
      <c r="A593" s="35" t="s">
        <v>201</v>
      </c>
      <c r="B593" s="35">
        <v>5</v>
      </c>
      <c r="C593" s="35">
        <v>1050</v>
      </c>
      <c r="D593" s="36" t="s">
        <v>412</v>
      </c>
      <c r="E593" s="36" t="s">
        <v>413</v>
      </c>
      <c r="F593" s="35">
        <v>18.5</v>
      </c>
      <c r="G593" s="35">
        <v>17308</v>
      </c>
      <c r="H593" s="35">
        <v>58.3</v>
      </c>
      <c r="I593" s="35">
        <v>1078.4000000000001</v>
      </c>
      <c r="J593" s="35">
        <v>5.1465133531157266</v>
      </c>
      <c r="K593" s="35">
        <v>6.1550000000000002</v>
      </c>
      <c r="L593" s="35">
        <v>120.26666666666665</v>
      </c>
      <c r="M593" s="35">
        <v>0.57075296735905034</v>
      </c>
      <c r="N593" s="35">
        <v>99.9</v>
      </c>
      <c r="O593" s="35">
        <v>57.813752999999998</v>
      </c>
    </row>
    <row r="594" spans="1:15" x14ac:dyDescent="0.3">
      <c r="A594" s="35" t="s">
        <v>277</v>
      </c>
      <c r="B594" s="35">
        <v>4</v>
      </c>
      <c r="C594" s="35">
        <v>890</v>
      </c>
      <c r="D594" s="36" t="s">
        <v>415</v>
      </c>
      <c r="E594" s="36" t="s">
        <v>415</v>
      </c>
      <c r="F594" s="35">
        <v>14.8</v>
      </c>
      <c r="G594" s="35">
        <v>11329</v>
      </c>
      <c r="H594" s="35">
        <v>60.66</v>
      </c>
      <c r="I594" s="35">
        <v>897.8</v>
      </c>
      <c r="J594" s="35">
        <v>6.5279572287814673</v>
      </c>
      <c r="K594" s="35">
        <v>5.1159999999999997</v>
      </c>
      <c r="L594" s="35">
        <v>125.8</v>
      </c>
      <c r="M594" s="35">
        <v>0.56983738026286479</v>
      </c>
      <c r="N594" s="35">
        <v>99.9</v>
      </c>
      <c r="O594" s="35">
        <v>57.813752999999998</v>
      </c>
    </row>
    <row r="595" spans="1:15" x14ac:dyDescent="0.3">
      <c r="A595" s="35" t="s">
        <v>212</v>
      </c>
      <c r="B595" s="35">
        <v>2.9999999999999996</v>
      </c>
      <c r="C595" s="35">
        <v>1460</v>
      </c>
      <c r="D595" s="36" t="s">
        <v>415</v>
      </c>
      <c r="E595" s="36" t="s">
        <v>415</v>
      </c>
      <c r="F595" s="35">
        <v>11.1</v>
      </c>
      <c r="G595" s="35">
        <v>12639</v>
      </c>
      <c r="H595" s="35">
        <v>99.28</v>
      </c>
      <c r="I595" s="35">
        <v>1101.8</v>
      </c>
      <c r="J595" s="35">
        <v>5.4401887819931023</v>
      </c>
      <c r="K595" s="35">
        <v>6.2474999999999996</v>
      </c>
      <c r="L595" s="35">
        <v>140.50666666666666</v>
      </c>
      <c r="M595" s="35">
        <v>0.56702668360864039</v>
      </c>
      <c r="N595" s="35">
        <v>99.9</v>
      </c>
      <c r="O595" s="35">
        <v>57.813752999999998</v>
      </c>
    </row>
    <row r="596" spans="1:15" x14ac:dyDescent="0.3">
      <c r="A596" s="35" t="s">
        <v>253</v>
      </c>
      <c r="B596" s="35">
        <v>5.9999999999999991</v>
      </c>
      <c r="C596" s="35">
        <v>1300</v>
      </c>
      <c r="D596" s="36" t="s">
        <v>414</v>
      </c>
      <c r="E596" s="36">
        <v>4.5</v>
      </c>
      <c r="F596" s="35">
        <v>22.2</v>
      </c>
      <c r="G596" s="35">
        <v>24793</v>
      </c>
      <c r="H596" s="35">
        <v>65.06</v>
      </c>
      <c r="I596" s="35">
        <v>1444.4</v>
      </c>
      <c r="J596" s="35">
        <v>4.1498199944613674</v>
      </c>
      <c r="K596" s="35">
        <v>8.1859999999999999</v>
      </c>
      <c r="L596" s="35">
        <v>155</v>
      </c>
      <c r="M596" s="35">
        <v>0.56674051509277201</v>
      </c>
      <c r="N596" s="35">
        <v>99.9</v>
      </c>
      <c r="O596" s="35">
        <v>57.813752999999998</v>
      </c>
    </row>
    <row r="597" spans="1:15" x14ac:dyDescent="0.3">
      <c r="A597" s="35" t="s">
        <v>213</v>
      </c>
      <c r="B597" s="35">
        <v>5</v>
      </c>
      <c r="C597" s="35">
        <v>840</v>
      </c>
      <c r="D597" s="36" t="s">
        <v>415</v>
      </c>
      <c r="E597" s="36" t="s">
        <v>415</v>
      </c>
      <c r="F597" s="35">
        <v>18.5</v>
      </c>
      <c r="G597" s="35">
        <v>13064</v>
      </c>
      <c r="H597" s="35">
        <v>63.5</v>
      </c>
      <c r="I597" s="35">
        <v>1174.8</v>
      </c>
      <c r="J597" s="35">
        <v>4.7242083758937694</v>
      </c>
      <c r="K597" s="35">
        <v>6.61</v>
      </c>
      <c r="L597" s="35">
        <v>145.19999999999999</v>
      </c>
      <c r="M597" s="35">
        <v>0.56264896152536603</v>
      </c>
      <c r="N597" s="35">
        <v>99.9</v>
      </c>
      <c r="O597" s="35">
        <v>57.813752999999998</v>
      </c>
    </row>
    <row r="598" spans="1:15" x14ac:dyDescent="0.3">
      <c r="A598" s="35" t="s">
        <v>243</v>
      </c>
      <c r="B598" s="35">
        <v>5.9999999999999991</v>
      </c>
      <c r="C598" s="35">
        <v>650</v>
      </c>
      <c r="D598" s="36" t="s">
        <v>417</v>
      </c>
      <c r="E598" s="36">
        <v>7.5</v>
      </c>
      <c r="F598" s="35">
        <v>22.2</v>
      </c>
      <c r="G598" s="35">
        <v>11849</v>
      </c>
      <c r="H598" s="35">
        <v>64.599999999999994</v>
      </c>
      <c r="I598" s="35">
        <v>1434.2</v>
      </c>
      <c r="J598" s="35">
        <v>4.1793334263003761</v>
      </c>
      <c r="K598" s="35">
        <v>8.0640000000000001</v>
      </c>
      <c r="L598" s="35">
        <v>123.5</v>
      </c>
      <c r="M598" s="35">
        <v>0.56226467717194251</v>
      </c>
      <c r="N598" s="35">
        <v>99.9</v>
      </c>
      <c r="O598" s="35">
        <v>57.813752999999998</v>
      </c>
    </row>
    <row r="599" spans="1:15" x14ac:dyDescent="0.3">
      <c r="A599" s="35" t="s">
        <v>212</v>
      </c>
      <c r="B599" s="35">
        <v>4</v>
      </c>
      <c r="C599" s="35">
        <v>1460</v>
      </c>
      <c r="D599" s="36" t="s">
        <v>412</v>
      </c>
      <c r="E599" s="36" t="s">
        <v>414</v>
      </c>
      <c r="F599" s="35">
        <v>14.8</v>
      </c>
      <c r="G599" s="35">
        <v>17805</v>
      </c>
      <c r="H599" s="35">
        <v>86</v>
      </c>
      <c r="I599" s="35">
        <v>1273</v>
      </c>
      <c r="J599" s="35">
        <v>4.6039277297721917</v>
      </c>
      <c r="K599" s="35">
        <v>7.11625</v>
      </c>
      <c r="L599" s="35">
        <v>148.42666666666665</v>
      </c>
      <c r="M599" s="35">
        <v>0.55901413982717996</v>
      </c>
      <c r="N599" s="35">
        <v>99.9</v>
      </c>
      <c r="O599" s="35">
        <v>57.813752999999998</v>
      </c>
    </row>
    <row r="600" spans="1:15" x14ac:dyDescent="0.3">
      <c r="A600" s="35" t="s">
        <v>209</v>
      </c>
      <c r="B600" s="35">
        <v>2.9999999999999996</v>
      </c>
      <c r="C600" s="35">
        <v>1170</v>
      </c>
      <c r="D600" s="36" t="s">
        <v>417</v>
      </c>
      <c r="E600" s="36" t="s">
        <v>417</v>
      </c>
      <c r="F600" s="35">
        <v>11.1</v>
      </c>
      <c r="G600" s="35">
        <v>9883</v>
      </c>
      <c r="H600" s="35">
        <v>93.94</v>
      </c>
      <c r="I600" s="35">
        <v>1042.8</v>
      </c>
      <c r="J600" s="35">
        <v>5.7479861910241663</v>
      </c>
      <c r="K600" s="35">
        <v>5.8250000000000002</v>
      </c>
      <c r="L600" s="35">
        <v>123.49333333333333</v>
      </c>
      <c r="M600" s="35">
        <v>0.5585922516302263</v>
      </c>
      <c r="N600" s="35">
        <v>99.9</v>
      </c>
      <c r="O600" s="35">
        <v>57.813752999999998</v>
      </c>
    </row>
    <row r="601" spans="1:15" x14ac:dyDescent="0.3">
      <c r="A601" s="35" t="s">
        <v>209</v>
      </c>
      <c r="B601" s="35">
        <v>4</v>
      </c>
      <c r="C601" s="35">
        <v>1170</v>
      </c>
      <c r="D601" s="36" t="s">
        <v>412</v>
      </c>
      <c r="E601" s="36" t="s">
        <v>412</v>
      </c>
      <c r="F601" s="35">
        <v>14.8</v>
      </c>
      <c r="G601" s="35">
        <v>15219</v>
      </c>
      <c r="H601" s="35">
        <v>65.099999999999994</v>
      </c>
      <c r="I601" s="35">
        <v>963.4</v>
      </c>
      <c r="J601" s="35">
        <v>6.0834544322192237</v>
      </c>
      <c r="K601" s="35">
        <v>5.37</v>
      </c>
      <c r="L601" s="35">
        <v>147.98666666666665</v>
      </c>
      <c r="M601" s="35">
        <v>0.55740087191197851</v>
      </c>
      <c r="N601" s="35">
        <v>99.9</v>
      </c>
      <c r="O601" s="35">
        <v>57.813752999999998</v>
      </c>
    </row>
    <row r="602" spans="1:15" x14ac:dyDescent="0.3">
      <c r="A602" s="35" t="s">
        <v>167</v>
      </c>
      <c r="B602" s="35">
        <v>4</v>
      </c>
      <c r="C602" s="35">
        <v>1860</v>
      </c>
      <c r="D602" s="36" t="s">
        <v>413</v>
      </c>
      <c r="E602" s="36">
        <v>4.5999999999999996</v>
      </c>
      <c r="F602" s="35">
        <v>14.8</v>
      </c>
      <c r="G602" s="35">
        <v>23043</v>
      </c>
      <c r="H602" s="35">
        <v>49.78</v>
      </c>
      <c r="I602" s="35">
        <v>736.8</v>
      </c>
      <c r="J602" s="35">
        <v>7.9543973941368087</v>
      </c>
      <c r="K602" s="35">
        <v>4.0650000000000004</v>
      </c>
      <c r="L602" s="35">
        <v>147.25333333333333</v>
      </c>
      <c r="M602" s="35">
        <v>0.55171009771986979</v>
      </c>
      <c r="N602" s="35">
        <v>99.9</v>
      </c>
      <c r="O602" s="35">
        <v>57.813752999999998</v>
      </c>
    </row>
    <row r="603" spans="1:15" x14ac:dyDescent="0.3">
      <c r="A603" s="35" t="s">
        <v>154</v>
      </c>
      <c r="B603" s="35">
        <v>4</v>
      </c>
      <c r="C603" s="35">
        <v>1360</v>
      </c>
      <c r="D603" s="36" t="s">
        <v>412</v>
      </c>
      <c r="E603" s="36" t="s">
        <v>414</v>
      </c>
      <c r="F603" s="35">
        <v>14.8</v>
      </c>
      <c r="G603" s="35">
        <v>15872</v>
      </c>
      <c r="H603" s="35">
        <v>42.7</v>
      </c>
      <c r="I603" s="35">
        <v>632</v>
      </c>
      <c r="J603" s="35">
        <v>9.273417721518987</v>
      </c>
      <c r="K603" s="35">
        <v>3.47</v>
      </c>
      <c r="L603" s="35">
        <v>132.29333333333332</v>
      </c>
      <c r="M603" s="35">
        <v>0.54905063291139244</v>
      </c>
      <c r="N603" s="35">
        <v>99.9</v>
      </c>
      <c r="O603" s="35">
        <v>57.813752999999998</v>
      </c>
    </row>
    <row r="604" spans="1:15" x14ac:dyDescent="0.3">
      <c r="A604" s="35" t="s">
        <v>212</v>
      </c>
      <c r="B604" s="35">
        <v>4</v>
      </c>
      <c r="C604" s="35">
        <v>1460</v>
      </c>
      <c r="D604" s="36" t="s">
        <v>412</v>
      </c>
      <c r="E604" s="36" t="s">
        <v>413</v>
      </c>
      <c r="F604" s="35">
        <v>14.8</v>
      </c>
      <c r="G604" s="35">
        <v>17892</v>
      </c>
      <c r="H604" s="35">
        <v>82.86</v>
      </c>
      <c r="I604" s="35">
        <v>1226.2</v>
      </c>
      <c r="J604" s="35">
        <v>4.7796444299461749</v>
      </c>
      <c r="K604" s="35">
        <v>6.72</v>
      </c>
      <c r="L604" s="35">
        <v>124.22666666666666</v>
      </c>
      <c r="M604" s="35">
        <v>0.5480345783722067</v>
      </c>
      <c r="N604" s="35">
        <v>99.9</v>
      </c>
      <c r="O604" s="35">
        <v>57.813752999999998</v>
      </c>
    </row>
    <row r="605" spans="1:15" x14ac:dyDescent="0.3">
      <c r="A605" s="35" t="s">
        <v>216</v>
      </c>
      <c r="B605" s="35">
        <v>5.9999999999999991</v>
      </c>
      <c r="C605" s="35">
        <v>970</v>
      </c>
      <c r="D605" s="36" t="s">
        <v>412</v>
      </c>
      <c r="E605" s="36" t="s">
        <v>414</v>
      </c>
      <c r="F605" s="35">
        <v>22.2</v>
      </c>
      <c r="G605" s="35">
        <v>18580</v>
      </c>
      <c r="H605" s="35">
        <v>63.76</v>
      </c>
      <c r="I605" s="35">
        <v>1415.4</v>
      </c>
      <c r="J605" s="35">
        <v>4.234845273420941</v>
      </c>
      <c r="K605" s="35">
        <v>7.7249999999999996</v>
      </c>
      <c r="L605" s="35">
        <v>154.87999999999997</v>
      </c>
      <c r="M605" s="35">
        <v>0.54578211106401009</v>
      </c>
      <c r="N605" s="35">
        <v>99.9</v>
      </c>
      <c r="O605" s="35">
        <v>57.813752999999998</v>
      </c>
    </row>
    <row r="606" spans="1:15" x14ac:dyDescent="0.3">
      <c r="A606" s="35" t="s">
        <v>243</v>
      </c>
      <c r="B606" s="35">
        <v>5</v>
      </c>
      <c r="C606" s="35">
        <v>650</v>
      </c>
      <c r="D606" s="36" t="s">
        <v>418</v>
      </c>
      <c r="E606" s="36" t="s">
        <v>418</v>
      </c>
      <c r="F606" s="35">
        <v>18.5</v>
      </c>
      <c r="G606" s="35">
        <v>9557</v>
      </c>
      <c r="H606" s="35">
        <v>69.56</v>
      </c>
      <c r="I606" s="35">
        <v>1286.8</v>
      </c>
      <c r="J606" s="35">
        <v>4.3130245570407215</v>
      </c>
      <c r="K606" s="35">
        <v>7.0140000000000002</v>
      </c>
      <c r="L606" s="35">
        <v>132.69999999999999</v>
      </c>
      <c r="M606" s="35">
        <v>0.54507304942493007</v>
      </c>
      <c r="N606" s="35">
        <v>99.9</v>
      </c>
      <c r="O606" s="35">
        <v>57.813752999999998</v>
      </c>
    </row>
    <row r="607" spans="1:15" x14ac:dyDescent="0.3">
      <c r="A607" s="35" t="s">
        <v>206</v>
      </c>
      <c r="B607" s="35">
        <v>2.9999999999999996</v>
      </c>
      <c r="C607" s="35">
        <v>2100</v>
      </c>
      <c r="D607" s="36">
        <v>6.5</v>
      </c>
      <c r="E607" s="36">
        <v>5.5</v>
      </c>
      <c r="F607" s="35">
        <v>11.1</v>
      </c>
      <c r="G607" s="35">
        <v>19250</v>
      </c>
      <c r="H607" s="35">
        <v>70.16</v>
      </c>
      <c r="I607" s="35">
        <v>778.8</v>
      </c>
      <c r="J607" s="35">
        <v>7.6964560862865961</v>
      </c>
      <c r="K607" s="35">
        <v>4.24125</v>
      </c>
      <c r="L607" s="35">
        <v>147.10666666666665</v>
      </c>
      <c r="M607" s="35">
        <v>0.54458782742681056</v>
      </c>
      <c r="N607" s="35">
        <v>99.9</v>
      </c>
      <c r="O607" s="35">
        <v>57.813752999999998</v>
      </c>
    </row>
    <row r="608" spans="1:15" x14ac:dyDescent="0.3">
      <c r="A608" s="35" t="s">
        <v>167</v>
      </c>
      <c r="B608" s="35">
        <v>4</v>
      </c>
      <c r="C608" s="35">
        <v>1860</v>
      </c>
      <c r="D608" s="36" t="s">
        <v>414</v>
      </c>
      <c r="E608" s="36" t="s">
        <v>416</v>
      </c>
      <c r="F608" s="35">
        <v>14.8</v>
      </c>
      <c r="G608" s="35">
        <v>22523</v>
      </c>
      <c r="H608" s="35">
        <v>56.44</v>
      </c>
      <c r="I608" s="35">
        <v>835.2</v>
      </c>
      <c r="J608" s="35">
        <v>7.0172413793103452</v>
      </c>
      <c r="K608" s="35">
        <v>4.5462499999999997</v>
      </c>
      <c r="L608" s="35">
        <v>125.10666666666665</v>
      </c>
      <c r="M608" s="35">
        <v>0.54433069923371635</v>
      </c>
      <c r="N608" s="35">
        <v>92.5</v>
      </c>
      <c r="O608" s="35">
        <v>53.824503</v>
      </c>
    </row>
    <row r="609" spans="1:15" x14ac:dyDescent="0.3">
      <c r="A609" s="35" t="s">
        <v>216</v>
      </c>
      <c r="B609" s="35">
        <v>5</v>
      </c>
      <c r="C609" s="35">
        <v>970</v>
      </c>
      <c r="D609" s="36" t="s">
        <v>412</v>
      </c>
      <c r="E609" s="36" t="s">
        <v>412</v>
      </c>
      <c r="F609" s="35">
        <v>18.5</v>
      </c>
      <c r="G609" s="35">
        <v>15641</v>
      </c>
      <c r="H609" s="35">
        <v>56.44</v>
      </c>
      <c r="I609" s="35">
        <v>1044.2</v>
      </c>
      <c r="J609" s="35">
        <v>5.315073740662708</v>
      </c>
      <c r="K609" s="35">
        <v>5.6837499999999999</v>
      </c>
      <c r="L609" s="35">
        <v>152.09333333333333</v>
      </c>
      <c r="M609" s="35">
        <v>0.54431622294579574</v>
      </c>
      <c r="N609" s="35">
        <v>92.5</v>
      </c>
      <c r="O609" s="35">
        <v>53.824503</v>
      </c>
    </row>
    <row r="610" spans="1:15" x14ac:dyDescent="0.3">
      <c r="A610" s="35" t="s">
        <v>253</v>
      </c>
      <c r="B610" s="35">
        <v>2.9999999999999996</v>
      </c>
      <c r="C610" s="35">
        <v>1300</v>
      </c>
      <c r="D610" s="36" t="s">
        <v>415</v>
      </c>
      <c r="E610" s="36" t="s">
        <v>415</v>
      </c>
      <c r="F610" s="35">
        <v>11.1</v>
      </c>
      <c r="G610" s="35">
        <v>11519</v>
      </c>
      <c r="H610" s="35">
        <v>85.6</v>
      </c>
      <c r="I610" s="35">
        <v>950.2</v>
      </c>
      <c r="J610" s="35">
        <v>6.3081456535466218</v>
      </c>
      <c r="K610" s="35">
        <v>5.1660000000000004</v>
      </c>
      <c r="L610" s="35">
        <v>128</v>
      </c>
      <c r="M610" s="35">
        <v>0.5436750157861503</v>
      </c>
      <c r="N610" s="35">
        <v>92.5</v>
      </c>
      <c r="O610" s="35">
        <v>53.824503</v>
      </c>
    </row>
    <row r="611" spans="1:15" x14ac:dyDescent="0.3">
      <c r="A611" s="35" t="s">
        <v>232</v>
      </c>
      <c r="B611" s="35">
        <v>4</v>
      </c>
      <c r="C611" s="35">
        <v>1450</v>
      </c>
      <c r="D611" s="36" t="s">
        <v>414</v>
      </c>
      <c r="E611" s="36">
        <v>5.5</v>
      </c>
      <c r="F611" s="35">
        <v>14.8</v>
      </c>
      <c r="G611" s="35">
        <v>20973</v>
      </c>
      <c r="H611" s="35">
        <v>57.76</v>
      </c>
      <c r="I611" s="35">
        <v>854.8</v>
      </c>
      <c r="J611" s="35">
        <v>6.8563406644829206</v>
      </c>
      <c r="K611" s="35">
        <v>4.6360000000000001</v>
      </c>
      <c r="L611" s="35">
        <v>160.19999999999999</v>
      </c>
      <c r="M611" s="35">
        <v>0.54234908750584943</v>
      </c>
      <c r="N611" s="35">
        <v>92.5</v>
      </c>
      <c r="O611" s="35">
        <v>53.824503</v>
      </c>
    </row>
    <row r="612" spans="1:15" x14ac:dyDescent="0.3">
      <c r="A612" s="35" t="s">
        <v>231</v>
      </c>
      <c r="B612" s="35">
        <v>4</v>
      </c>
      <c r="C612" s="35">
        <v>1700</v>
      </c>
      <c r="D612" s="36" t="s">
        <v>414</v>
      </c>
      <c r="E612" s="36">
        <v>5.5</v>
      </c>
      <c r="F612" s="35">
        <v>14.8</v>
      </c>
      <c r="G612" s="35">
        <v>20711</v>
      </c>
      <c r="H612" s="35">
        <v>57.78</v>
      </c>
      <c r="I612" s="35">
        <v>855.2</v>
      </c>
      <c r="J612" s="35">
        <v>6.8531337698783918</v>
      </c>
      <c r="K612" s="35">
        <v>4.5999999999999996</v>
      </c>
      <c r="L612" s="35">
        <v>158.30000000000001</v>
      </c>
      <c r="M612" s="35">
        <v>0.53788587464920479</v>
      </c>
      <c r="N612" s="35">
        <v>92.5</v>
      </c>
      <c r="O612" s="35">
        <v>53.824503</v>
      </c>
    </row>
    <row r="613" spans="1:15" x14ac:dyDescent="0.3">
      <c r="A613" s="35" t="s">
        <v>205</v>
      </c>
      <c r="B613" s="35">
        <v>2.9999999999999996</v>
      </c>
      <c r="C613" s="35">
        <v>1700</v>
      </c>
      <c r="D613" s="36" t="s">
        <v>412</v>
      </c>
      <c r="E613" s="36" t="s">
        <v>412</v>
      </c>
      <c r="F613" s="35">
        <v>11.1</v>
      </c>
      <c r="G613" s="35">
        <v>15013</v>
      </c>
      <c r="H613" s="35">
        <v>86.44</v>
      </c>
      <c r="I613" s="35">
        <v>959.4</v>
      </c>
      <c r="J613" s="35">
        <v>6.2476547842401509</v>
      </c>
      <c r="K613" s="35">
        <v>5.1537499999999996</v>
      </c>
      <c r="L613" s="35">
        <v>145.93333333333334</v>
      </c>
      <c r="M613" s="35">
        <v>0.53718469877006458</v>
      </c>
      <c r="N613" s="35">
        <v>92.5</v>
      </c>
      <c r="O613" s="35">
        <v>53.824503</v>
      </c>
    </row>
    <row r="614" spans="1:15" x14ac:dyDescent="0.3">
      <c r="A614" s="35" t="s">
        <v>167</v>
      </c>
      <c r="B614" s="35">
        <v>4</v>
      </c>
      <c r="C614" s="35">
        <v>1860</v>
      </c>
      <c r="D614" s="36" t="s">
        <v>413</v>
      </c>
      <c r="E614" s="36">
        <v>4.3</v>
      </c>
      <c r="F614" s="35">
        <v>14.8</v>
      </c>
      <c r="G614" s="35">
        <v>23169</v>
      </c>
      <c r="H614" s="35">
        <v>48.04</v>
      </c>
      <c r="I614" s="35">
        <v>711.2</v>
      </c>
      <c r="J614" s="35">
        <v>8.2407199100112489</v>
      </c>
      <c r="K614" s="35">
        <v>3.8137500000000002</v>
      </c>
      <c r="L614" s="35">
        <v>138.30666666666664</v>
      </c>
      <c r="M614" s="35">
        <v>0.53624156355455566</v>
      </c>
      <c r="N614" s="35">
        <v>92.5</v>
      </c>
      <c r="O614" s="35">
        <v>53.824503</v>
      </c>
    </row>
    <row r="615" spans="1:15" x14ac:dyDescent="0.3">
      <c r="A615" s="35" t="s">
        <v>203</v>
      </c>
      <c r="B615" s="35">
        <v>5.9999999999999991</v>
      </c>
      <c r="C615" s="35">
        <v>1400</v>
      </c>
      <c r="D615" s="36" t="s">
        <v>414</v>
      </c>
      <c r="E615" s="36" t="s">
        <v>416</v>
      </c>
      <c r="F615" s="35">
        <v>22.2</v>
      </c>
      <c r="G615" s="35">
        <v>26812</v>
      </c>
      <c r="H615" s="35">
        <v>65.36</v>
      </c>
      <c r="I615" s="35">
        <v>1450.8</v>
      </c>
      <c r="J615" s="35">
        <v>4.1315136476426808</v>
      </c>
      <c r="K615" s="35">
        <v>7.7774999999999999</v>
      </c>
      <c r="L615" s="35">
        <v>149.01333333333332</v>
      </c>
      <c r="M615" s="35">
        <v>0.53608354011579817</v>
      </c>
      <c r="N615" s="35">
        <v>92.5</v>
      </c>
      <c r="O615" s="35">
        <v>53.824503</v>
      </c>
    </row>
    <row r="616" spans="1:15" x14ac:dyDescent="0.3">
      <c r="A616" s="35" t="s">
        <v>217</v>
      </c>
      <c r="B616" s="35">
        <v>5</v>
      </c>
      <c r="C616" s="35">
        <v>1140</v>
      </c>
      <c r="D616" s="36" t="s">
        <v>412</v>
      </c>
      <c r="E616" s="36" t="s">
        <v>413</v>
      </c>
      <c r="F616" s="35">
        <v>18.5</v>
      </c>
      <c r="G616" s="35">
        <v>18590</v>
      </c>
      <c r="H616" s="35">
        <v>74.02</v>
      </c>
      <c r="I616" s="35">
        <v>1369.2</v>
      </c>
      <c r="J616" s="35">
        <v>4.0534618755477645</v>
      </c>
      <c r="K616" s="35">
        <v>7.31</v>
      </c>
      <c r="L616" s="35">
        <v>129.06666666666666</v>
      </c>
      <c r="M616" s="35">
        <v>0.53388840198656151</v>
      </c>
      <c r="N616" s="35">
        <v>92.5</v>
      </c>
      <c r="O616" s="35">
        <v>53.824503</v>
      </c>
    </row>
    <row r="617" spans="1:15" x14ac:dyDescent="0.3">
      <c r="A617" s="35" t="s">
        <v>216</v>
      </c>
      <c r="B617" s="35">
        <v>5.9999999999999991</v>
      </c>
      <c r="C617" s="35">
        <v>970</v>
      </c>
      <c r="D617" s="36" t="s">
        <v>412</v>
      </c>
      <c r="E617" s="36" t="s">
        <v>413</v>
      </c>
      <c r="F617" s="35">
        <v>22.2</v>
      </c>
      <c r="G617" s="35">
        <v>18677</v>
      </c>
      <c r="H617" s="35">
        <v>61.68</v>
      </c>
      <c r="I617" s="35">
        <v>1369.4</v>
      </c>
      <c r="J617" s="35">
        <v>4.3770994596173507</v>
      </c>
      <c r="K617" s="35">
        <v>7.2925000000000004</v>
      </c>
      <c r="L617" s="35">
        <v>129.65333333333334</v>
      </c>
      <c r="M617" s="35">
        <v>0.5325324959836425</v>
      </c>
      <c r="N617" s="35">
        <v>92.5</v>
      </c>
      <c r="O617" s="35">
        <v>53.824503</v>
      </c>
    </row>
    <row r="618" spans="1:15" x14ac:dyDescent="0.3">
      <c r="A618" s="35" t="s">
        <v>154</v>
      </c>
      <c r="B618" s="35">
        <v>4</v>
      </c>
      <c r="C618" s="35">
        <v>1360</v>
      </c>
      <c r="D618" s="36">
        <v>6.5</v>
      </c>
      <c r="E618" s="36">
        <v>6</v>
      </c>
      <c r="F618" s="35">
        <v>14.8</v>
      </c>
      <c r="G618" s="35">
        <v>16215</v>
      </c>
      <c r="H618" s="35">
        <v>37.9</v>
      </c>
      <c r="I618" s="35">
        <v>560.79999999999995</v>
      </c>
      <c r="J618" s="35">
        <v>10.450784593437948</v>
      </c>
      <c r="K618" s="35">
        <v>2.9849999999999999</v>
      </c>
      <c r="L618" s="35">
        <v>135.07999999999998</v>
      </c>
      <c r="M618" s="35">
        <v>0.53227532097004282</v>
      </c>
      <c r="N618" s="35">
        <v>92.5</v>
      </c>
      <c r="O618" s="35">
        <v>53.824503</v>
      </c>
    </row>
    <row r="619" spans="1:15" x14ac:dyDescent="0.3">
      <c r="A619" s="35" t="s">
        <v>254</v>
      </c>
      <c r="B619" s="35">
        <v>2.9999999999999996</v>
      </c>
      <c r="C619" s="35">
        <v>1080</v>
      </c>
      <c r="D619" s="36" t="s">
        <v>418</v>
      </c>
      <c r="E619" s="36" t="s">
        <v>418</v>
      </c>
      <c r="F619" s="35">
        <v>11.1</v>
      </c>
      <c r="G619" s="35">
        <v>9253</v>
      </c>
      <c r="H619" s="35">
        <v>108.44</v>
      </c>
      <c r="I619" s="35">
        <v>1203.8</v>
      </c>
      <c r="J619" s="35">
        <v>4.9792324306363192</v>
      </c>
      <c r="K619" s="35">
        <v>6.4039999999999999</v>
      </c>
      <c r="L619" s="35">
        <v>128.5</v>
      </c>
      <c r="M619" s="35">
        <v>0.53198205682006972</v>
      </c>
      <c r="N619" s="35">
        <v>92.5</v>
      </c>
      <c r="O619" s="35">
        <v>53.824503</v>
      </c>
    </row>
    <row r="620" spans="1:15" x14ac:dyDescent="0.3">
      <c r="A620" s="35" t="s">
        <v>206</v>
      </c>
      <c r="B620" s="35">
        <v>2.9999999999999996</v>
      </c>
      <c r="C620" s="35">
        <v>2100</v>
      </c>
      <c r="D620" s="36" t="s">
        <v>412</v>
      </c>
      <c r="E620" s="36" t="s">
        <v>413</v>
      </c>
      <c r="F620" s="35">
        <v>11.1</v>
      </c>
      <c r="G620" s="35">
        <v>17549</v>
      </c>
      <c r="H620" s="35">
        <v>107.4</v>
      </c>
      <c r="I620" s="35">
        <v>1192.2</v>
      </c>
      <c r="J620" s="35">
        <v>5.027679919476598</v>
      </c>
      <c r="K620" s="35">
        <v>6.3224999999999998</v>
      </c>
      <c r="L620" s="35">
        <v>121.87999999999998</v>
      </c>
      <c r="M620" s="35">
        <v>0.53032209360845495</v>
      </c>
      <c r="N620" s="35">
        <v>92.5</v>
      </c>
      <c r="O620" s="35">
        <v>53.824503</v>
      </c>
    </row>
    <row r="621" spans="1:15" x14ac:dyDescent="0.3">
      <c r="A621" s="35" t="s">
        <v>203</v>
      </c>
      <c r="B621" s="35">
        <v>4</v>
      </c>
      <c r="C621" s="35">
        <v>1400</v>
      </c>
      <c r="D621" s="36" t="s">
        <v>412</v>
      </c>
      <c r="E621" s="36" t="s">
        <v>414</v>
      </c>
      <c r="F621" s="35">
        <v>14.8</v>
      </c>
      <c r="G621" s="35">
        <v>17666</v>
      </c>
      <c r="H621" s="35">
        <v>54.88</v>
      </c>
      <c r="I621" s="35">
        <v>812.2</v>
      </c>
      <c r="J621" s="35">
        <v>7.2159566609209556</v>
      </c>
      <c r="K621" s="35">
        <v>4.29</v>
      </c>
      <c r="L621" s="35">
        <v>147.25333333333333</v>
      </c>
      <c r="M621" s="35">
        <v>0.52819502585570055</v>
      </c>
      <c r="N621" s="35">
        <v>92.5</v>
      </c>
      <c r="O621" s="35">
        <v>53.824503</v>
      </c>
    </row>
    <row r="622" spans="1:15" x14ac:dyDescent="0.3">
      <c r="A622" s="35" t="s">
        <v>167</v>
      </c>
      <c r="B622" s="35">
        <v>2.9999999999999996</v>
      </c>
      <c r="C622" s="35">
        <v>1860</v>
      </c>
      <c r="D622" s="36">
        <v>6.5</v>
      </c>
      <c r="E622" s="36">
        <v>6</v>
      </c>
      <c r="F622" s="35">
        <v>11.1</v>
      </c>
      <c r="G622" s="35">
        <v>16722</v>
      </c>
      <c r="H622" s="35">
        <v>54.4</v>
      </c>
      <c r="I622" s="35">
        <v>604</v>
      </c>
      <c r="J622" s="35">
        <v>9.9238410596026494</v>
      </c>
      <c r="K622" s="35">
        <v>3.17875</v>
      </c>
      <c r="L622" s="35">
        <v>139.33333333333331</v>
      </c>
      <c r="M622" s="35">
        <v>0.52628311258278138</v>
      </c>
      <c r="N622" s="35">
        <v>92.5</v>
      </c>
      <c r="O622" s="35">
        <v>53.824503</v>
      </c>
    </row>
    <row r="623" spans="1:15" x14ac:dyDescent="0.3">
      <c r="A623" s="35" t="s">
        <v>253</v>
      </c>
      <c r="B623" s="35">
        <v>4</v>
      </c>
      <c r="C623" s="35">
        <v>1300</v>
      </c>
      <c r="D623" s="36" t="s">
        <v>412</v>
      </c>
      <c r="E623" s="36" t="s">
        <v>412</v>
      </c>
      <c r="F623" s="35">
        <v>14.8</v>
      </c>
      <c r="G623" s="35">
        <v>16122</v>
      </c>
      <c r="H623" s="35">
        <v>79.180000000000007</v>
      </c>
      <c r="I623" s="35">
        <v>1172</v>
      </c>
      <c r="J623" s="35">
        <v>5.0006825938566557</v>
      </c>
      <c r="K623" s="35">
        <v>6.1580000000000004</v>
      </c>
      <c r="L623" s="35">
        <v>156.80000000000001</v>
      </c>
      <c r="M623" s="35">
        <v>0.52542662116040961</v>
      </c>
      <c r="N623" s="35">
        <v>92.5</v>
      </c>
      <c r="O623" s="35">
        <v>53.824503</v>
      </c>
    </row>
    <row r="624" spans="1:15" x14ac:dyDescent="0.3">
      <c r="A624" s="35" t="s">
        <v>167</v>
      </c>
      <c r="B624" s="35">
        <v>4</v>
      </c>
      <c r="C624" s="35">
        <v>1860</v>
      </c>
      <c r="D624" s="36" t="s">
        <v>413</v>
      </c>
      <c r="E624" s="36">
        <v>4.5</v>
      </c>
      <c r="F624" s="35">
        <v>14.8</v>
      </c>
      <c r="G624" s="35">
        <v>23020</v>
      </c>
      <c r="H624" s="35">
        <v>50.08</v>
      </c>
      <c r="I624" s="35">
        <v>741.2</v>
      </c>
      <c r="J624" s="35">
        <v>7.9071775499190506</v>
      </c>
      <c r="K624" s="35">
        <v>3.8624999999999998</v>
      </c>
      <c r="L624" s="35">
        <v>143.88</v>
      </c>
      <c r="M624" s="35">
        <v>0.52111440906637885</v>
      </c>
      <c r="N624" s="35">
        <v>92.5</v>
      </c>
      <c r="O624" s="35">
        <v>53.824503</v>
      </c>
    </row>
    <row r="625" spans="1:15" x14ac:dyDescent="0.3">
      <c r="A625" s="35" t="s">
        <v>201</v>
      </c>
      <c r="B625" s="35">
        <v>4</v>
      </c>
      <c r="C625" s="35">
        <v>1050</v>
      </c>
      <c r="D625" s="36" t="s">
        <v>412</v>
      </c>
      <c r="E625" s="36" t="s">
        <v>414</v>
      </c>
      <c r="F625" s="35">
        <v>14.8</v>
      </c>
      <c r="G625" s="35">
        <v>14270</v>
      </c>
      <c r="H625" s="35">
        <v>47.06</v>
      </c>
      <c r="I625" s="35">
        <v>696.4</v>
      </c>
      <c r="J625" s="35">
        <v>8.4158529580700758</v>
      </c>
      <c r="K625" s="35">
        <v>3.6287500000000001</v>
      </c>
      <c r="L625" s="35">
        <v>118.94666666666664</v>
      </c>
      <c r="M625" s="35">
        <v>0.52107265939115455</v>
      </c>
      <c r="N625" s="35">
        <v>99.9</v>
      </c>
      <c r="O625" s="35">
        <v>58.233753</v>
      </c>
    </row>
    <row r="626" spans="1:15" x14ac:dyDescent="0.3">
      <c r="A626" s="35" t="s">
        <v>217</v>
      </c>
      <c r="B626" s="35">
        <v>4</v>
      </c>
      <c r="C626" s="35">
        <v>1140</v>
      </c>
      <c r="D626" s="36" t="s">
        <v>415</v>
      </c>
      <c r="E626" s="36" t="s">
        <v>415</v>
      </c>
      <c r="F626" s="35">
        <v>14.8</v>
      </c>
      <c r="G626" s="35">
        <v>13792</v>
      </c>
      <c r="H626" s="35">
        <v>97.16</v>
      </c>
      <c r="I626" s="35">
        <v>1437.8</v>
      </c>
      <c r="J626" s="35">
        <v>4.0762275698984567</v>
      </c>
      <c r="K626" s="35">
        <v>7.4775</v>
      </c>
      <c r="L626" s="35">
        <v>153.26666666666665</v>
      </c>
      <c r="M626" s="35">
        <v>0.52006537766031447</v>
      </c>
      <c r="N626" s="35">
        <v>99.9</v>
      </c>
      <c r="O626" s="35">
        <v>58.233753</v>
      </c>
    </row>
    <row r="627" spans="1:15" x14ac:dyDescent="0.3">
      <c r="A627" s="35" t="s">
        <v>213</v>
      </c>
      <c r="B627" s="35">
        <v>5.9999999999999991</v>
      </c>
      <c r="C627" s="35">
        <v>840</v>
      </c>
      <c r="D627" s="36" t="s">
        <v>412</v>
      </c>
      <c r="E627" s="36" t="s">
        <v>412</v>
      </c>
      <c r="F627" s="35">
        <v>22.2</v>
      </c>
      <c r="G627" s="35">
        <v>16346</v>
      </c>
      <c r="H627" s="35">
        <v>55.06</v>
      </c>
      <c r="I627" s="35">
        <v>1222.4000000000001</v>
      </c>
      <c r="J627" s="35">
        <v>4.9034685863874339</v>
      </c>
      <c r="K627" s="35">
        <v>6.31</v>
      </c>
      <c r="L627" s="35">
        <v>158.98666666666665</v>
      </c>
      <c r="M627" s="35">
        <v>0.51619764397905754</v>
      </c>
      <c r="N627" s="35">
        <v>99.9</v>
      </c>
      <c r="O627" s="35">
        <v>58.233753</v>
      </c>
    </row>
    <row r="628" spans="1:15" x14ac:dyDescent="0.3">
      <c r="A628" s="35" t="s">
        <v>207</v>
      </c>
      <c r="B628" s="35">
        <v>5</v>
      </c>
      <c r="C628" s="35">
        <v>850</v>
      </c>
      <c r="D628" s="36" t="s">
        <v>412</v>
      </c>
      <c r="E628" s="36" t="s">
        <v>414</v>
      </c>
      <c r="F628" s="35">
        <v>18.5</v>
      </c>
      <c r="G628" s="35">
        <v>14859</v>
      </c>
      <c r="H628" s="35">
        <v>41.08</v>
      </c>
      <c r="I628" s="35">
        <v>760</v>
      </c>
      <c r="J628" s="35">
        <v>7.302631578947369</v>
      </c>
      <c r="K628" s="35">
        <v>3.92</v>
      </c>
      <c r="L628" s="35">
        <v>123.78666666666666</v>
      </c>
      <c r="M628" s="35">
        <v>0.51578947368421058</v>
      </c>
      <c r="N628" s="35">
        <v>99.9</v>
      </c>
      <c r="O628" s="35">
        <v>58.233753</v>
      </c>
    </row>
    <row r="629" spans="1:15" x14ac:dyDescent="0.3">
      <c r="A629" s="35" t="s">
        <v>205</v>
      </c>
      <c r="B629" s="35">
        <v>4</v>
      </c>
      <c r="C629" s="35">
        <v>1700</v>
      </c>
      <c r="D629" s="36" t="s">
        <v>414</v>
      </c>
      <c r="E629" s="36">
        <v>5.5</v>
      </c>
      <c r="F629" s="35">
        <v>14.8</v>
      </c>
      <c r="G629" s="35">
        <v>21743</v>
      </c>
      <c r="H629" s="35">
        <v>63.58</v>
      </c>
      <c r="I629" s="35">
        <v>941</v>
      </c>
      <c r="J629" s="35">
        <v>6.2282678002125396</v>
      </c>
      <c r="K629" s="35">
        <v>4.8012499999999996</v>
      </c>
      <c r="L629" s="35">
        <v>166.02666666666667</v>
      </c>
      <c r="M629" s="35">
        <v>0.51022848034006374</v>
      </c>
      <c r="N629" s="35">
        <v>99.9</v>
      </c>
      <c r="O629" s="35">
        <v>58.233753</v>
      </c>
    </row>
    <row r="630" spans="1:15" x14ac:dyDescent="0.3">
      <c r="A630" s="35" t="s">
        <v>201</v>
      </c>
      <c r="B630" s="35">
        <v>5.9999999999999991</v>
      </c>
      <c r="C630" s="35">
        <v>1050</v>
      </c>
      <c r="D630" s="36">
        <v>6.5</v>
      </c>
      <c r="E630" s="36">
        <v>5</v>
      </c>
      <c r="F630" s="35">
        <v>22.2</v>
      </c>
      <c r="G630" s="35">
        <v>21621</v>
      </c>
      <c r="H630" s="35">
        <v>46.06</v>
      </c>
      <c r="I630" s="35">
        <v>1022.6</v>
      </c>
      <c r="J630" s="35">
        <v>5.8615294347741056</v>
      </c>
      <c r="K630" s="35">
        <v>5.2074999999999996</v>
      </c>
      <c r="L630" s="35">
        <v>150.18666666666667</v>
      </c>
      <c r="M630" s="35">
        <v>0.50924115000977899</v>
      </c>
      <c r="N630" s="35">
        <v>99.9</v>
      </c>
      <c r="O630" s="35">
        <v>58.233753</v>
      </c>
    </row>
    <row r="631" spans="1:15" x14ac:dyDescent="0.3">
      <c r="A631" s="35" t="s">
        <v>206</v>
      </c>
      <c r="B631" s="35">
        <v>2.9999999999999996</v>
      </c>
      <c r="C631" s="35">
        <v>2100</v>
      </c>
      <c r="D631" s="36" t="s">
        <v>414</v>
      </c>
      <c r="E631" s="36" t="s">
        <v>414</v>
      </c>
      <c r="F631" s="35">
        <v>11.1</v>
      </c>
      <c r="G631" s="35">
        <v>19341</v>
      </c>
      <c r="H631" s="35">
        <v>70.12</v>
      </c>
      <c r="I631" s="35">
        <v>778.4</v>
      </c>
      <c r="J631" s="35">
        <v>7.7004110996916761</v>
      </c>
      <c r="K631" s="35">
        <v>3.9550000000000001</v>
      </c>
      <c r="L631" s="35">
        <v>161.18666666666667</v>
      </c>
      <c r="M631" s="35">
        <v>0.50809352517985606</v>
      </c>
      <c r="N631" s="35">
        <v>99.9</v>
      </c>
      <c r="O631" s="35">
        <v>58.233753</v>
      </c>
    </row>
    <row r="632" spans="1:15" x14ac:dyDescent="0.3">
      <c r="A632" s="35" t="s">
        <v>201</v>
      </c>
      <c r="B632" s="35">
        <v>5.9999999999999991</v>
      </c>
      <c r="C632" s="35">
        <v>1050</v>
      </c>
      <c r="D632" s="36" t="s">
        <v>414</v>
      </c>
      <c r="E632" s="36">
        <v>5.5</v>
      </c>
      <c r="F632" s="35">
        <v>22.2</v>
      </c>
      <c r="G632" s="35">
        <v>21795</v>
      </c>
      <c r="H632" s="35">
        <v>42.78</v>
      </c>
      <c r="I632" s="35">
        <v>949.8</v>
      </c>
      <c r="J632" s="35">
        <v>6.3108022741629828</v>
      </c>
      <c r="K632" s="35">
        <v>4.8099999999999996</v>
      </c>
      <c r="L632" s="35">
        <v>166.46666666666667</v>
      </c>
      <c r="M632" s="35">
        <v>0.50642240471678246</v>
      </c>
      <c r="N632" s="35">
        <v>99.9</v>
      </c>
      <c r="O632" s="35">
        <v>58.233753</v>
      </c>
    </row>
    <row r="633" spans="1:15" x14ac:dyDescent="0.3">
      <c r="A633" s="35" t="s">
        <v>205</v>
      </c>
      <c r="B633" s="35">
        <v>4</v>
      </c>
      <c r="C633" s="35">
        <v>1700</v>
      </c>
      <c r="D633" s="36">
        <v>6.5</v>
      </c>
      <c r="E633" s="36">
        <v>5</v>
      </c>
      <c r="F633" s="35">
        <v>14.8</v>
      </c>
      <c r="G633" s="35">
        <v>21600</v>
      </c>
      <c r="H633" s="35">
        <v>69.84</v>
      </c>
      <c r="I633" s="35">
        <v>1033.5999999999999</v>
      </c>
      <c r="J633" s="35">
        <v>5.6702786377708989</v>
      </c>
      <c r="K633" s="35">
        <v>5.22</v>
      </c>
      <c r="L633" s="35">
        <v>150.04</v>
      </c>
      <c r="M633" s="35">
        <v>0.50503095975232204</v>
      </c>
      <c r="N633" s="35">
        <v>99.9</v>
      </c>
      <c r="O633" s="35">
        <v>58.233753</v>
      </c>
    </row>
    <row r="634" spans="1:15" x14ac:dyDescent="0.3">
      <c r="A634" s="35" t="s">
        <v>203</v>
      </c>
      <c r="B634" s="35">
        <v>5</v>
      </c>
      <c r="C634" s="35">
        <v>1400</v>
      </c>
      <c r="D634" s="36" t="s">
        <v>414</v>
      </c>
      <c r="E634" s="36">
        <v>5.5</v>
      </c>
      <c r="F634" s="35">
        <v>18.5</v>
      </c>
      <c r="G634" s="35">
        <v>22512</v>
      </c>
      <c r="H634" s="35">
        <v>55.46</v>
      </c>
      <c r="I634" s="35">
        <v>1026</v>
      </c>
      <c r="J634" s="35">
        <v>5.4093567251461989</v>
      </c>
      <c r="K634" s="35">
        <v>5.1637500000000003</v>
      </c>
      <c r="L634" s="35">
        <v>172.04</v>
      </c>
      <c r="M634" s="35">
        <v>0.50328947368421051</v>
      </c>
      <c r="N634" s="35">
        <v>99.9</v>
      </c>
      <c r="O634" s="35">
        <v>58.233753</v>
      </c>
    </row>
    <row r="635" spans="1:15" x14ac:dyDescent="0.3">
      <c r="A635" s="35" t="s">
        <v>203</v>
      </c>
      <c r="B635" s="35">
        <v>5</v>
      </c>
      <c r="C635" s="35">
        <v>1400</v>
      </c>
      <c r="D635" s="36">
        <v>6.5</v>
      </c>
      <c r="E635" s="36">
        <v>5</v>
      </c>
      <c r="F635" s="35">
        <v>18.5</v>
      </c>
      <c r="G635" s="35">
        <v>22261</v>
      </c>
      <c r="H635" s="35">
        <v>59.94</v>
      </c>
      <c r="I635" s="35">
        <v>1108.8</v>
      </c>
      <c r="J635" s="35">
        <v>5.0054112554112553</v>
      </c>
      <c r="K635" s="35">
        <v>5.5287499999999996</v>
      </c>
      <c r="L635" s="35">
        <v>154.58666666666667</v>
      </c>
      <c r="M635" s="35">
        <v>0.49862463924963929</v>
      </c>
      <c r="N635" s="35">
        <v>99.9</v>
      </c>
      <c r="O635" s="35">
        <v>58.233753</v>
      </c>
    </row>
    <row r="636" spans="1:15" x14ac:dyDescent="0.3">
      <c r="A636" s="35" t="s">
        <v>201</v>
      </c>
      <c r="B636" s="35">
        <v>5.9999999999999991</v>
      </c>
      <c r="C636" s="35">
        <v>1050</v>
      </c>
      <c r="D636" s="36">
        <v>6.5</v>
      </c>
      <c r="E636" s="36">
        <v>5.5</v>
      </c>
      <c r="F636" s="35">
        <v>22.2</v>
      </c>
      <c r="G636" s="35">
        <v>21451</v>
      </c>
      <c r="H636" s="35">
        <v>48.72</v>
      </c>
      <c r="I636" s="35">
        <v>1081.4000000000001</v>
      </c>
      <c r="J636" s="35">
        <v>5.5428148696134638</v>
      </c>
      <c r="K636" s="35">
        <v>5.34</v>
      </c>
      <c r="L636" s="35">
        <v>163.82666666666665</v>
      </c>
      <c r="M636" s="35">
        <v>0.49380432772332161</v>
      </c>
      <c r="N636" s="35">
        <v>99.9</v>
      </c>
      <c r="O636" s="35">
        <v>58.233753</v>
      </c>
    </row>
    <row r="637" spans="1:15" x14ac:dyDescent="0.3">
      <c r="A637" s="35" t="s">
        <v>254</v>
      </c>
      <c r="B637" s="35">
        <v>2.9999999999999996</v>
      </c>
      <c r="C637" s="35">
        <v>1350</v>
      </c>
      <c r="D637" s="36" t="s">
        <v>415</v>
      </c>
      <c r="E637" s="36" t="s">
        <v>415</v>
      </c>
      <c r="F637" s="35">
        <v>11.1</v>
      </c>
      <c r="G637" s="35">
        <v>12327</v>
      </c>
      <c r="H637" s="35">
        <v>104.1</v>
      </c>
      <c r="I637" s="35">
        <v>1155.5999999999999</v>
      </c>
      <c r="J637" s="35">
        <v>5.1869158878504678</v>
      </c>
      <c r="K637" s="35">
        <v>5.66</v>
      </c>
      <c r="L637" s="35">
        <v>137</v>
      </c>
      <c r="M637" s="35">
        <v>0.48978885427483565</v>
      </c>
      <c r="N637" s="35">
        <v>99.9</v>
      </c>
      <c r="O637" s="35">
        <v>58.233753</v>
      </c>
    </row>
    <row r="638" spans="1:15" x14ac:dyDescent="0.3">
      <c r="A638" s="35" t="s">
        <v>205</v>
      </c>
      <c r="B638" s="35">
        <v>4</v>
      </c>
      <c r="C638" s="35">
        <v>1700</v>
      </c>
      <c r="D638" s="36">
        <v>6.5</v>
      </c>
      <c r="E638" s="36">
        <v>5.5</v>
      </c>
      <c r="F638" s="35">
        <v>14.8</v>
      </c>
      <c r="G638" s="35">
        <v>21420</v>
      </c>
      <c r="H638" s="35">
        <v>73.42</v>
      </c>
      <c r="I638" s="35">
        <v>1086.5999999999999</v>
      </c>
      <c r="J638" s="35">
        <v>5.3937051352843737</v>
      </c>
      <c r="K638" s="35">
        <v>5.2912499999999998</v>
      </c>
      <c r="L638" s="35">
        <v>163.67999999999998</v>
      </c>
      <c r="M638" s="35">
        <v>0.48695472114853677</v>
      </c>
      <c r="N638" s="35">
        <v>99.9</v>
      </c>
      <c r="O638" s="35">
        <v>58.233753</v>
      </c>
    </row>
    <row r="639" spans="1:15" x14ac:dyDescent="0.3">
      <c r="A639" s="35" t="s">
        <v>205</v>
      </c>
      <c r="B639" s="35">
        <v>2.9999999999999996</v>
      </c>
      <c r="C639" s="35">
        <v>1700</v>
      </c>
      <c r="D639" s="36" t="s">
        <v>412</v>
      </c>
      <c r="E639" s="36" t="s">
        <v>414</v>
      </c>
      <c r="F639" s="35">
        <v>11.1</v>
      </c>
      <c r="G639" s="35">
        <v>15364</v>
      </c>
      <c r="H639" s="35">
        <v>78.680000000000007</v>
      </c>
      <c r="I639" s="35">
        <v>873.4</v>
      </c>
      <c r="J639" s="35">
        <v>6.8628348980993827</v>
      </c>
      <c r="K639" s="35">
        <v>4.24125</v>
      </c>
      <c r="L639" s="35">
        <v>128.04</v>
      </c>
      <c r="M639" s="35">
        <v>0.48560224410350356</v>
      </c>
      <c r="N639" s="35">
        <v>99.9</v>
      </c>
      <c r="O639" s="35">
        <v>58.233753</v>
      </c>
    </row>
    <row r="640" spans="1:15" x14ac:dyDescent="0.3">
      <c r="A640" s="35" t="s">
        <v>254</v>
      </c>
      <c r="B640" s="35">
        <v>4</v>
      </c>
      <c r="C640" s="35">
        <v>1350</v>
      </c>
      <c r="D640" s="36" t="s">
        <v>412</v>
      </c>
      <c r="E640" s="36" t="s">
        <v>412</v>
      </c>
      <c r="F640" s="35">
        <v>14.8</v>
      </c>
      <c r="G640" s="35">
        <v>17224</v>
      </c>
      <c r="H640" s="35">
        <v>95.32</v>
      </c>
      <c r="I640" s="35">
        <v>1410.6</v>
      </c>
      <c r="J640" s="35">
        <v>4.1548277328796264</v>
      </c>
      <c r="K640" s="35">
        <v>6.8419999999999996</v>
      </c>
      <c r="L640" s="35">
        <v>167.5</v>
      </c>
      <c r="M640" s="35">
        <v>0.48504182617325964</v>
      </c>
      <c r="N640" s="35">
        <v>99.9</v>
      </c>
      <c r="O640" s="35">
        <v>58.233753</v>
      </c>
    </row>
    <row r="641" spans="1:15" x14ac:dyDescent="0.3">
      <c r="A641" s="35" t="s">
        <v>206</v>
      </c>
      <c r="B641" s="35">
        <v>2.9999999999999996</v>
      </c>
      <c r="C641" s="35">
        <v>2100</v>
      </c>
      <c r="D641" s="36">
        <v>6.5</v>
      </c>
      <c r="E641" s="36">
        <v>6</v>
      </c>
      <c r="F641" s="35">
        <v>11.1</v>
      </c>
      <c r="G641" s="35">
        <v>18896</v>
      </c>
      <c r="H641" s="35">
        <v>77.3</v>
      </c>
      <c r="I641" s="35">
        <v>858</v>
      </c>
      <c r="J641" s="35">
        <v>6.9860139860139858</v>
      </c>
      <c r="K641" s="35">
        <v>4.1537499999999996</v>
      </c>
      <c r="L641" s="35">
        <v>157.52000000000001</v>
      </c>
      <c r="M641" s="35">
        <v>0.4841200466200466</v>
      </c>
      <c r="N641" s="35">
        <v>99.9</v>
      </c>
      <c r="O641" s="35">
        <v>58.233753</v>
      </c>
    </row>
    <row r="642" spans="1:15" x14ac:dyDescent="0.3">
      <c r="A642" s="35" t="s">
        <v>253</v>
      </c>
      <c r="B642" s="35">
        <v>4</v>
      </c>
      <c r="C642" s="35">
        <v>1950</v>
      </c>
      <c r="D642" s="36" t="s">
        <v>414</v>
      </c>
      <c r="E642" s="36" t="s">
        <v>416</v>
      </c>
      <c r="F642" s="35">
        <v>14.8</v>
      </c>
      <c r="G642" s="35">
        <v>25852</v>
      </c>
      <c r="H642" s="35">
        <v>87.04</v>
      </c>
      <c r="I642" s="35">
        <v>1288.2</v>
      </c>
      <c r="J642" s="35">
        <v>4.5496040987424315</v>
      </c>
      <c r="K642" s="35">
        <v>6.22</v>
      </c>
      <c r="L642" s="35">
        <v>143.6</v>
      </c>
      <c r="M642" s="35">
        <v>0.48284427883868963</v>
      </c>
      <c r="N642" s="35">
        <v>99.9</v>
      </c>
      <c r="O642" s="35">
        <v>58.233753</v>
      </c>
    </row>
    <row r="643" spans="1:15" x14ac:dyDescent="0.3">
      <c r="A643" s="35" t="s">
        <v>203</v>
      </c>
      <c r="B643" s="35">
        <v>5</v>
      </c>
      <c r="C643" s="35">
        <v>1400</v>
      </c>
      <c r="D643" s="36">
        <v>6.5</v>
      </c>
      <c r="E643" s="36">
        <v>5.5</v>
      </c>
      <c r="F643" s="35">
        <v>18.5</v>
      </c>
      <c r="G643" s="35">
        <v>22088</v>
      </c>
      <c r="H643" s="35">
        <v>63.48</v>
      </c>
      <c r="I643" s="35">
        <v>1174.4000000000001</v>
      </c>
      <c r="J643" s="35">
        <v>4.7258174386920979</v>
      </c>
      <c r="K643" s="35">
        <v>5.6262499999999998</v>
      </c>
      <c r="L643" s="35">
        <v>168.66666666666666</v>
      </c>
      <c r="M643" s="35">
        <v>0.4790744209809264</v>
      </c>
      <c r="N643" s="35">
        <v>99.9</v>
      </c>
      <c r="O643" s="35">
        <v>58.233753</v>
      </c>
    </row>
    <row r="644" spans="1:15" x14ac:dyDescent="0.3">
      <c r="A644" s="35" t="s">
        <v>232</v>
      </c>
      <c r="B644" s="35">
        <v>4</v>
      </c>
      <c r="C644" s="35">
        <v>1450</v>
      </c>
      <c r="D644" s="36" t="s">
        <v>414</v>
      </c>
      <c r="E644" s="36" t="s">
        <v>414</v>
      </c>
      <c r="F644" s="35">
        <v>14.8</v>
      </c>
      <c r="G644" s="35">
        <v>20667</v>
      </c>
      <c r="H644" s="35">
        <v>66.98</v>
      </c>
      <c r="I644" s="35">
        <v>991.2</v>
      </c>
      <c r="J644" s="35">
        <v>5.9128329297820823</v>
      </c>
      <c r="K644" s="35">
        <v>4.7320000000000002</v>
      </c>
      <c r="L644" s="35">
        <v>172.2</v>
      </c>
      <c r="M644" s="35">
        <v>0.47740112994350281</v>
      </c>
      <c r="N644" s="35">
        <v>97.68</v>
      </c>
      <c r="O644" s="35">
        <v>53.328474999999997</v>
      </c>
    </row>
    <row r="645" spans="1:15" x14ac:dyDescent="0.3">
      <c r="A645" s="35" t="s">
        <v>206</v>
      </c>
      <c r="B645" s="35">
        <v>4</v>
      </c>
      <c r="C645" s="35">
        <v>2100</v>
      </c>
      <c r="D645" s="36" t="s">
        <v>413</v>
      </c>
      <c r="E645" s="36">
        <v>4.5999999999999996</v>
      </c>
      <c r="F645" s="35">
        <v>14.8</v>
      </c>
      <c r="G645" s="35">
        <v>26121</v>
      </c>
      <c r="H645" s="35">
        <v>75.56</v>
      </c>
      <c r="I645" s="35">
        <v>1118.2</v>
      </c>
      <c r="J645" s="35">
        <v>5.241280629583259</v>
      </c>
      <c r="K645" s="35">
        <v>5.3</v>
      </c>
      <c r="L645" s="35">
        <v>166.90666666666664</v>
      </c>
      <c r="M645" s="35">
        <v>0.47397603291003398</v>
      </c>
      <c r="N645" s="35">
        <v>97.68</v>
      </c>
      <c r="O645" s="35">
        <v>53.328474999999997</v>
      </c>
    </row>
    <row r="646" spans="1:15" x14ac:dyDescent="0.3">
      <c r="A646" s="35" t="s">
        <v>206</v>
      </c>
      <c r="B646" s="35">
        <v>4</v>
      </c>
      <c r="C646" s="35">
        <v>2100</v>
      </c>
      <c r="D646" s="36" t="s">
        <v>413</v>
      </c>
      <c r="E646" s="36">
        <v>4.3</v>
      </c>
      <c r="F646" s="35">
        <v>14.8</v>
      </c>
      <c r="G646" s="35">
        <v>26285</v>
      </c>
      <c r="H646" s="35">
        <v>72.78</v>
      </c>
      <c r="I646" s="35">
        <v>1077</v>
      </c>
      <c r="J646" s="35">
        <v>5.4417827298050137</v>
      </c>
      <c r="K646" s="35">
        <v>5.0612500000000002</v>
      </c>
      <c r="L646" s="35">
        <v>156.93333333333331</v>
      </c>
      <c r="M646" s="35">
        <v>0.46993964716805947</v>
      </c>
      <c r="N646" s="35">
        <v>97.68</v>
      </c>
      <c r="O646" s="35">
        <v>53.328474999999997</v>
      </c>
    </row>
    <row r="647" spans="1:15" x14ac:dyDescent="0.3">
      <c r="A647" s="35" t="s">
        <v>203</v>
      </c>
      <c r="B647" s="35">
        <v>5.9999999999999991</v>
      </c>
      <c r="C647" s="35">
        <v>1400</v>
      </c>
      <c r="D647" s="36" t="s">
        <v>413</v>
      </c>
      <c r="E647" s="36">
        <v>4.5999999999999996</v>
      </c>
      <c r="F647" s="35">
        <v>22.2</v>
      </c>
      <c r="G647" s="35">
        <v>27330</v>
      </c>
      <c r="H647" s="35">
        <v>56.1</v>
      </c>
      <c r="I647" s="35">
        <v>1245.4000000000001</v>
      </c>
      <c r="J647" s="35">
        <v>4.8129115143728924</v>
      </c>
      <c r="K647" s="35">
        <v>5.8425000000000002</v>
      </c>
      <c r="L647" s="35">
        <v>174.67999999999998</v>
      </c>
      <c r="M647" s="35">
        <v>0.46912638509715754</v>
      </c>
      <c r="N647" s="35">
        <v>97.68</v>
      </c>
      <c r="O647" s="35">
        <v>53.328474999999997</v>
      </c>
    </row>
    <row r="648" spans="1:15" x14ac:dyDescent="0.3">
      <c r="A648" s="35" t="s">
        <v>203</v>
      </c>
      <c r="B648" s="35">
        <v>4</v>
      </c>
      <c r="C648" s="35">
        <v>1400</v>
      </c>
      <c r="D648" s="36" t="s">
        <v>412</v>
      </c>
      <c r="E648" s="36" t="s">
        <v>414</v>
      </c>
      <c r="F648" s="35">
        <v>14.8</v>
      </c>
      <c r="G648" s="35">
        <v>16811</v>
      </c>
      <c r="H648" s="35">
        <v>72.52</v>
      </c>
      <c r="I648" s="35">
        <v>1073.4000000000001</v>
      </c>
      <c r="J648" s="35">
        <v>5.4600335382895473</v>
      </c>
      <c r="K648" s="35">
        <v>5.0225</v>
      </c>
      <c r="L648" s="35">
        <v>140.06666666666666</v>
      </c>
      <c r="M648" s="35">
        <v>0.46790572014160603</v>
      </c>
      <c r="N648" s="35">
        <v>97.68</v>
      </c>
      <c r="O648" s="35">
        <v>53.328474999999997</v>
      </c>
    </row>
    <row r="649" spans="1:15" x14ac:dyDescent="0.3">
      <c r="A649" s="35" t="s">
        <v>154</v>
      </c>
      <c r="B649" s="35">
        <v>4</v>
      </c>
      <c r="C649" s="35">
        <v>1360</v>
      </c>
      <c r="D649" s="36">
        <v>6.5</v>
      </c>
      <c r="E649" s="36">
        <v>6.5</v>
      </c>
      <c r="F649" s="35">
        <v>14.8</v>
      </c>
      <c r="G649" s="35">
        <v>16013</v>
      </c>
      <c r="H649" s="35">
        <v>40.68</v>
      </c>
      <c r="I649" s="35">
        <v>602</v>
      </c>
      <c r="J649" s="35">
        <v>9.7355481727574755</v>
      </c>
      <c r="K649" s="35">
        <v>2.8125</v>
      </c>
      <c r="L649" s="35">
        <v>144.61333333333332</v>
      </c>
      <c r="M649" s="35">
        <v>0.46719269102990035</v>
      </c>
      <c r="N649" s="35">
        <v>97.68</v>
      </c>
      <c r="O649" s="35">
        <v>53.328474999999997</v>
      </c>
    </row>
    <row r="650" spans="1:15" x14ac:dyDescent="0.3">
      <c r="A650" s="35" t="s">
        <v>209</v>
      </c>
      <c r="B650" s="35">
        <v>5.9999999999999991</v>
      </c>
      <c r="C650" s="35">
        <v>1170</v>
      </c>
      <c r="D650" s="36">
        <v>6.5</v>
      </c>
      <c r="E650" s="36">
        <v>5</v>
      </c>
      <c r="F650" s="35">
        <v>22.2</v>
      </c>
      <c r="G650" s="35">
        <v>23712</v>
      </c>
      <c r="H650" s="35">
        <v>61.8</v>
      </c>
      <c r="I650" s="35">
        <v>1372</v>
      </c>
      <c r="J650" s="35">
        <v>4.3688046647230321</v>
      </c>
      <c r="K650" s="35">
        <v>6.34</v>
      </c>
      <c r="L650" s="35">
        <v>164.70666666666665</v>
      </c>
      <c r="M650" s="35">
        <v>0.46209912536443143</v>
      </c>
      <c r="N650" s="35">
        <v>97.68</v>
      </c>
      <c r="O650" s="35">
        <v>53.328474999999997</v>
      </c>
    </row>
    <row r="651" spans="1:15" x14ac:dyDescent="0.3">
      <c r="A651" s="35" t="s">
        <v>212</v>
      </c>
      <c r="B651" s="35">
        <v>5</v>
      </c>
      <c r="C651" s="35">
        <v>1460</v>
      </c>
      <c r="D651" s="36">
        <v>6.5</v>
      </c>
      <c r="E651" s="36">
        <v>5</v>
      </c>
      <c r="F651" s="35">
        <v>18.5</v>
      </c>
      <c r="G651" s="35">
        <v>23449</v>
      </c>
      <c r="H651" s="35">
        <v>73.239999999999995</v>
      </c>
      <c r="I651" s="35">
        <v>1354.8</v>
      </c>
      <c r="J651" s="35">
        <v>4.096545615589017</v>
      </c>
      <c r="K651" s="35">
        <v>6.2350000000000003</v>
      </c>
      <c r="L651" s="35">
        <v>162.79999999999998</v>
      </c>
      <c r="M651" s="35">
        <v>0.46021552996752291</v>
      </c>
      <c r="N651" s="35">
        <v>97.68</v>
      </c>
      <c r="O651" s="35">
        <v>53.328474999999997</v>
      </c>
    </row>
    <row r="652" spans="1:15" x14ac:dyDescent="0.3">
      <c r="A652" s="35" t="s">
        <v>203</v>
      </c>
      <c r="B652" s="35">
        <v>5.9999999999999991</v>
      </c>
      <c r="C652" s="35">
        <v>1400</v>
      </c>
      <c r="D652" s="36">
        <v>5</v>
      </c>
      <c r="E652" s="36">
        <v>4.3</v>
      </c>
      <c r="F652" s="35">
        <v>22.2</v>
      </c>
      <c r="G652" s="35">
        <v>27438</v>
      </c>
      <c r="H652" s="35">
        <v>54.04</v>
      </c>
      <c r="I652" s="35">
        <v>1199.8</v>
      </c>
      <c r="J652" s="35">
        <v>4.9958326387731296</v>
      </c>
      <c r="K652" s="35">
        <v>5.52</v>
      </c>
      <c r="L652" s="35">
        <v>163.82666666666665</v>
      </c>
      <c r="M652" s="35">
        <v>0.46007667944657443</v>
      </c>
      <c r="N652" s="35">
        <v>97.68</v>
      </c>
      <c r="O652" s="35">
        <v>53.328474999999997</v>
      </c>
    </row>
    <row r="653" spans="1:15" x14ac:dyDescent="0.3">
      <c r="A653" s="35" t="s">
        <v>206</v>
      </c>
      <c r="B653" s="35">
        <v>4</v>
      </c>
      <c r="C653" s="35">
        <v>2100</v>
      </c>
      <c r="D653" s="36" t="s">
        <v>414</v>
      </c>
      <c r="E653" s="36" t="s">
        <v>416</v>
      </c>
      <c r="F653" s="35">
        <v>14.8</v>
      </c>
      <c r="G653" s="35">
        <v>25506</v>
      </c>
      <c r="H653" s="35">
        <v>86.32</v>
      </c>
      <c r="I653" s="35">
        <v>1277.4000000000001</v>
      </c>
      <c r="J653" s="35">
        <v>4.5880695162047909</v>
      </c>
      <c r="K653" s="35">
        <v>5.8687500000000004</v>
      </c>
      <c r="L653" s="35">
        <v>141.67999999999998</v>
      </c>
      <c r="M653" s="35">
        <v>0.45942930953499295</v>
      </c>
      <c r="N653" s="35">
        <v>97.68</v>
      </c>
      <c r="O653" s="35">
        <v>53.328474999999997</v>
      </c>
    </row>
    <row r="654" spans="1:15" x14ac:dyDescent="0.3">
      <c r="A654" s="35" t="s">
        <v>201</v>
      </c>
      <c r="B654" s="35">
        <v>5</v>
      </c>
      <c r="C654" s="35">
        <v>1050</v>
      </c>
      <c r="D654" s="36" t="s">
        <v>412</v>
      </c>
      <c r="E654" s="36" t="s">
        <v>414</v>
      </c>
      <c r="F654" s="35">
        <v>18.5</v>
      </c>
      <c r="G654" s="35">
        <v>17069</v>
      </c>
      <c r="H654" s="35">
        <v>62.18</v>
      </c>
      <c r="I654" s="35">
        <v>1150.4000000000001</v>
      </c>
      <c r="J654" s="35">
        <v>4.8244089012517382</v>
      </c>
      <c r="K654" s="35">
        <v>5.2162499999999996</v>
      </c>
      <c r="L654" s="35">
        <v>142.26666666666665</v>
      </c>
      <c r="M654" s="35">
        <v>0.45342924200278162</v>
      </c>
      <c r="N654" s="35">
        <v>97.68</v>
      </c>
      <c r="O654" s="35">
        <v>53.328474999999997</v>
      </c>
    </row>
    <row r="655" spans="1:15" x14ac:dyDescent="0.3">
      <c r="A655" s="35" t="s">
        <v>212</v>
      </c>
      <c r="B655" s="35">
        <v>4</v>
      </c>
      <c r="C655" s="35">
        <v>1460</v>
      </c>
      <c r="D655" s="36" t="s">
        <v>412</v>
      </c>
      <c r="E655" s="36" t="s">
        <v>414</v>
      </c>
      <c r="F655" s="35">
        <v>14.8</v>
      </c>
      <c r="G655" s="35">
        <v>17751</v>
      </c>
      <c r="H655" s="35">
        <v>84.72</v>
      </c>
      <c r="I655" s="35">
        <v>1253.8</v>
      </c>
      <c r="J655" s="35">
        <v>4.6744297336098271</v>
      </c>
      <c r="K655" s="35">
        <v>5.67875</v>
      </c>
      <c r="L655" s="35">
        <v>147.98666666666665</v>
      </c>
      <c r="M655" s="35">
        <v>0.45292311373424793</v>
      </c>
      <c r="N655" s="35">
        <v>97.68</v>
      </c>
      <c r="O655" s="35">
        <v>53.328474999999997</v>
      </c>
    </row>
    <row r="656" spans="1:15" x14ac:dyDescent="0.3">
      <c r="A656" s="35" t="s">
        <v>205</v>
      </c>
      <c r="B656" s="35">
        <v>5</v>
      </c>
      <c r="C656" s="35">
        <v>1700</v>
      </c>
      <c r="D656" s="36" t="s">
        <v>413</v>
      </c>
      <c r="E656" s="36">
        <v>4.5999999999999996</v>
      </c>
      <c r="F656" s="35">
        <v>18.5</v>
      </c>
      <c r="G656" s="35">
        <v>27176</v>
      </c>
      <c r="H656" s="35">
        <v>69.38</v>
      </c>
      <c r="I656" s="35">
        <v>1283.5999999999999</v>
      </c>
      <c r="J656" s="35">
        <v>4.3237768775319418</v>
      </c>
      <c r="K656" s="35">
        <v>5.7975000000000003</v>
      </c>
      <c r="L656" s="35">
        <v>173.65333333333334</v>
      </c>
      <c r="M656" s="35">
        <v>0.4516593954502961</v>
      </c>
      <c r="N656" s="35">
        <v>97.68</v>
      </c>
      <c r="O656" s="35">
        <v>53.328474999999997</v>
      </c>
    </row>
    <row r="657" spans="1:15" x14ac:dyDescent="0.3">
      <c r="A657" s="35" t="s">
        <v>205</v>
      </c>
      <c r="B657" s="35">
        <v>4</v>
      </c>
      <c r="C657" s="35">
        <v>1700</v>
      </c>
      <c r="D657" s="36" t="s">
        <v>414</v>
      </c>
      <c r="E657" s="36" t="s">
        <v>414</v>
      </c>
      <c r="F657" s="35">
        <v>14.8</v>
      </c>
      <c r="G657" s="35">
        <v>21290</v>
      </c>
      <c r="H657" s="35">
        <v>72.599999999999994</v>
      </c>
      <c r="I657" s="35">
        <v>1074.4000000000001</v>
      </c>
      <c r="J657" s="35">
        <v>5.4549516008935219</v>
      </c>
      <c r="K657" s="35">
        <v>4.8499999999999996</v>
      </c>
      <c r="L657" s="35">
        <v>177.46666666666664</v>
      </c>
      <c r="M657" s="35">
        <v>0.45141474311243479</v>
      </c>
      <c r="N657" s="35">
        <v>97.68</v>
      </c>
      <c r="O657" s="35">
        <v>53.328474999999997</v>
      </c>
    </row>
    <row r="658" spans="1:15" x14ac:dyDescent="0.3">
      <c r="A658" s="35" t="s">
        <v>201</v>
      </c>
      <c r="B658" s="35">
        <v>5.9999999999999991</v>
      </c>
      <c r="C658" s="35">
        <v>1050</v>
      </c>
      <c r="D658" s="36" t="s">
        <v>414</v>
      </c>
      <c r="E658" s="36" t="s">
        <v>414</v>
      </c>
      <c r="F658" s="35">
        <v>22.2</v>
      </c>
      <c r="G658" s="35">
        <v>21404</v>
      </c>
      <c r="H658" s="35">
        <v>48.84</v>
      </c>
      <c r="I658" s="35">
        <v>1084.2</v>
      </c>
      <c r="J658" s="35">
        <v>5.5285002767017151</v>
      </c>
      <c r="K658" s="35">
        <v>4.8899999999999997</v>
      </c>
      <c r="L658" s="35">
        <v>178.34666666666664</v>
      </c>
      <c r="M658" s="35">
        <v>0.45102379634753725</v>
      </c>
      <c r="N658" s="35">
        <v>97.68</v>
      </c>
      <c r="O658" s="35">
        <v>53.328474999999997</v>
      </c>
    </row>
    <row r="659" spans="1:15" x14ac:dyDescent="0.3">
      <c r="A659" s="35" t="s">
        <v>254</v>
      </c>
      <c r="B659" s="35">
        <v>4</v>
      </c>
      <c r="C659" s="35">
        <v>1080</v>
      </c>
      <c r="D659" s="36" t="s">
        <v>415</v>
      </c>
      <c r="E659" s="36" t="s">
        <v>415</v>
      </c>
      <c r="F659" s="35">
        <v>14.8</v>
      </c>
      <c r="G659" s="35">
        <v>13173</v>
      </c>
      <c r="H659" s="35">
        <v>98.5</v>
      </c>
      <c r="I659" s="35">
        <v>1457.8</v>
      </c>
      <c r="J659" s="35">
        <v>4.0203045685279193</v>
      </c>
      <c r="K659" s="35">
        <v>6.5460000000000003</v>
      </c>
      <c r="L659" s="35">
        <v>146.4</v>
      </c>
      <c r="M659" s="35">
        <v>0.44903278913431199</v>
      </c>
      <c r="N659" s="35">
        <v>97.68</v>
      </c>
      <c r="O659" s="35">
        <v>53.328474999999997</v>
      </c>
    </row>
    <row r="660" spans="1:15" x14ac:dyDescent="0.3">
      <c r="A660" s="35" t="s">
        <v>201</v>
      </c>
      <c r="B660" s="35">
        <v>5.9999999999999991</v>
      </c>
      <c r="C660" s="35">
        <v>1050</v>
      </c>
      <c r="D660" s="36">
        <v>6.5</v>
      </c>
      <c r="E660" s="36">
        <v>6</v>
      </c>
      <c r="F660" s="35">
        <v>22.2</v>
      </c>
      <c r="G660" s="35">
        <v>21171</v>
      </c>
      <c r="H660" s="35">
        <v>53.88</v>
      </c>
      <c r="I660" s="35">
        <v>1196.2</v>
      </c>
      <c r="J660" s="35">
        <v>5.0108677478682493</v>
      </c>
      <c r="K660" s="35">
        <v>5.3574999999999999</v>
      </c>
      <c r="L660" s="35">
        <v>176.43999999999997</v>
      </c>
      <c r="M660" s="35">
        <v>0.44787660926266504</v>
      </c>
      <c r="N660" s="35">
        <v>97.68</v>
      </c>
      <c r="O660" s="35">
        <v>53.328474999999997</v>
      </c>
    </row>
    <row r="661" spans="1:15" x14ac:dyDescent="0.3">
      <c r="A661" s="35" t="s">
        <v>203</v>
      </c>
      <c r="B661" s="35">
        <v>5</v>
      </c>
      <c r="C661" s="35">
        <v>1400</v>
      </c>
      <c r="D661" s="36" t="s">
        <v>414</v>
      </c>
      <c r="E661" s="36" t="s">
        <v>414</v>
      </c>
      <c r="F661" s="35">
        <v>18.5</v>
      </c>
      <c r="G661" s="35">
        <v>22100</v>
      </c>
      <c r="H661" s="35">
        <v>63.28</v>
      </c>
      <c r="I661" s="35">
        <v>1170.5999999999999</v>
      </c>
      <c r="J661" s="35">
        <v>4.7411583803177866</v>
      </c>
      <c r="K661" s="35">
        <v>5.1987500000000004</v>
      </c>
      <c r="L661" s="35">
        <v>184.21333333333331</v>
      </c>
      <c r="M661" s="35">
        <v>0.44410985819238002</v>
      </c>
      <c r="N661" s="35">
        <v>97.68</v>
      </c>
      <c r="O661" s="35">
        <v>53.328474999999997</v>
      </c>
    </row>
    <row r="662" spans="1:15" x14ac:dyDescent="0.3">
      <c r="A662" s="35" t="s">
        <v>203</v>
      </c>
      <c r="B662" s="35">
        <v>5.9999999999999991</v>
      </c>
      <c r="C662" s="35">
        <v>1400</v>
      </c>
      <c r="D662" s="36" t="s">
        <v>414</v>
      </c>
      <c r="E662" s="36" t="s">
        <v>416</v>
      </c>
      <c r="F662" s="35">
        <v>22.2</v>
      </c>
      <c r="G662" s="35">
        <v>26790</v>
      </c>
      <c r="H662" s="35">
        <v>65.66</v>
      </c>
      <c r="I662" s="35">
        <v>1457.8</v>
      </c>
      <c r="J662" s="35">
        <v>4.1116751269035543</v>
      </c>
      <c r="K662" s="35">
        <v>6.46875</v>
      </c>
      <c r="L662" s="35">
        <v>148.86666666666665</v>
      </c>
      <c r="M662" s="35">
        <v>0.44373370832761694</v>
      </c>
      <c r="N662" s="35">
        <v>97.68</v>
      </c>
      <c r="O662" s="35">
        <v>53.328474999999997</v>
      </c>
    </row>
    <row r="663" spans="1:15" x14ac:dyDescent="0.3">
      <c r="A663" s="35" t="s">
        <v>205</v>
      </c>
      <c r="B663" s="35">
        <v>5</v>
      </c>
      <c r="C663" s="35">
        <v>1700</v>
      </c>
      <c r="D663" s="36">
        <v>5</v>
      </c>
      <c r="E663" s="36">
        <v>4.3</v>
      </c>
      <c r="F663" s="35">
        <v>18.5</v>
      </c>
      <c r="G663" s="35">
        <v>27367</v>
      </c>
      <c r="H663" s="35">
        <v>66.88</v>
      </c>
      <c r="I663" s="35">
        <v>1237.2</v>
      </c>
      <c r="J663" s="35">
        <v>4.4859359844810864</v>
      </c>
      <c r="K663" s="35">
        <v>5.4587500000000002</v>
      </c>
      <c r="L663" s="35">
        <v>163.38666666666666</v>
      </c>
      <c r="M663" s="35">
        <v>0.44121807306821859</v>
      </c>
      <c r="N663" s="35">
        <v>97.68</v>
      </c>
      <c r="O663" s="35">
        <v>53.328474999999997</v>
      </c>
    </row>
    <row r="664" spans="1:15" x14ac:dyDescent="0.3">
      <c r="A664" s="35" t="s">
        <v>205</v>
      </c>
      <c r="B664" s="35">
        <v>4</v>
      </c>
      <c r="C664" s="35">
        <v>1700</v>
      </c>
      <c r="D664" s="36">
        <v>6.5</v>
      </c>
      <c r="E664" s="36">
        <v>6</v>
      </c>
      <c r="F664" s="35">
        <v>14.8</v>
      </c>
      <c r="G664" s="35">
        <v>21030</v>
      </c>
      <c r="H664" s="35">
        <v>80.819999999999993</v>
      </c>
      <c r="I664" s="35">
        <v>1196.2</v>
      </c>
      <c r="J664" s="35">
        <v>4.8995151312489558</v>
      </c>
      <c r="K664" s="35">
        <v>5.2774999999999999</v>
      </c>
      <c r="L664" s="35">
        <v>175.26666666666665</v>
      </c>
      <c r="M664" s="35">
        <v>0.4411887644206654</v>
      </c>
      <c r="N664" s="35">
        <v>92.5</v>
      </c>
      <c r="O664" s="35">
        <v>54.104503000000001</v>
      </c>
    </row>
    <row r="665" spans="1:15" x14ac:dyDescent="0.3">
      <c r="A665" s="35" t="s">
        <v>209</v>
      </c>
      <c r="B665" s="35">
        <v>5.9999999999999991</v>
      </c>
      <c r="C665" s="35">
        <v>1170</v>
      </c>
      <c r="D665" s="36">
        <v>6.5</v>
      </c>
      <c r="E665" s="36">
        <v>5.5</v>
      </c>
      <c r="F665" s="35">
        <v>22.2</v>
      </c>
      <c r="G665" s="35">
        <v>23560</v>
      </c>
      <c r="H665" s="35">
        <v>66</v>
      </c>
      <c r="I665" s="35">
        <v>1465.2</v>
      </c>
      <c r="J665" s="35">
        <v>4.0909090909090908</v>
      </c>
      <c r="K665" s="35">
        <v>6.42875</v>
      </c>
      <c r="L665" s="35">
        <v>179.95999999999998</v>
      </c>
      <c r="M665" s="35">
        <v>0.43876262626262624</v>
      </c>
      <c r="N665" s="35">
        <v>92.5</v>
      </c>
      <c r="O665" s="35">
        <v>54.104503000000001</v>
      </c>
    </row>
    <row r="666" spans="1:15" x14ac:dyDescent="0.3">
      <c r="A666" s="35" t="s">
        <v>206</v>
      </c>
      <c r="B666" s="35">
        <v>4</v>
      </c>
      <c r="C666" s="35">
        <v>2100</v>
      </c>
      <c r="D666" s="36" t="s">
        <v>413</v>
      </c>
      <c r="E666" s="36">
        <v>4.5</v>
      </c>
      <c r="F666" s="35">
        <v>14.8</v>
      </c>
      <c r="G666" s="35">
        <v>26034</v>
      </c>
      <c r="H666" s="35">
        <v>77.5</v>
      </c>
      <c r="I666" s="35">
        <v>1147</v>
      </c>
      <c r="J666" s="35">
        <v>5.1096774193548393</v>
      </c>
      <c r="K666" s="35">
        <v>4.9824999999999999</v>
      </c>
      <c r="L666" s="35">
        <v>162.65333333333334</v>
      </c>
      <c r="M666" s="35">
        <v>0.43439407149084575</v>
      </c>
      <c r="N666" s="35">
        <v>92.5</v>
      </c>
      <c r="O666" s="35">
        <v>54.104503000000001</v>
      </c>
    </row>
    <row r="667" spans="1:15" x14ac:dyDescent="0.3">
      <c r="A667" s="35" t="s">
        <v>203</v>
      </c>
      <c r="B667" s="35">
        <v>5</v>
      </c>
      <c r="C667" s="35">
        <v>1400</v>
      </c>
      <c r="D667" s="36">
        <v>6.5</v>
      </c>
      <c r="E667" s="36">
        <v>6</v>
      </c>
      <c r="F667" s="35">
        <v>18.5</v>
      </c>
      <c r="G667" s="35">
        <v>21710</v>
      </c>
      <c r="H667" s="35">
        <v>70.42</v>
      </c>
      <c r="I667" s="35">
        <v>1302.5999999999999</v>
      </c>
      <c r="J667" s="35">
        <v>4.2607093505297096</v>
      </c>
      <c r="K667" s="35">
        <v>5.6574999999999998</v>
      </c>
      <c r="L667" s="35">
        <v>180.98666666666665</v>
      </c>
      <c r="M667" s="35">
        <v>0.43432366037156456</v>
      </c>
      <c r="N667" s="35">
        <v>92.5</v>
      </c>
      <c r="O667" s="35">
        <v>54.104503000000001</v>
      </c>
    </row>
    <row r="668" spans="1:15" x14ac:dyDescent="0.3">
      <c r="A668" s="35" t="s">
        <v>253</v>
      </c>
      <c r="B668" s="35">
        <v>5.9999999999999991</v>
      </c>
      <c r="C668" s="35">
        <v>1300</v>
      </c>
      <c r="D668" s="36" t="s">
        <v>414</v>
      </c>
      <c r="E668" s="36">
        <v>5.5</v>
      </c>
      <c r="F668" s="35">
        <v>22.2</v>
      </c>
      <c r="G668" s="35">
        <v>24859</v>
      </c>
      <c r="H668" s="35">
        <v>63.64</v>
      </c>
      <c r="I668" s="35">
        <v>1412.6</v>
      </c>
      <c r="J668" s="35">
        <v>4.2432394166784659</v>
      </c>
      <c r="K668" s="35">
        <v>6.0659999999999998</v>
      </c>
      <c r="L668" s="35">
        <v>189.9</v>
      </c>
      <c r="M668" s="35">
        <v>0.42942092595214498</v>
      </c>
      <c r="N668" s="35">
        <v>92.5</v>
      </c>
      <c r="O668" s="35">
        <v>54.104503000000001</v>
      </c>
    </row>
    <row r="669" spans="1:15" x14ac:dyDescent="0.3">
      <c r="A669" s="35" t="s">
        <v>206</v>
      </c>
      <c r="B669" s="35">
        <v>2.9999999999999996</v>
      </c>
      <c r="C669" s="35">
        <v>2100</v>
      </c>
      <c r="D669" s="36">
        <v>6.5</v>
      </c>
      <c r="E669" s="36">
        <v>6.5</v>
      </c>
      <c r="F669" s="35">
        <v>11.1</v>
      </c>
      <c r="G669" s="35">
        <v>18695</v>
      </c>
      <c r="H669" s="35">
        <v>81.98</v>
      </c>
      <c r="I669" s="35">
        <v>910</v>
      </c>
      <c r="J669" s="35">
        <v>6.5868131868131874</v>
      </c>
      <c r="K669" s="35">
        <v>3.8887499999999999</v>
      </c>
      <c r="L669" s="35">
        <v>168.8133333333333</v>
      </c>
      <c r="M669" s="35">
        <v>0.42733516483516482</v>
      </c>
      <c r="N669" s="35">
        <v>92.5</v>
      </c>
      <c r="O669" s="35">
        <v>54.104503000000001</v>
      </c>
    </row>
    <row r="670" spans="1:15" x14ac:dyDescent="0.3">
      <c r="A670" s="35" t="s">
        <v>203</v>
      </c>
      <c r="B670" s="35">
        <v>5.9999999999999991</v>
      </c>
      <c r="C670" s="35">
        <v>1400</v>
      </c>
      <c r="D670" s="36" t="s">
        <v>413</v>
      </c>
      <c r="E670" s="36">
        <v>4.5</v>
      </c>
      <c r="F670" s="35">
        <v>22.2</v>
      </c>
      <c r="G670" s="35">
        <v>27185</v>
      </c>
      <c r="H670" s="35">
        <v>58.52</v>
      </c>
      <c r="I670" s="35">
        <v>1299</v>
      </c>
      <c r="J670" s="35">
        <v>4.6143187066974596</v>
      </c>
      <c r="K670" s="35">
        <v>5.4987500000000002</v>
      </c>
      <c r="L670" s="35">
        <v>169.83999999999997</v>
      </c>
      <c r="M670" s="35">
        <v>0.42330638953040806</v>
      </c>
      <c r="N670" s="35">
        <v>92.5</v>
      </c>
      <c r="O670" s="35">
        <v>54.104503000000001</v>
      </c>
    </row>
    <row r="671" spans="1:15" x14ac:dyDescent="0.3">
      <c r="A671" s="35" t="s">
        <v>201</v>
      </c>
      <c r="B671" s="35">
        <v>5.9999999999999991</v>
      </c>
      <c r="C671" s="35">
        <v>1050</v>
      </c>
      <c r="D671" s="36">
        <v>6.5</v>
      </c>
      <c r="E671" s="36">
        <v>6.5</v>
      </c>
      <c r="F671" s="35">
        <v>22.2</v>
      </c>
      <c r="G671" s="35">
        <v>21011</v>
      </c>
      <c r="H671" s="35">
        <v>56.58</v>
      </c>
      <c r="I671" s="35">
        <v>1256</v>
      </c>
      <c r="J671" s="35">
        <v>4.7722929936305736</v>
      </c>
      <c r="K671" s="35">
        <v>5.2337499999999997</v>
      </c>
      <c r="L671" s="35">
        <v>189.64000000000001</v>
      </c>
      <c r="M671" s="35">
        <v>0.4166998407643312</v>
      </c>
      <c r="N671" s="35">
        <v>92.5</v>
      </c>
      <c r="O671" s="35">
        <v>54.104503000000001</v>
      </c>
    </row>
    <row r="672" spans="1:15" x14ac:dyDescent="0.3">
      <c r="A672" s="35" t="s">
        <v>209</v>
      </c>
      <c r="B672" s="35">
        <v>5.9999999999999991</v>
      </c>
      <c r="C672" s="35">
        <v>1170</v>
      </c>
      <c r="D672" s="36" t="s">
        <v>414</v>
      </c>
      <c r="E672" s="36" t="s">
        <v>414</v>
      </c>
      <c r="F672" s="35">
        <v>22.2</v>
      </c>
      <c r="G672" s="35">
        <v>23585</v>
      </c>
      <c r="H672" s="35">
        <v>65.099999999999994</v>
      </c>
      <c r="I672" s="35">
        <v>1445.4</v>
      </c>
      <c r="J672" s="35">
        <v>4.1469489414694891</v>
      </c>
      <c r="K672" s="35">
        <v>5.9662499999999996</v>
      </c>
      <c r="L672" s="35">
        <v>196.53333333333333</v>
      </c>
      <c r="M672" s="35">
        <v>0.41277501037775011</v>
      </c>
      <c r="N672" s="35">
        <v>92.5</v>
      </c>
      <c r="O672" s="35">
        <v>54.104503000000001</v>
      </c>
    </row>
    <row r="673" spans="1:29" x14ac:dyDescent="0.3">
      <c r="A673" s="35" t="s">
        <v>205</v>
      </c>
      <c r="B673" s="35">
        <v>4</v>
      </c>
      <c r="C673" s="35">
        <v>1700</v>
      </c>
      <c r="D673" s="36">
        <v>6.5</v>
      </c>
      <c r="E673" s="36">
        <v>6.5</v>
      </c>
      <c r="F673" s="35">
        <v>14.8</v>
      </c>
      <c r="G673" s="35">
        <v>20850</v>
      </c>
      <c r="H673" s="35">
        <v>84.62</v>
      </c>
      <c r="I673" s="35">
        <v>1252.2</v>
      </c>
      <c r="J673" s="35">
        <v>4.6804024916147577</v>
      </c>
      <c r="K673" s="35">
        <v>5.1449999999999996</v>
      </c>
      <c r="L673" s="35">
        <v>188.17333333333335</v>
      </c>
      <c r="M673" s="35">
        <v>0.41087685673215141</v>
      </c>
      <c r="N673" s="35">
        <v>92.5</v>
      </c>
      <c r="O673" s="35">
        <v>54.104503000000001</v>
      </c>
    </row>
    <row r="674" spans="1:29" x14ac:dyDescent="0.3">
      <c r="A674" s="35" t="s">
        <v>205</v>
      </c>
      <c r="B674" s="35">
        <v>5</v>
      </c>
      <c r="C674" s="35">
        <v>1700</v>
      </c>
      <c r="D674" s="36" t="s">
        <v>413</v>
      </c>
      <c r="E674" s="36">
        <v>4.5</v>
      </c>
      <c r="F674" s="35">
        <v>18.5</v>
      </c>
      <c r="G674" s="35">
        <v>27003</v>
      </c>
      <c r="H674" s="35">
        <v>72.44</v>
      </c>
      <c r="I674" s="35">
        <v>1340</v>
      </c>
      <c r="J674" s="35">
        <v>4.1417910447761201</v>
      </c>
      <c r="K674" s="35">
        <v>5.4450000000000003</v>
      </c>
      <c r="L674" s="35">
        <v>168.8133333333333</v>
      </c>
      <c r="M674" s="35">
        <v>0.40634328358208954</v>
      </c>
      <c r="N674" s="35">
        <v>92.5</v>
      </c>
      <c r="O674" s="35">
        <v>54.104503000000001</v>
      </c>
    </row>
    <row r="675" spans="1:29" x14ac:dyDescent="0.3">
      <c r="A675" s="35" t="s">
        <v>203</v>
      </c>
      <c r="B675" s="35">
        <v>5</v>
      </c>
      <c r="C675" s="35">
        <v>1400</v>
      </c>
      <c r="D675" s="36">
        <v>6.5</v>
      </c>
      <c r="E675" s="36">
        <v>6.5</v>
      </c>
      <c r="F675" s="35">
        <v>18.5</v>
      </c>
      <c r="G675" s="35">
        <v>21551</v>
      </c>
      <c r="H675" s="35">
        <v>73.739999999999995</v>
      </c>
      <c r="I675" s="35">
        <v>1364.4</v>
      </c>
      <c r="J675" s="35">
        <v>4.0677220756376427</v>
      </c>
      <c r="K675" s="35">
        <v>5.5250000000000004</v>
      </c>
      <c r="L675" s="35">
        <v>194.62666666666664</v>
      </c>
      <c r="M675" s="35">
        <v>0.40493990032248611</v>
      </c>
      <c r="N675" s="35">
        <v>92.5</v>
      </c>
      <c r="O675" s="35">
        <v>54.104503000000001</v>
      </c>
    </row>
    <row r="676" spans="1:29" x14ac:dyDescent="0.3">
      <c r="A676" s="35" t="s">
        <v>277</v>
      </c>
      <c r="B676" s="35">
        <v>2.9999999999999996</v>
      </c>
      <c r="C676" s="35">
        <v>890</v>
      </c>
      <c r="D676" s="36" t="s">
        <v>420</v>
      </c>
      <c r="E676" s="36">
        <v>4.5</v>
      </c>
      <c r="F676" s="35">
        <v>11.1</v>
      </c>
      <c r="G676" s="35">
        <v>7743</v>
      </c>
      <c r="H676" s="35">
        <v>64.819999999999993</v>
      </c>
      <c r="I676" s="35">
        <v>719.4</v>
      </c>
      <c r="J676" s="35">
        <v>8.3319432860717271</v>
      </c>
      <c r="K676" s="35">
        <v>0.57599999999999996</v>
      </c>
      <c r="L676" s="35">
        <v>48.4</v>
      </c>
      <c r="M676" s="35">
        <v>8.0066722268557128E-2</v>
      </c>
      <c r="N676" s="35">
        <v>92.5</v>
      </c>
      <c r="O676" s="35">
        <v>54.104503000000001</v>
      </c>
    </row>
    <row r="684" spans="1:29" s="37" customFormat="1" x14ac:dyDescent="0.3">
      <c r="A684"/>
      <c r="B684"/>
      <c r="C684"/>
      <c r="D684" s="38"/>
      <c r="F684"/>
      <c r="G684"/>
      <c r="H684"/>
      <c r="I684"/>
      <c r="J684"/>
      <c r="K684"/>
      <c r="L684"/>
      <c r="M684"/>
      <c r="N684"/>
      <c r="O684"/>
      <c r="P684"/>
      <c r="Q684"/>
      <c r="R684"/>
      <c r="S684"/>
      <c r="T684"/>
      <c r="U684"/>
      <c r="V684"/>
      <c r="W684"/>
      <c r="X684"/>
      <c r="Y684"/>
      <c r="Z684"/>
      <c r="AA684"/>
      <c r="AB684"/>
      <c r="AC684"/>
    </row>
    <row r="685" spans="1:29" s="37" customFormat="1" x14ac:dyDescent="0.3">
      <c r="A685"/>
      <c r="B685"/>
      <c r="C685"/>
      <c r="D685" s="39"/>
      <c r="F685"/>
      <c r="G685"/>
      <c r="H685"/>
      <c r="I685"/>
      <c r="J685"/>
      <c r="K685"/>
      <c r="L685"/>
      <c r="M685"/>
      <c r="N685"/>
      <c r="O685"/>
      <c r="P685"/>
      <c r="Q685"/>
      <c r="R685"/>
      <c r="S685"/>
      <c r="T685"/>
      <c r="U685"/>
      <c r="V685"/>
      <c r="W685"/>
      <c r="X685"/>
      <c r="Y685"/>
      <c r="Z685"/>
      <c r="AA685"/>
      <c r="AB685"/>
      <c r="AC685"/>
    </row>
  </sheetData>
  <conditionalFormatting sqref="J2:J676">
    <cfRule type="cellIs" dxfId="1" priority="1" operator="lessThan">
      <formula>4</formula>
    </cfRule>
    <cfRule type="cellIs" dxfId="0" priority="2" operator="greaterThan">
      <formula>12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6881B-F0BF-4A18-AAE3-567075490519}">
  <dimension ref="A1"/>
  <sheetViews>
    <sheetView workbookViewId="0"/>
  </sheetViews>
  <sheetFormatPr defaultRowHeight="14.4" x14ac:dyDescent="0.3"/>
  <sheetData>
    <row r="1" spans="1:1" x14ac:dyDescent="0.3">
      <c r="A1" t="s">
        <v>434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0028-6FE6-411C-BD7E-D4AC17792C8F}">
  <sheetPr codeName="Sheet11"/>
  <dimension ref="A1:U1030"/>
  <sheetViews>
    <sheetView topLeftCell="G1" workbookViewId="0">
      <selection activeCell="L30" sqref="L30"/>
    </sheetView>
  </sheetViews>
  <sheetFormatPr defaultRowHeight="14.4" x14ac:dyDescent="0.3"/>
  <cols>
    <col min="1" max="1" width="21.88671875" customWidth="1"/>
    <col min="2" max="2" width="22.6640625" customWidth="1"/>
    <col min="3" max="3" width="14.33203125" customWidth="1"/>
    <col min="4" max="4" width="16" customWidth="1"/>
    <col min="5" max="5" width="19.109375" customWidth="1"/>
    <col min="6" max="6" width="18.6640625" customWidth="1"/>
    <col min="7" max="7" width="16.88671875" customWidth="1"/>
    <col min="8" max="10" width="29" customWidth="1"/>
    <col min="11" max="11" width="22" customWidth="1"/>
    <col min="12" max="12" width="23.88671875" customWidth="1"/>
    <col min="13" max="13" width="24.109375" customWidth="1"/>
    <col min="14" max="14" width="22.6640625" customWidth="1"/>
  </cols>
  <sheetData>
    <row r="1" spans="1:21" x14ac:dyDescent="0.3">
      <c r="A1" t="s">
        <v>83</v>
      </c>
      <c r="B1" t="s">
        <v>93</v>
      </c>
      <c r="C1" t="s">
        <v>82</v>
      </c>
      <c r="D1" t="s">
        <v>84</v>
      </c>
      <c r="E1" t="s">
        <v>283</v>
      </c>
      <c r="F1" t="s">
        <v>87</v>
      </c>
      <c r="G1" t="s">
        <v>282</v>
      </c>
      <c r="H1" t="s">
        <v>226</v>
      </c>
      <c r="I1" t="s">
        <v>287</v>
      </c>
      <c r="J1" t="s">
        <v>288</v>
      </c>
      <c r="K1" t="s">
        <v>289</v>
      </c>
      <c r="L1" t="s">
        <v>230</v>
      </c>
      <c r="M1" t="s">
        <v>284</v>
      </c>
      <c r="N1">
        <v>100</v>
      </c>
    </row>
    <row r="2" spans="1:21" x14ac:dyDescent="0.3">
      <c r="A2" t="s">
        <v>92</v>
      </c>
      <c r="B2">
        <v>9.6300000000000008</v>
      </c>
      <c r="C2">
        <v>420</v>
      </c>
      <c r="D2" t="s">
        <v>1</v>
      </c>
      <c r="E2">
        <v>14.8</v>
      </c>
      <c r="F2">
        <v>5584</v>
      </c>
      <c r="G2">
        <v>28.39</v>
      </c>
      <c r="H2">
        <v>420.1</v>
      </c>
      <c r="I2">
        <f t="shared" ref="I2:I33" si="0" xml:space="preserve"> ($N$1/H2)*60</f>
        <v>14.28231373482504</v>
      </c>
      <c r="J2">
        <f>( ($N$1/E2)/G2)*60</f>
        <v>14.279866340451052</v>
      </c>
      <c r="K2">
        <v>5.0949999999999998</v>
      </c>
      <c r="L2">
        <f>52.9*(5280/3600)</f>
        <v>77.586666666666659</v>
      </c>
      <c r="M2" s="2"/>
      <c r="N2" s="2"/>
      <c r="O2" s="2"/>
      <c r="P2" s="2"/>
    </row>
    <row r="3" spans="1:21" x14ac:dyDescent="0.3">
      <c r="A3" t="s">
        <v>92</v>
      </c>
      <c r="B3">
        <v>9.6300000000000008</v>
      </c>
      <c r="C3">
        <v>420</v>
      </c>
      <c r="D3" t="s">
        <v>2</v>
      </c>
      <c r="E3">
        <v>14.8</v>
      </c>
      <c r="F3">
        <v>5691</v>
      </c>
      <c r="G3">
        <v>25.21</v>
      </c>
      <c r="H3">
        <v>373.1</v>
      </c>
      <c r="I3">
        <f t="shared" si="0"/>
        <v>16.081479496113641</v>
      </c>
      <c r="J3">
        <f t="shared" ref="J3:J66" si="1">( ($N$1/E3)/G3)*60</f>
        <v>16.081134684863365</v>
      </c>
      <c r="K3">
        <v>5.5268750000000004</v>
      </c>
      <c r="L3">
        <f>37.7*(5280/3600)</f>
        <v>55.293333333333337</v>
      </c>
      <c r="M3" s="2"/>
      <c r="N3" s="2"/>
      <c r="O3" s="2"/>
      <c r="P3" s="2"/>
    </row>
    <row r="4" spans="1:21" x14ac:dyDescent="0.3">
      <c r="A4" t="s">
        <v>92</v>
      </c>
      <c r="B4">
        <v>9.6300000000000008</v>
      </c>
      <c r="C4">
        <v>420</v>
      </c>
      <c r="D4" t="s">
        <v>3</v>
      </c>
      <c r="E4">
        <v>14.8</v>
      </c>
      <c r="F4">
        <v>5531</v>
      </c>
      <c r="G4">
        <v>30.14</v>
      </c>
      <c r="H4">
        <v>446.1</v>
      </c>
      <c r="I4">
        <f t="shared" si="0"/>
        <v>13.449899125756556</v>
      </c>
      <c r="J4">
        <f t="shared" si="1"/>
        <v>13.450743377750674</v>
      </c>
      <c r="K4">
        <v>5.8887499999999999</v>
      </c>
      <c r="L4">
        <f>41.9*(5280/3600)</f>
        <v>61.453333333333326</v>
      </c>
      <c r="M4" s="2"/>
      <c r="N4" s="2" t="s">
        <v>218</v>
      </c>
      <c r="O4" s="2"/>
      <c r="P4" s="2"/>
    </row>
    <row r="5" spans="1:21" x14ac:dyDescent="0.3">
      <c r="A5" t="s">
        <v>92</v>
      </c>
      <c r="B5">
        <v>9.6300000000000008</v>
      </c>
      <c r="C5">
        <v>420</v>
      </c>
      <c r="D5" t="s">
        <v>4</v>
      </c>
      <c r="E5">
        <v>14.8</v>
      </c>
      <c r="F5">
        <v>5409</v>
      </c>
      <c r="G5">
        <v>33.53</v>
      </c>
      <c r="H5">
        <v>496.3</v>
      </c>
      <c r="I5">
        <f t="shared" si="0"/>
        <v>12.089462018940157</v>
      </c>
      <c r="J5">
        <f t="shared" si="1"/>
        <v>12.090826287068456</v>
      </c>
      <c r="K5">
        <v>5.9987500000000002</v>
      </c>
      <c r="L5">
        <f>51.2*(5280/3600)</f>
        <v>75.093333333333334</v>
      </c>
      <c r="M5" s="2"/>
      <c r="N5" s="2" t="s">
        <v>285</v>
      </c>
      <c r="O5" s="2"/>
      <c r="P5" s="2"/>
    </row>
    <row r="6" spans="1:21" x14ac:dyDescent="0.3">
      <c r="A6" t="s">
        <v>92</v>
      </c>
      <c r="B6">
        <v>9.6300000000000008</v>
      </c>
      <c r="C6">
        <v>420</v>
      </c>
      <c r="D6" t="s">
        <v>6</v>
      </c>
      <c r="E6">
        <v>14.8</v>
      </c>
      <c r="F6">
        <v>5598</v>
      </c>
      <c r="G6">
        <v>28.12</v>
      </c>
      <c r="H6">
        <v>416.1</v>
      </c>
      <c r="I6">
        <f t="shared" si="0"/>
        <v>14.419610670511895</v>
      </c>
      <c r="J6">
        <f t="shared" si="1"/>
        <v>14.416977432624657</v>
      </c>
      <c r="K6">
        <v>6.1506249999999998</v>
      </c>
      <c r="L6">
        <f>37.1*(5280/3600)</f>
        <v>54.413333333333334</v>
      </c>
      <c r="M6" s="2"/>
      <c r="N6" s="2" t="s">
        <v>286</v>
      </c>
      <c r="O6" s="2"/>
      <c r="P6" s="2"/>
    </row>
    <row r="7" spans="1:21" x14ac:dyDescent="0.3">
      <c r="A7" t="s">
        <v>92</v>
      </c>
      <c r="B7">
        <v>9.6300000000000008</v>
      </c>
      <c r="C7">
        <v>420</v>
      </c>
      <c r="D7" t="s">
        <v>7</v>
      </c>
      <c r="E7">
        <v>14.8</v>
      </c>
      <c r="F7">
        <v>5394</v>
      </c>
      <c r="G7">
        <v>33.69</v>
      </c>
      <c r="H7">
        <v>498.6</v>
      </c>
      <c r="I7">
        <f t="shared" si="0"/>
        <v>12.033694344163658</v>
      </c>
      <c r="J7">
        <f t="shared" si="1"/>
        <v>12.033404731534741</v>
      </c>
      <c r="K7">
        <v>6.5893750000000004</v>
      </c>
      <c r="L7">
        <f>40.9*(5280/3600)</f>
        <v>59.986666666666657</v>
      </c>
      <c r="M7" s="2"/>
      <c r="N7" s="2" t="s">
        <v>294</v>
      </c>
      <c r="O7" s="2"/>
      <c r="P7" s="2"/>
    </row>
    <row r="8" spans="1:21" x14ac:dyDescent="0.3">
      <c r="A8" t="s">
        <v>92</v>
      </c>
      <c r="B8">
        <v>9.6300000000000008</v>
      </c>
      <c r="C8">
        <v>420</v>
      </c>
      <c r="D8" t="s">
        <v>10</v>
      </c>
      <c r="E8">
        <v>14.8</v>
      </c>
      <c r="F8">
        <v>5301</v>
      </c>
      <c r="G8">
        <v>36.659999999999997</v>
      </c>
      <c r="H8">
        <v>542.5</v>
      </c>
      <c r="I8">
        <f t="shared" si="0"/>
        <v>11.059907834101383</v>
      </c>
      <c r="J8">
        <f t="shared" si="1"/>
        <v>11.058521696819568</v>
      </c>
      <c r="K8">
        <v>7.4143749999999997</v>
      </c>
      <c r="L8">
        <f>40.2*(5280/3600)</f>
        <v>58.96</v>
      </c>
      <c r="M8" s="2"/>
      <c r="N8" s="2" t="s">
        <v>295</v>
      </c>
      <c r="O8" s="2"/>
      <c r="P8" s="2"/>
    </row>
    <row r="9" spans="1:21" x14ac:dyDescent="0.3">
      <c r="A9" t="s">
        <v>92</v>
      </c>
      <c r="B9">
        <v>9.6300000000000008</v>
      </c>
      <c r="C9">
        <v>420</v>
      </c>
      <c r="D9" t="s">
        <v>17</v>
      </c>
      <c r="E9">
        <v>14.8</v>
      </c>
      <c r="F9">
        <v>5584</v>
      </c>
      <c r="G9">
        <v>29.18</v>
      </c>
      <c r="H9">
        <v>431.9</v>
      </c>
      <c r="I9">
        <f t="shared" si="0"/>
        <v>13.892104653855059</v>
      </c>
      <c r="J9">
        <f t="shared" si="1"/>
        <v>13.893262693811012</v>
      </c>
      <c r="K9">
        <v>4.5681250000000002</v>
      </c>
      <c r="L9">
        <f>52.9*(5280/3600)</f>
        <v>77.586666666666659</v>
      </c>
      <c r="M9" s="2"/>
      <c r="N9" t="s">
        <v>296</v>
      </c>
      <c r="O9" s="2"/>
      <c r="P9" s="2"/>
      <c r="U9" t="s">
        <v>297</v>
      </c>
    </row>
    <row r="10" spans="1:21" x14ac:dyDescent="0.3">
      <c r="A10" t="s">
        <v>92</v>
      </c>
      <c r="B10">
        <v>9.6300000000000008</v>
      </c>
      <c r="C10">
        <v>420</v>
      </c>
      <c r="D10" t="s">
        <v>18</v>
      </c>
      <c r="E10">
        <v>14.8</v>
      </c>
      <c r="F10">
        <v>5689</v>
      </c>
      <c r="G10">
        <v>25.02</v>
      </c>
      <c r="H10">
        <v>370.4</v>
      </c>
      <c r="I10">
        <f t="shared" si="0"/>
        <v>16.198704103671709</v>
      </c>
      <c r="J10">
        <f t="shared" si="1"/>
        <v>16.203253613325554</v>
      </c>
      <c r="K10">
        <v>5.2268749999999997</v>
      </c>
      <c r="L10">
        <f>37.7*(5280/3600)</f>
        <v>55.293333333333337</v>
      </c>
      <c r="M10" s="2"/>
    </row>
    <row r="11" spans="1:21" x14ac:dyDescent="0.3">
      <c r="A11" t="s">
        <v>92</v>
      </c>
      <c r="B11">
        <v>9.6300000000000008</v>
      </c>
      <c r="C11">
        <v>420</v>
      </c>
      <c r="D11" t="s">
        <v>19</v>
      </c>
      <c r="E11">
        <v>14.8</v>
      </c>
      <c r="F11">
        <v>5575</v>
      </c>
      <c r="G11">
        <v>28.48</v>
      </c>
      <c r="H11">
        <v>421.5</v>
      </c>
      <c r="I11">
        <f t="shared" si="0"/>
        <v>14.234875444839858</v>
      </c>
      <c r="J11">
        <f t="shared" si="1"/>
        <v>14.234740358335863</v>
      </c>
      <c r="K11">
        <v>5.4918750000000003</v>
      </c>
      <c r="L11">
        <f>42.2*(5280/3600)</f>
        <v>61.893333333333331</v>
      </c>
      <c r="M11" s="2"/>
      <c r="N11" s="2"/>
      <c r="O11" s="2"/>
      <c r="P11" s="2"/>
    </row>
    <row r="12" spans="1:21" x14ac:dyDescent="0.3">
      <c r="A12" t="s">
        <v>92</v>
      </c>
      <c r="B12">
        <v>9.6300000000000008</v>
      </c>
      <c r="C12">
        <v>420</v>
      </c>
      <c r="D12" t="s">
        <v>20</v>
      </c>
      <c r="E12">
        <v>14.8</v>
      </c>
      <c r="F12">
        <v>5475</v>
      </c>
      <c r="G12">
        <v>32.380000000000003</v>
      </c>
      <c r="H12">
        <v>479.2</v>
      </c>
      <c r="I12">
        <f t="shared" si="0"/>
        <v>12.520868113522537</v>
      </c>
      <c r="J12">
        <f t="shared" si="1"/>
        <v>12.52024105637447</v>
      </c>
      <c r="K12">
        <v>6.0118749999999999</v>
      </c>
      <c r="L12">
        <f>51.8*(5280/3600)</f>
        <v>75.973333333333329</v>
      </c>
      <c r="M12" s="2"/>
      <c r="N12" s="2"/>
      <c r="O12" s="2"/>
      <c r="P12" s="2"/>
    </row>
    <row r="13" spans="1:21" x14ac:dyDescent="0.3">
      <c r="A13" t="s">
        <v>92</v>
      </c>
      <c r="B13">
        <v>9.6300000000000008</v>
      </c>
      <c r="C13">
        <v>420</v>
      </c>
      <c r="D13" t="s">
        <v>21</v>
      </c>
      <c r="E13">
        <v>14.8</v>
      </c>
      <c r="F13">
        <v>5566</v>
      </c>
      <c r="G13">
        <v>28.55</v>
      </c>
      <c r="H13">
        <v>422.5</v>
      </c>
      <c r="I13">
        <f t="shared" si="0"/>
        <v>14.201183431952662</v>
      </c>
      <c r="J13">
        <f t="shared" si="1"/>
        <v>14.199839068490556</v>
      </c>
      <c r="K13">
        <v>5.7631249999999996</v>
      </c>
      <c r="L13">
        <f>31.6*(5280/3600)</f>
        <v>46.346666666666664</v>
      </c>
      <c r="M13" s="2"/>
      <c r="N13" s="2"/>
      <c r="O13" s="2"/>
      <c r="P13" s="2"/>
    </row>
    <row r="14" spans="1:21" x14ac:dyDescent="0.3">
      <c r="A14" t="s">
        <v>92</v>
      </c>
      <c r="B14">
        <v>9.6300000000000008</v>
      </c>
      <c r="C14">
        <v>420</v>
      </c>
      <c r="D14" t="s">
        <v>22</v>
      </c>
      <c r="E14">
        <v>14.8</v>
      </c>
      <c r="F14">
        <v>5455</v>
      </c>
      <c r="G14">
        <v>32.799999999999997</v>
      </c>
      <c r="H14">
        <v>485.4</v>
      </c>
      <c r="I14">
        <f t="shared" si="0"/>
        <v>12.360939431396787</v>
      </c>
      <c r="J14">
        <f t="shared" si="1"/>
        <v>12.359920896506262</v>
      </c>
      <c r="K14">
        <v>6.461875</v>
      </c>
      <c r="L14">
        <f>41.3*(5280/3600)</f>
        <v>60.573333333333323</v>
      </c>
      <c r="M14" s="2"/>
      <c r="N14" s="2"/>
      <c r="O14" s="2"/>
      <c r="P14" s="2"/>
    </row>
    <row r="15" spans="1:21" x14ac:dyDescent="0.3">
      <c r="A15" t="s">
        <v>92</v>
      </c>
      <c r="B15">
        <v>9.6300000000000008</v>
      </c>
      <c r="C15">
        <v>420</v>
      </c>
      <c r="D15" t="s">
        <v>24</v>
      </c>
      <c r="E15">
        <v>14.8</v>
      </c>
      <c r="F15">
        <v>5305</v>
      </c>
      <c r="G15">
        <v>36.93</v>
      </c>
      <c r="H15">
        <v>546.6</v>
      </c>
      <c r="I15">
        <f t="shared" si="0"/>
        <v>10.97694840834248</v>
      </c>
      <c r="J15">
        <f t="shared" si="1"/>
        <v>10.977671416339165</v>
      </c>
      <c r="K15">
        <v>7.1537499999999996</v>
      </c>
      <c r="L15">
        <f>40.2*(5280/3600)</f>
        <v>58.96</v>
      </c>
      <c r="M15" s="2"/>
      <c r="N15" s="2"/>
      <c r="O15" s="2"/>
      <c r="P15" s="2"/>
    </row>
    <row r="16" spans="1:21" x14ac:dyDescent="0.3">
      <c r="A16" t="s">
        <v>92</v>
      </c>
      <c r="B16">
        <v>9.6300000000000008</v>
      </c>
      <c r="C16">
        <v>420</v>
      </c>
      <c r="D16" t="s">
        <v>27</v>
      </c>
      <c r="E16">
        <v>14.8</v>
      </c>
      <c r="F16">
        <v>5623</v>
      </c>
      <c r="G16">
        <v>26.65</v>
      </c>
      <c r="H16">
        <v>394.4</v>
      </c>
      <c r="I16">
        <f t="shared" si="0"/>
        <v>15.212981744421906</v>
      </c>
      <c r="J16">
        <f t="shared" si="1"/>
        <v>15.212210334161554</v>
      </c>
      <c r="K16">
        <v>5.2006249999999996</v>
      </c>
      <c r="L16">
        <f>47.9*(5280/3600)</f>
        <v>70.25333333333333</v>
      </c>
      <c r="M16" s="2"/>
      <c r="N16" s="2"/>
      <c r="O16" s="2"/>
      <c r="P16" s="2"/>
    </row>
    <row r="17" spans="1:16" x14ac:dyDescent="0.3">
      <c r="A17" t="s">
        <v>92</v>
      </c>
      <c r="B17">
        <v>9.6300000000000008</v>
      </c>
      <c r="C17">
        <v>420</v>
      </c>
      <c r="D17" t="s">
        <v>28</v>
      </c>
      <c r="E17">
        <v>14.8</v>
      </c>
      <c r="F17">
        <v>5577</v>
      </c>
      <c r="G17">
        <v>28.03</v>
      </c>
      <c r="H17">
        <v>414.8</v>
      </c>
      <c r="I17">
        <f t="shared" si="0"/>
        <v>14.46480231436837</v>
      </c>
      <c r="J17">
        <f t="shared" si="1"/>
        <v>14.463268120064408</v>
      </c>
      <c r="K17">
        <v>5.5818750000000001</v>
      </c>
      <c r="L17">
        <f>37*(5280/3600)</f>
        <v>54.266666666666666</v>
      </c>
      <c r="M17" s="2"/>
      <c r="N17" s="2"/>
      <c r="O17" s="2"/>
      <c r="P17" s="2"/>
    </row>
    <row r="18" spans="1:16" x14ac:dyDescent="0.3">
      <c r="A18" t="s">
        <v>92</v>
      </c>
      <c r="B18">
        <v>9.6300000000000008</v>
      </c>
      <c r="C18">
        <v>420</v>
      </c>
      <c r="D18" t="s">
        <v>29</v>
      </c>
      <c r="E18">
        <v>14.8</v>
      </c>
      <c r="F18">
        <v>5433</v>
      </c>
      <c r="G18">
        <v>32.950000000000003</v>
      </c>
      <c r="H18">
        <v>487.6</v>
      </c>
      <c r="I18">
        <f t="shared" si="0"/>
        <v>12.305168170631664</v>
      </c>
      <c r="J18">
        <f t="shared" si="1"/>
        <v>12.303654185293031</v>
      </c>
      <c r="K18">
        <v>6.430625</v>
      </c>
      <c r="L18">
        <f>41.2*(5280/3600)</f>
        <v>60.426666666666669</v>
      </c>
      <c r="M18" s="2"/>
      <c r="N18" s="2"/>
      <c r="O18" s="2"/>
      <c r="P18" s="2"/>
    </row>
    <row r="19" spans="1:16" ht="15.6" x14ac:dyDescent="0.3">
      <c r="A19" t="s">
        <v>92</v>
      </c>
      <c r="B19">
        <v>9.6300000000000008</v>
      </c>
      <c r="C19">
        <v>420</v>
      </c>
      <c r="D19" t="s">
        <v>34</v>
      </c>
      <c r="E19">
        <v>18.5</v>
      </c>
      <c r="F19">
        <v>7184</v>
      </c>
      <c r="G19">
        <v>27.48</v>
      </c>
      <c r="H19">
        <v>508.3</v>
      </c>
      <c r="I19">
        <f t="shared" si="0"/>
        <v>11.804052724768837</v>
      </c>
      <c r="J19">
        <f t="shared" si="1"/>
        <v>11.802195208308746</v>
      </c>
      <c r="K19">
        <v>3.558125</v>
      </c>
      <c r="L19">
        <f>81.6*(5280/3600)</f>
        <v>119.67999999999998</v>
      </c>
      <c r="M19" s="2"/>
      <c r="N19" s="3"/>
      <c r="O19" s="2"/>
      <c r="P19" s="4"/>
    </row>
    <row r="20" spans="1:16" ht="15.6" x14ac:dyDescent="0.3">
      <c r="A20" t="s">
        <v>92</v>
      </c>
      <c r="B20">
        <v>9.6300000000000008</v>
      </c>
      <c r="C20">
        <v>420</v>
      </c>
      <c r="D20" t="s">
        <v>37</v>
      </c>
      <c r="E20">
        <v>18.5</v>
      </c>
      <c r="F20">
        <v>7055</v>
      </c>
      <c r="G20">
        <v>31.24</v>
      </c>
      <c r="H20">
        <v>578</v>
      </c>
      <c r="I20">
        <f t="shared" si="0"/>
        <v>10.380622837370241</v>
      </c>
      <c r="J20">
        <f t="shared" si="1"/>
        <v>10.381700522545593</v>
      </c>
      <c r="K20">
        <v>4.6956249999999997</v>
      </c>
      <c r="L20">
        <f>66.8*(5280/3600)</f>
        <v>97.973333333333329</v>
      </c>
      <c r="M20" s="2"/>
      <c r="N20" s="3"/>
      <c r="O20" s="2"/>
      <c r="P20" s="4"/>
    </row>
    <row r="21" spans="1:16" ht="15.6" x14ac:dyDescent="0.3">
      <c r="A21" t="s">
        <v>92</v>
      </c>
      <c r="B21">
        <v>9.6300000000000008</v>
      </c>
      <c r="C21">
        <v>420</v>
      </c>
      <c r="D21" t="s">
        <v>39</v>
      </c>
      <c r="E21">
        <v>18.5</v>
      </c>
      <c r="F21">
        <v>7175</v>
      </c>
      <c r="G21">
        <v>26.44</v>
      </c>
      <c r="H21">
        <v>489.1</v>
      </c>
      <c r="I21">
        <f t="shared" si="0"/>
        <v>12.267429973420567</v>
      </c>
      <c r="J21">
        <f t="shared" si="1"/>
        <v>12.266426789876109</v>
      </c>
      <c r="K21">
        <v>5.7518750000000001</v>
      </c>
      <c r="L21">
        <f>47.6*(5280/3600)</f>
        <v>69.813333333333333</v>
      </c>
      <c r="M21" s="2"/>
      <c r="N21" s="3"/>
      <c r="O21" s="2"/>
      <c r="P21" s="4"/>
    </row>
    <row r="22" spans="1:16" ht="15.6" x14ac:dyDescent="0.3">
      <c r="A22" t="s">
        <v>92</v>
      </c>
      <c r="B22">
        <v>9.6300000000000008</v>
      </c>
      <c r="C22">
        <v>420</v>
      </c>
      <c r="D22" t="s">
        <v>40</v>
      </c>
      <c r="E22">
        <v>18.5</v>
      </c>
      <c r="F22">
        <v>7117</v>
      </c>
      <c r="G22">
        <v>27.91</v>
      </c>
      <c r="H22">
        <v>516.4</v>
      </c>
      <c r="I22">
        <f t="shared" si="0"/>
        <v>11.618900077459335</v>
      </c>
      <c r="J22">
        <f t="shared" si="1"/>
        <v>11.62036274899048</v>
      </c>
      <c r="K22">
        <v>5.8775000000000004</v>
      </c>
      <c r="L22">
        <f>57.3*(5280/3600)</f>
        <v>84.039999999999992</v>
      </c>
      <c r="M22" s="2"/>
      <c r="N22" s="3"/>
      <c r="O22" s="2"/>
      <c r="P22" s="4"/>
    </row>
    <row r="23" spans="1:16" ht="15.6" x14ac:dyDescent="0.3">
      <c r="A23" t="s">
        <v>92</v>
      </c>
      <c r="B23">
        <v>9.6300000000000008</v>
      </c>
      <c r="C23">
        <v>420</v>
      </c>
      <c r="D23" t="s">
        <v>41</v>
      </c>
      <c r="E23">
        <v>18.5</v>
      </c>
      <c r="F23">
        <v>7110</v>
      </c>
      <c r="G23">
        <v>28.12</v>
      </c>
      <c r="H23">
        <v>520.20000000000005</v>
      </c>
      <c r="I23">
        <f t="shared" si="0"/>
        <v>11.534025374855824</v>
      </c>
      <c r="J23">
        <f t="shared" si="1"/>
        <v>11.533581946099726</v>
      </c>
      <c r="K23">
        <v>5.8243749999999999</v>
      </c>
      <c r="L23">
        <f>67.3*(5280/3600)</f>
        <v>98.706666666666649</v>
      </c>
      <c r="M23" s="2"/>
      <c r="N23" s="3"/>
      <c r="O23" s="2"/>
      <c r="P23" s="4"/>
    </row>
    <row r="24" spans="1:16" ht="15.6" x14ac:dyDescent="0.3">
      <c r="A24" t="s">
        <v>92</v>
      </c>
      <c r="B24">
        <v>9.6300000000000008</v>
      </c>
      <c r="C24">
        <v>420</v>
      </c>
      <c r="D24" t="s">
        <v>43</v>
      </c>
      <c r="E24">
        <v>18.5</v>
      </c>
      <c r="F24">
        <v>7138</v>
      </c>
      <c r="G24">
        <v>27.99</v>
      </c>
      <c r="H24">
        <v>517.9</v>
      </c>
      <c r="I24">
        <f t="shared" si="0"/>
        <v>11.585248117397182</v>
      </c>
      <c r="J24">
        <f t="shared" si="1"/>
        <v>11.587149850815447</v>
      </c>
      <c r="K24">
        <v>6.5431249999999999</v>
      </c>
      <c r="L24">
        <f>40.6*(5280/3600)</f>
        <v>59.546666666666667</v>
      </c>
      <c r="M24" s="2"/>
      <c r="N24" s="3"/>
      <c r="O24" s="2"/>
      <c r="P24" s="4"/>
    </row>
    <row r="25" spans="1:16" ht="15.6" x14ac:dyDescent="0.3">
      <c r="A25" t="s">
        <v>92</v>
      </c>
      <c r="B25">
        <v>9.6300000000000008</v>
      </c>
      <c r="C25">
        <v>420</v>
      </c>
      <c r="D25" t="s">
        <v>44</v>
      </c>
      <c r="E25">
        <v>18.5</v>
      </c>
      <c r="F25">
        <v>7134</v>
      </c>
      <c r="G25">
        <v>28.22</v>
      </c>
      <c r="H25">
        <v>522.1</v>
      </c>
      <c r="I25">
        <f t="shared" si="0"/>
        <v>11.492051331162612</v>
      </c>
      <c r="J25">
        <f t="shared" si="1"/>
        <v>11.492711705326872</v>
      </c>
      <c r="K25">
        <v>6.5518749999999999</v>
      </c>
      <c r="L25">
        <f>47.3*(5280/3600)</f>
        <v>69.373333333333321</v>
      </c>
      <c r="M25" s="2"/>
      <c r="N25" s="3"/>
      <c r="O25" s="2"/>
      <c r="P25" s="4"/>
    </row>
    <row r="26" spans="1:16" ht="15.6" x14ac:dyDescent="0.3">
      <c r="A26" t="s">
        <v>92</v>
      </c>
      <c r="B26">
        <v>9.6300000000000008</v>
      </c>
      <c r="C26">
        <v>420</v>
      </c>
      <c r="D26" t="s">
        <v>0</v>
      </c>
      <c r="E26">
        <v>18.5</v>
      </c>
      <c r="F26">
        <v>7037</v>
      </c>
      <c r="G26">
        <v>30.84</v>
      </c>
      <c r="H26">
        <v>570.5</v>
      </c>
      <c r="I26">
        <f t="shared" si="0"/>
        <v>10.517090271691499</v>
      </c>
      <c r="J26">
        <f t="shared" si="1"/>
        <v>10.51635292880429</v>
      </c>
      <c r="K26">
        <v>6.6731249999999998</v>
      </c>
      <c r="L26">
        <f>53.3*(5280/3600)</f>
        <v>78.173333333333318</v>
      </c>
      <c r="M26" s="2"/>
      <c r="N26" s="3"/>
      <c r="O26" s="2"/>
      <c r="P26" s="4"/>
    </row>
    <row r="27" spans="1:16" ht="15.6" x14ac:dyDescent="0.3">
      <c r="A27" t="s">
        <v>92</v>
      </c>
      <c r="B27">
        <v>9.6300000000000008</v>
      </c>
      <c r="C27">
        <v>420</v>
      </c>
      <c r="D27" t="s">
        <v>2</v>
      </c>
      <c r="E27">
        <v>18.5</v>
      </c>
      <c r="F27">
        <v>6812</v>
      </c>
      <c r="G27">
        <v>37.520000000000003</v>
      </c>
      <c r="H27">
        <v>694.1</v>
      </c>
      <c r="I27">
        <f t="shared" si="0"/>
        <v>8.6442875666330501</v>
      </c>
      <c r="J27">
        <f t="shared" si="1"/>
        <v>8.6440384947847626</v>
      </c>
      <c r="K27">
        <v>8.1856249999999999</v>
      </c>
      <c r="L27">
        <f>45.2*(5280/3600)</f>
        <v>66.293333333333337</v>
      </c>
      <c r="M27" s="2"/>
      <c r="N27" s="3"/>
      <c r="O27" s="2"/>
      <c r="P27" s="4"/>
    </row>
    <row r="28" spans="1:16" ht="15.6" x14ac:dyDescent="0.3">
      <c r="A28" t="s">
        <v>92</v>
      </c>
      <c r="B28">
        <v>9.6300000000000008</v>
      </c>
      <c r="C28">
        <v>420</v>
      </c>
      <c r="D28" t="s">
        <v>46</v>
      </c>
      <c r="E28">
        <v>18.5</v>
      </c>
      <c r="F28">
        <v>7047</v>
      </c>
      <c r="G28">
        <v>31.05</v>
      </c>
      <c r="H28">
        <v>574.4</v>
      </c>
      <c r="I28">
        <f t="shared" si="0"/>
        <v>10.445682451253482</v>
      </c>
      <c r="J28">
        <f t="shared" si="1"/>
        <v>10.445227836532185</v>
      </c>
      <c r="K28">
        <v>4.3406250000000002</v>
      </c>
      <c r="L28">
        <f>66.7*(5280/3600)</f>
        <v>97.826666666666668</v>
      </c>
      <c r="M28" s="2"/>
      <c r="N28" s="3"/>
      <c r="O28" s="2"/>
      <c r="P28" s="4"/>
    </row>
    <row r="29" spans="1:16" ht="15.6" x14ac:dyDescent="0.3">
      <c r="A29" t="s">
        <v>92</v>
      </c>
      <c r="B29">
        <v>9.6300000000000008</v>
      </c>
      <c r="C29">
        <v>420</v>
      </c>
      <c r="D29" t="s">
        <v>48</v>
      </c>
      <c r="E29">
        <v>18.5</v>
      </c>
      <c r="F29">
        <v>7195</v>
      </c>
      <c r="G29">
        <v>27.1</v>
      </c>
      <c r="H29">
        <v>501.4</v>
      </c>
      <c r="I29">
        <f t="shared" si="0"/>
        <v>11.966493817311529</v>
      </c>
      <c r="J29">
        <f t="shared" si="1"/>
        <v>11.967687244440011</v>
      </c>
      <c r="K29">
        <v>5.7693750000000001</v>
      </c>
      <c r="L29">
        <f>54.5*(5280/3600)</f>
        <v>79.933333333333323</v>
      </c>
      <c r="M29" s="2"/>
      <c r="N29" s="3"/>
      <c r="O29" s="2"/>
      <c r="P29" s="4"/>
    </row>
    <row r="30" spans="1:16" ht="15.6" x14ac:dyDescent="0.3">
      <c r="A30" t="s">
        <v>92</v>
      </c>
      <c r="B30">
        <v>9.6300000000000008</v>
      </c>
      <c r="C30">
        <v>420</v>
      </c>
      <c r="D30" t="s">
        <v>49</v>
      </c>
      <c r="E30">
        <v>18.5</v>
      </c>
      <c r="F30">
        <v>6810</v>
      </c>
      <c r="G30">
        <v>37.54</v>
      </c>
      <c r="H30">
        <v>694.5</v>
      </c>
      <c r="I30">
        <f t="shared" si="0"/>
        <v>8.639308855291576</v>
      </c>
      <c r="J30">
        <f t="shared" si="1"/>
        <v>8.6394332531785913</v>
      </c>
      <c r="K30">
        <v>5.9787499999999998</v>
      </c>
      <c r="L30">
        <f>64.5*(5280/3600)</f>
        <v>94.6</v>
      </c>
      <c r="M30" s="2"/>
      <c r="N30" s="3"/>
      <c r="O30" s="2"/>
      <c r="P30" s="4"/>
    </row>
    <row r="31" spans="1:16" ht="15.6" x14ac:dyDescent="0.3">
      <c r="A31" t="s">
        <v>92</v>
      </c>
      <c r="B31">
        <v>9.6300000000000008</v>
      </c>
      <c r="C31">
        <v>420</v>
      </c>
      <c r="D31" t="s">
        <v>50</v>
      </c>
      <c r="E31">
        <v>18.5</v>
      </c>
      <c r="F31">
        <v>7109</v>
      </c>
      <c r="G31">
        <v>28.79</v>
      </c>
      <c r="H31">
        <v>532.70000000000005</v>
      </c>
      <c r="I31">
        <f t="shared" si="0"/>
        <v>11.263375258119016</v>
      </c>
      <c r="J31">
        <f t="shared" si="1"/>
        <v>11.265172779587507</v>
      </c>
      <c r="K31">
        <v>6.3293749999999998</v>
      </c>
      <c r="L31">
        <f>40.4*(5280/3600)</f>
        <v>59.25333333333333</v>
      </c>
      <c r="M31" s="2"/>
      <c r="N31" s="3"/>
      <c r="O31" s="2"/>
      <c r="P31" s="4"/>
    </row>
    <row r="32" spans="1:16" ht="15.6" x14ac:dyDescent="0.3">
      <c r="A32" t="s">
        <v>92</v>
      </c>
      <c r="B32">
        <v>9.6300000000000008</v>
      </c>
      <c r="C32">
        <v>420</v>
      </c>
      <c r="D32" t="s">
        <v>51</v>
      </c>
      <c r="E32">
        <v>18.5</v>
      </c>
      <c r="F32">
        <v>7080</v>
      </c>
      <c r="G32">
        <v>29.84</v>
      </c>
      <c r="H32">
        <v>552.1</v>
      </c>
      <c r="I32">
        <f t="shared" si="0"/>
        <v>10.867596449918492</v>
      </c>
      <c r="J32">
        <f t="shared" si="1"/>
        <v>10.868777624809796</v>
      </c>
      <c r="K32">
        <v>6.6468749999999996</v>
      </c>
      <c r="L32">
        <f>46.9*(5280/3600)</f>
        <v>68.786666666666662</v>
      </c>
      <c r="M32" s="2"/>
      <c r="N32" s="3"/>
      <c r="O32" s="2"/>
      <c r="P32" s="4"/>
    </row>
    <row r="33" spans="1:16" ht="15.6" x14ac:dyDescent="0.3">
      <c r="A33" t="s">
        <v>92</v>
      </c>
      <c r="B33">
        <v>9.6300000000000008</v>
      </c>
      <c r="C33">
        <v>420</v>
      </c>
      <c r="D33" t="s">
        <v>16</v>
      </c>
      <c r="E33">
        <v>18.5</v>
      </c>
      <c r="F33">
        <v>6984</v>
      </c>
      <c r="G33">
        <v>32.15</v>
      </c>
      <c r="H33">
        <v>594.79999999999995</v>
      </c>
      <c r="I33">
        <f t="shared" si="0"/>
        <v>10.087424344317418</v>
      </c>
      <c r="J33">
        <f t="shared" si="1"/>
        <v>10.087848346013198</v>
      </c>
      <c r="K33">
        <v>6.4749999999999996</v>
      </c>
      <c r="L33">
        <f>52.9*(5280/3600)</f>
        <v>77.586666666666659</v>
      </c>
      <c r="M33" s="2"/>
      <c r="N33" s="3"/>
      <c r="O33" s="2"/>
      <c r="P33" s="4"/>
    </row>
    <row r="34" spans="1:16" ht="15.6" x14ac:dyDescent="0.3">
      <c r="A34" t="s">
        <v>92</v>
      </c>
      <c r="B34">
        <v>9.6300000000000008</v>
      </c>
      <c r="C34">
        <v>420</v>
      </c>
      <c r="D34" t="s">
        <v>52</v>
      </c>
      <c r="E34">
        <v>18.5</v>
      </c>
      <c r="F34">
        <v>6950</v>
      </c>
      <c r="G34">
        <v>33.32</v>
      </c>
      <c r="H34">
        <v>616.4</v>
      </c>
      <c r="I34">
        <f t="shared" ref="I34:I65" si="2" xml:space="preserve"> ($N$1/H34)*60</f>
        <v>9.733939000648931</v>
      </c>
      <c r="J34">
        <f t="shared" si="1"/>
        <v>9.733623179001329</v>
      </c>
      <c r="K34">
        <v>7.4275000000000002</v>
      </c>
      <c r="L34">
        <f>39.5*(5280/3600)</f>
        <v>57.93333333333333</v>
      </c>
      <c r="M34" s="2"/>
      <c r="N34" s="3"/>
      <c r="O34" s="2"/>
      <c r="P34" s="4"/>
    </row>
    <row r="35" spans="1:16" ht="15.6" x14ac:dyDescent="0.3">
      <c r="A35" t="s">
        <v>92</v>
      </c>
      <c r="B35">
        <v>9.6300000000000008</v>
      </c>
      <c r="C35">
        <v>420</v>
      </c>
      <c r="D35" t="s">
        <v>18</v>
      </c>
      <c r="E35">
        <v>18.5</v>
      </c>
      <c r="F35">
        <v>6838</v>
      </c>
      <c r="G35">
        <v>36.159999999999997</v>
      </c>
      <c r="H35">
        <v>669</v>
      </c>
      <c r="I35">
        <f t="shared" si="2"/>
        <v>8.968609865470853</v>
      </c>
      <c r="J35">
        <f t="shared" si="1"/>
        <v>8.9691461372877299</v>
      </c>
      <c r="K35">
        <v>7.6062500000000002</v>
      </c>
      <c r="L35">
        <f>45.3*(5280/3600)</f>
        <v>66.44</v>
      </c>
      <c r="M35" s="2"/>
      <c r="N35" s="3"/>
      <c r="O35" s="2"/>
      <c r="P35" s="4"/>
    </row>
    <row r="36" spans="1:16" ht="15.6" x14ac:dyDescent="0.3">
      <c r="A36" t="s">
        <v>92</v>
      </c>
      <c r="B36">
        <v>9.6300000000000008</v>
      </c>
      <c r="C36">
        <v>420</v>
      </c>
      <c r="D36" t="s">
        <v>54</v>
      </c>
      <c r="E36">
        <v>18.5</v>
      </c>
      <c r="F36">
        <v>7299</v>
      </c>
      <c r="G36">
        <v>24.43</v>
      </c>
      <c r="H36">
        <v>452</v>
      </c>
      <c r="I36">
        <f t="shared" si="2"/>
        <v>13.274336283185841</v>
      </c>
      <c r="J36">
        <f t="shared" si="1"/>
        <v>13.275657974798376</v>
      </c>
      <c r="K36">
        <v>5.194375</v>
      </c>
      <c r="L36">
        <f>55.3*(5280/3600)</f>
        <v>81.106666666666655</v>
      </c>
      <c r="M36" s="2"/>
      <c r="N36" s="3"/>
      <c r="O36" s="2"/>
      <c r="P36" s="4"/>
    </row>
    <row r="37" spans="1:16" ht="15.6" x14ac:dyDescent="0.3">
      <c r="A37" t="s">
        <v>92</v>
      </c>
      <c r="B37">
        <v>9.6300000000000008</v>
      </c>
      <c r="C37">
        <v>420</v>
      </c>
      <c r="D37" t="s">
        <v>25</v>
      </c>
      <c r="E37">
        <v>18.5</v>
      </c>
      <c r="F37">
        <v>7144</v>
      </c>
      <c r="G37">
        <v>27.31</v>
      </c>
      <c r="H37">
        <v>505.3</v>
      </c>
      <c r="I37">
        <f t="shared" si="2"/>
        <v>11.874134177716208</v>
      </c>
      <c r="J37">
        <f t="shared" si="1"/>
        <v>11.875661820736884</v>
      </c>
      <c r="K37">
        <v>5.8006250000000001</v>
      </c>
      <c r="L37">
        <f>54.1*(5280/3600)</f>
        <v>79.346666666666664</v>
      </c>
      <c r="M37" s="2"/>
      <c r="N37" s="3"/>
      <c r="O37" s="2"/>
      <c r="P37" s="4"/>
    </row>
    <row r="38" spans="1:16" ht="15.6" x14ac:dyDescent="0.3">
      <c r="A38" t="s">
        <v>92</v>
      </c>
      <c r="B38">
        <v>9.6300000000000008</v>
      </c>
      <c r="C38">
        <v>420</v>
      </c>
      <c r="D38" t="s">
        <v>26</v>
      </c>
      <c r="E38">
        <v>18.5</v>
      </c>
      <c r="F38">
        <v>7010</v>
      </c>
      <c r="G38">
        <v>32.07</v>
      </c>
      <c r="H38">
        <v>593.20000000000005</v>
      </c>
      <c r="I38">
        <f t="shared" si="2"/>
        <v>10.114632501685772</v>
      </c>
      <c r="J38">
        <f t="shared" si="1"/>
        <v>10.113012919374004</v>
      </c>
      <c r="K38">
        <v>6.8362499999999997</v>
      </c>
      <c r="L38">
        <f>46.5*(5280/3600)</f>
        <v>68.199999999999989</v>
      </c>
      <c r="M38" s="2"/>
      <c r="N38" s="3"/>
      <c r="O38" s="2"/>
      <c r="P38" s="4"/>
    </row>
    <row r="39" spans="1:16" ht="15.6" x14ac:dyDescent="0.3">
      <c r="A39" t="s">
        <v>92</v>
      </c>
      <c r="B39">
        <v>9.6300000000000008</v>
      </c>
      <c r="C39">
        <v>420</v>
      </c>
      <c r="D39" t="s">
        <v>57</v>
      </c>
      <c r="E39">
        <v>22.2</v>
      </c>
      <c r="F39">
        <v>8739</v>
      </c>
      <c r="G39">
        <v>25.96</v>
      </c>
      <c r="H39">
        <v>576.29999999999995</v>
      </c>
      <c r="I39">
        <f t="shared" si="2"/>
        <v>10.411244143675171</v>
      </c>
      <c r="J39">
        <f t="shared" si="1"/>
        <v>10.411027360179903</v>
      </c>
      <c r="K39">
        <v>3.9837500000000001</v>
      </c>
      <c r="L39">
        <f>82.8*(5280/3600)</f>
        <v>121.43999999999998</v>
      </c>
      <c r="M39" s="2"/>
      <c r="N39" s="3"/>
      <c r="O39" s="2"/>
      <c r="P39" s="4"/>
    </row>
    <row r="40" spans="1:16" ht="15.6" x14ac:dyDescent="0.3">
      <c r="A40" t="s">
        <v>92</v>
      </c>
      <c r="B40">
        <v>9.6300000000000008</v>
      </c>
      <c r="C40">
        <v>420</v>
      </c>
      <c r="D40" t="s">
        <v>32</v>
      </c>
      <c r="E40">
        <v>22.2</v>
      </c>
      <c r="F40">
        <v>8713</v>
      </c>
      <c r="G40">
        <v>26.61</v>
      </c>
      <c r="H40">
        <v>590.6</v>
      </c>
      <c r="I40">
        <f t="shared" si="2"/>
        <v>10.159160176092108</v>
      </c>
      <c r="J40">
        <f t="shared" si="1"/>
        <v>10.156718161227746</v>
      </c>
      <c r="K40">
        <v>4.8456250000000001</v>
      </c>
      <c r="L40">
        <f>66*(5280/3600)</f>
        <v>96.8</v>
      </c>
      <c r="M40" s="2"/>
      <c r="N40" s="3"/>
      <c r="O40" s="2"/>
      <c r="P40" s="4"/>
    </row>
    <row r="41" spans="1:16" ht="15.6" x14ac:dyDescent="0.3">
      <c r="A41" t="s">
        <v>92</v>
      </c>
      <c r="B41">
        <v>9.6300000000000008</v>
      </c>
      <c r="C41">
        <v>420</v>
      </c>
      <c r="D41" t="s">
        <v>33</v>
      </c>
      <c r="E41">
        <v>22.2</v>
      </c>
      <c r="F41">
        <v>8520</v>
      </c>
      <c r="G41">
        <v>32.79</v>
      </c>
      <c r="H41">
        <v>727.8</v>
      </c>
      <c r="I41">
        <f t="shared" si="2"/>
        <v>8.2440230832646346</v>
      </c>
      <c r="J41">
        <f t="shared" si="1"/>
        <v>8.2424602095233404</v>
      </c>
      <c r="K41">
        <v>5.3174999999999999</v>
      </c>
      <c r="L41">
        <f>80.7*(5280/3600)</f>
        <v>118.36</v>
      </c>
      <c r="M41" s="2"/>
      <c r="N41" s="3"/>
      <c r="O41" s="2"/>
      <c r="P41" s="4"/>
    </row>
    <row r="42" spans="1:16" ht="15.6" x14ac:dyDescent="0.3">
      <c r="A42" t="s">
        <v>92</v>
      </c>
      <c r="B42">
        <v>9.6300000000000008</v>
      </c>
      <c r="C42">
        <v>420</v>
      </c>
      <c r="D42" t="s">
        <v>34</v>
      </c>
      <c r="E42">
        <v>22.2</v>
      </c>
      <c r="F42">
        <v>8368</v>
      </c>
      <c r="G42">
        <v>36.57</v>
      </c>
      <c r="H42">
        <v>811.8</v>
      </c>
      <c r="I42">
        <f t="shared" si="2"/>
        <v>7.3909830007390989</v>
      </c>
      <c r="J42">
        <f t="shared" si="1"/>
        <v>7.3904913937727716</v>
      </c>
      <c r="K42">
        <v>4.8106249999999999</v>
      </c>
      <c r="L42">
        <f>95.1*(5280/3600)</f>
        <v>139.47999999999999</v>
      </c>
      <c r="M42" s="2"/>
      <c r="N42" s="3"/>
      <c r="O42" s="2"/>
      <c r="P42" s="4"/>
    </row>
    <row r="43" spans="1:16" ht="15.6" x14ac:dyDescent="0.3">
      <c r="A43" t="s">
        <v>92</v>
      </c>
      <c r="B43">
        <v>9.6300000000000008</v>
      </c>
      <c r="C43">
        <v>420</v>
      </c>
      <c r="D43" t="s">
        <v>59</v>
      </c>
      <c r="E43">
        <v>22.2</v>
      </c>
      <c r="F43">
        <v>8875</v>
      </c>
      <c r="G43">
        <v>22.59</v>
      </c>
      <c r="H43">
        <v>501.5</v>
      </c>
      <c r="I43">
        <f t="shared" si="2"/>
        <v>11.964107676969093</v>
      </c>
      <c r="J43">
        <f t="shared" si="1"/>
        <v>11.964155390450212</v>
      </c>
      <c r="K43">
        <v>5.8618750000000004</v>
      </c>
      <c r="L43">
        <f>46.2*(5280/3600)</f>
        <v>67.760000000000005</v>
      </c>
      <c r="M43" s="2"/>
      <c r="N43" s="3"/>
      <c r="O43" s="2"/>
      <c r="P43" s="4"/>
    </row>
    <row r="44" spans="1:16" ht="15.6" x14ac:dyDescent="0.3">
      <c r="A44" t="s">
        <v>92</v>
      </c>
      <c r="B44">
        <v>9.6300000000000008</v>
      </c>
      <c r="C44">
        <v>420</v>
      </c>
      <c r="D44" t="s">
        <v>35</v>
      </c>
      <c r="E44">
        <v>22.2</v>
      </c>
      <c r="F44">
        <v>8625</v>
      </c>
      <c r="G44">
        <v>30.11</v>
      </c>
      <c r="H44">
        <v>668.4</v>
      </c>
      <c r="I44">
        <f t="shared" si="2"/>
        <v>8.9766606822262123</v>
      </c>
      <c r="J44">
        <f t="shared" si="1"/>
        <v>8.9760966546087779</v>
      </c>
      <c r="K44">
        <v>6.7793749999999999</v>
      </c>
      <c r="L44">
        <f>53.1*(5280/3600)</f>
        <v>77.88</v>
      </c>
      <c r="M44" s="2"/>
      <c r="N44" s="3"/>
      <c r="O44" s="2"/>
      <c r="P44" s="4"/>
    </row>
    <row r="45" spans="1:16" ht="15.6" x14ac:dyDescent="0.3">
      <c r="A45" t="s">
        <v>92</v>
      </c>
      <c r="B45">
        <v>9.6300000000000008</v>
      </c>
      <c r="C45">
        <v>420</v>
      </c>
      <c r="D45" t="s">
        <v>36</v>
      </c>
      <c r="E45">
        <v>22.2</v>
      </c>
      <c r="F45">
        <v>8509</v>
      </c>
      <c r="G45">
        <v>33.14</v>
      </c>
      <c r="H45">
        <v>735.8</v>
      </c>
      <c r="I45">
        <f t="shared" si="2"/>
        <v>8.1543897798314759</v>
      </c>
      <c r="J45">
        <f t="shared" si="1"/>
        <v>8.155409483110148</v>
      </c>
      <c r="K45">
        <v>6.7481249999999999</v>
      </c>
      <c r="L45">
        <f>64.5*(5280/3600)</f>
        <v>94.6</v>
      </c>
      <c r="M45" s="2"/>
      <c r="N45" s="3"/>
      <c r="O45" s="2"/>
      <c r="P45" s="4"/>
    </row>
    <row r="46" spans="1:16" ht="15.6" x14ac:dyDescent="0.3">
      <c r="A46" t="s">
        <v>92</v>
      </c>
      <c r="B46">
        <v>9.6300000000000008</v>
      </c>
      <c r="C46">
        <v>420</v>
      </c>
      <c r="D46" t="s">
        <v>38</v>
      </c>
      <c r="E46">
        <v>22.2</v>
      </c>
      <c r="F46">
        <v>8688</v>
      </c>
      <c r="G46">
        <v>27.43</v>
      </c>
      <c r="H46">
        <v>609</v>
      </c>
      <c r="I46">
        <f t="shared" si="2"/>
        <v>9.8522167487684733</v>
      </c>
      <c r="J46">
        <f t="shared" si="1"/>
        <v>9.8530904218108013</v>
      </c>
      <c r="K46">
        <v>7.0368750000000002</v>
      </c>
      <c r="L46">
        <f>49.4*(5280/3600)</f>
        <v>72.453333333333333</v>
      </c>
      <c r="M46" s="2"/>
      <c r="N46" s="3"/>
      <c r="O46" s="2"/>
      <c r="P46" s="4"/>
    </row>
    <row r="47" spans="1:16" ht="15.6" x14ac:dyDescent="0.3">
      <c r="A47" t="s">
        <v>92</v>
      </c>
      <c r="B47">
        <v>9.6300000000000008</v>
      </c>
      <c r="C47">
        <v>420</v>
      </c>
      <c r="D47" t="s">
        <v>60</v>
      </c>
      <c r="E47">
        <v>22.2</v>
      </c>
      <c r="F47">
        <v>8621</v>
      </c>
      <c r="G47">
        <v>30.24</v>
      </c>
      <c r="H47">
        <v>671.3</v>
      </c>
      <c r="I47">
        <f t="shared" si="2"/>
        <v>8.9378817220318787</v>
      </c>
      <c r="J47">
        <f t="shared" si="1"/>
        <v>8.9375089375089374</v>
      </c>
      <c r="K47">
        <v>7.9831250000000002</v>
      </c>
      <c r="L47">
        <f>32.7*(5280/3600)</f>
        <v>47.96</v>
      </c>
      <c r="M47" s="2"/>
      <c r="N47" s="3"/>
      <c r="O47" s="2"/>
      <c r="P47" s="4"/>
    </row>
    <row r="48" spans="1:16" ht="15.6" x14ac:dyDescent="0.3">
      <c r="A48" t="s">
        <v>92</v>
      </c>
      <c r="B48">
        <v>9.6300000000000008</v>
      </c>
      <c r="C48">
        <v>420</v>
      </c>
      <c r="D48" t="s">
        <v>64</v>
      </c>
      <c r="E48">
        <v>22.2</v>
      </c>
      <c r="F48">
        <v>8675</v>
      </c>
      <c r="G48">
        <v>27.55</v>
      </c>
      <c r="H48">
        <v>611.5</v>
      </c>
      <c r="I48">
        <f t="shared" si="2"/>
        <v>9.8119378577269014</v>
      </c>
      <c r="J48">
        <f t="shared" si="1"/>
        <v>9.8101731495560909</v>
      </c>
      <c r="K48">
        <v>4.3343749999999996</v>
      </c>
      <c r="L48">
        <f>65.7*(5280/3600)</f>
        <v>96.36</v>
      </c>
      <c r="M48" s="2"/>
      <c r="N48" s="3"/>
      <c r="O48" s="2"/>
      <c r="P48" s="4"/>
    </row>
    <row r="49" spans="1:16" ht="15.6" x14ac:dyDescent="0.3">
      <c r="A49" t="s">
        <v>92</v>
      </c>
      <c r="B49">
        <v>9.6300000000000008</v>
      </c>
      <c r="C49">
        <v>420</v>
      </c>
      <c r="D49" t="s">
        <v>45</v>
      </c>
      <c r="E49">
        <v>22.2</v>
      </c>
      <c r="F49">
        <v>8541</v>
      </c>
      <c r="G49">
        <v>32.049999999999997</v>
      </c>
      <c r="H49">
        <v>711.5</v>
      </c>
      <c r="I49">
        <f t="shared" si="2"/>
        <v>8.432888264230499</v>
      </c>
      <c r="J49">
        <f t="shared" si="1"/>
        <v>8.4327697432221633</v>
      </c>
      <c r="K49">
        <v>6.01</v>
      </c>
      <c r="L49">
        <f>64.7*(5280/3600)</f>
        <v>94.893333333333331</v>
      </c>
      <c r="M49" s="2"/>
      <c r="N49" s="3"/>
      <c r="O49" s="2"/>
      <c r="P49" s="4"/>
    </row>
    <row r="50" spans="1:16" ht="15.6" x14ac:dyDescent="0.3">
      <c r="A50" t="s">
        <v>92</v>
      </c>
      <c r="B50">
        <v>9.6300000000000008</v>
      </c>
      <c r="C50">
        <v>420</v>
      </c>
      <c r="D50" t="s">
        <v>47</v>
      </c>
      <c r="E50">
        <v>22.2</v>
      </c>
      <c r="F50">
        <v>8590</v>
      </c>
      <c r="G50">
        <v>30.96</v>
      </c>
      <c r="H50">
        <v>687.3</v>
      </c>
      <c r="I50">
        <f t="shared" si="2"/>
        <v>8.7298123090353563</v>
      </c>
      <c r="J50">
        <f t="shared" si="1"/>
        <v>8.7296598924505915</v>
      </c>
      <c r="K50">
        <v>6.9156250000000004</v>
      </c>
      <c r="L50">
        <f>48.8*(5280/3600)</f>
        <v>71.573333333333323</v>
      </c>
      <c r="M50" s="2"/>
      <c r="N50" s="3"/>
      <c r="O50" s="2"/>
      <c r="P50" s="4"/>
    </row>
    <row r="51" spans="1:16" ht="15.6" x14ac:dyDescent="0.3">
      <c r="A51" t="s">
        <v>92</v>
      </c>
      <c r="B51">
        <v>9.6300000000000008</v>
      </c>
      <c r="C51">
        <v>420</v>
      </c>
      <c r="D51" t="s">
        <v>48</v>
      </c>
      <c r="E51">
        <v>22.2</v>
      </c>
      <c r="F51">
        <v>8344</v>
      </c>
      <c r="G51">
        <v>36.89</v>
      </c>
      <c r="H51">
        <v>818.9</v>
      </c>
      <c r="I51">
        <f t="shared" si="2"/>
        <v>7.3269019416290151</v>
      </c>
      <c r="J51">
        <f t="shared" si="1"/>
        <v>7.3263830379579904</v>
      </c>
      <c r="K51">
        <v>7.8768750000000001</v>
      </c>
      <c r="L51">
        <f>63.2*(5280/3600)</f>
        <v>92.693333333333328</v>
      </c>
      <c r="M51" s="2"/>
      <c r="N51" s="3"/>
      <c r="O51" s="2"/>
      <c r="P51" s="4"/>
    </row>
    <row r="52" spans="1:16" ht="15.6" x14ac:dyDescent="0.3">
      <c r="A52" t="s">
        <v>92</v>
      </c>
      <c r="B52">
        <v>9.6300000000000008</v>
      </c>
      <c r="C52">
        <v>420</v>
      </c>
      <c r="D52" t="s">
        <v>54</v>
      </c>
      <c r="E52">
        <v>22.2</v>
      </c>
      <c r="F52">
        <v>8510</v>
      </c>
      <c r="G52">
        <v>32.9</v>
      </c>
      <c r="H52">
        <v>730.4</v>
      </c>
      <c r="I52">
        <f t="shared" si="2"/>
        <v>8.214676889375685</v>
      </c>
      <c r="J52">
        <f t="shared" si="1"/>
        <v>8.2149018319231093</v>
      </c>
      <c r="K52">
        <v>7.13</v>
      </c>
      <c r="L52">
        <f>64.5*(5280/3600)</f>
        <v>94.6</v>
      </c>
      <c r="M52" s="2"/>
      <c r="N52" s="3"/>
      <c r="O52" s="2"/>
      <c r="P52" s="4"/>
    </row>
    <row r="53" spans="1:16" ht="15.6" x14ac:dyDescent="0.3">
      <c r="A53" t="s">
        <v>92</v>
      </c>
      <c r="B53">
        <v>9.6300000000000008</v>
      </c>
      <c r="C53">
        <v>420</v>
      </c>
      <c r="D53" t="s">
        <v>25</v>
      </c>
      <c r="E53">
        <v>22.2</v>
      </c>
      <c r="F53">
        <v>8353</v>
      </c>
      <c r="G53">
        <v>36.83</v>
      </c>
      <c r="H53">
        <v>817.5</v>
      </c>
      <c r="I53">
        <f t="shared" si="2"/>
        <v>7.3394495412844032</v>
      </c>
      <c r="J53">
        <f t="shared" si="1"/>
        <v>7.3383184976994382</v>
      </c>
      <c r="K53">
        <v>7.91</v>
      </c>
      <c r="L53">
        <f>63.3*(5280/3600)</f>
        <v>92.839999999999989</v>
      </c>
      <c r="M53" s="5"/>
      <c r="N53" s="3"/>
      <c r="O53" s="5"/>
      <c r="P53" s="4"/>
    </row>
    <row r="54" spans="1:16" ht="15.6" x14ac:dyDescent="0.3">
      <c r="A54" t="s">
        <v>92</v>
      </c>
      <c r="B54">
        <v>9.6300000000000008</v>
      </c>
      <c r="C54">
        <v>420</v>
      </c>
      <c r="D54" t="s">
        <v>69</v>
      </c>
      <c r="E54">
        <v>29.6</v>
      </c>
      <c r="F54">
        <v>11796</v>
      </c>
      <c r="G54">
        <v>27.78</v>
      </c>
      <c r="H54">
        <v>822.2</v>
      </c>
      <c r="I54">
        <f t="shared" si="2"/>
        <v>7.2974945268791043</v>
      </c>
      <c r="J54">
        <f t="shared" si="1"/>
        <v>7.2967135602124795</v>
      </c>
      <c r="K54">
        <v>5.1412500000000003</v>
      </c>
      <c r="L54">
        <f>89.4*(5280/3600)</f>
        <v>131.12</v>
      </c>
      <c r="M54" s="5"/>
      <c r="N54" s="3"/>
      <c r="O54" s="5"/>
      <c r="P54" s="4"/>
    </row>
    <row r="55" spans="1:16" ht="15.6" x14ac:dyDescent="0.3">
      <c r="A55" t="s">
        <v>92</v>
      </c>
      <c r="B55">
        <v>9.6300000000000008</v>
      </c>
      <c r="C55">
        <v>420</v>
      </c>
      <c r="D55" t="s">
        <v>55</v>
      </c>
      <c r="E55">
        <v>29.6</v>
      </c>
      <c r="F55">
        <v>11440</v>
      </c>
      <c r="G55">
        <v>36.57</v>
      </c>
      <c r="H55">
        <v>1082.4000000000001</v>
      </c>
      <c r="I55">
        <f t="shared" si="2"/>
        <v>5.5432372505543235</v>
      </c>
      <c r="J55">
        <f t="shared" si="1"/>
        <v>5.5428685453295783</v>
      </c>
      <c r="K55">
        <v>4.8324999999999996</v>
      </c>
      <c r="L55">
        <f>108.3*(5280/3600)</f>
        <v>158.83999999999997</v>
      </c>
      <c r="M55" s="5"/>
      <c r="N55" s="3"/>
      <c r="O55" s="5"/>
      <c r="P55" s="4"/>
    </row>
    <row r="56" spans="1:16" ht="15.6" x14ac:dyDescent="0.3">
      <c r="A56" t="s">
        <v>92</v>
      </c>
      <c r="B56">
        <v>9.6300000000000008</v>
      </c>
      <c r="C56">
        <v>420</v>
      </c>
      <c r="D56" t="s">
        <v>70</v>
      </c>
      <c r="E56">
        <v>29.6</v>
      </c>
      <c r="F56">
        <v>11825</v>
      </c>
      <c r="G56">
        <v>27.49</v>
      </c>
      <c r="H56">
        <v>813.8</v>
      </c>
      <c r="I56">
        <f t="shared" si="2"/>
        <v>7.3728188744163194</v>
      </c>
      <c r="J56">
        <f t="shared" si="1"/>
        <v>7.3736887123573185</v>
      </c>
      <c r="K56">
        <v>6.9712500000000004</v>
      </c>
      <c r="L56">
        <f>78.4*(5280/3600)</f>
        <v>114.98666666666666</v>
      </c>
      <c r="M56" s="5"/>
      <c r="N56" s="3"/>
      <c r="O56" s="5"/>
      <c r="P56" s="4"/>
    </row>
    <row r="57" spans="1:16" ht="15.6" x14ac:dyDescent="0.3">
      <c r="A57" t="s">
        <v>92</v>
      </c>
      <c r="B57">
        <v>9.6300000000000008</v>
      </c>
      <c r="C57">
        <v>420</v>
      </c>
      <c r="D57" t="s">
        <v>71</v>
      </c>
      <c r="E57">
        <v>29.6</v>
      </c>
      <c r="F57">
        <v>11605</v>
      </c>
      <c r="G57">
        <v>33.17</v>
      </c>
      <c r="H57">
        <v>982</v>
      </c>
      <c r="I57">
        <f t="shared" si="2"/>
        <v>6.1099796334012222</v>
      </c>
      <c r="J57">
        <f t="shared" si="1"/>
        <v>6.1110251040911265</v>
      </c>
      <c r="K57">
        <v>7.1518750000000004</v>
      </c>
      <c r="L57">
        <f>76.9*(5280/3600)</f>
        <v>112.78666666666666</v>
      </c>
      <c r="M57" s="5"/>
      <c r="N57" s="3"/>
      <c r="O57" s="5"/>
      <c r="P57" s="4"/>
    </row>
    <row r="58" spans="1:16" ht="15.6" x14ac:dyDescent="0.3">
      <c r="A58" t="s">
        <v>92</v>
      </c>
      <c r="B58">
        <v>9.6300000000000008</v>
      </c>
      <c r="C58">
        <v>420</v>
      </c>
      <c r="D58" t="s">
        <v>72</v>
      </c>
      <c r="E58">
        <v>29.6</v>
      </c>
      <c r="F58">
        <v>11432</v>
      </c>
      <c r="G58">
        <v>36.979999999999997</v>
      </c>
      <c r="H58">
        <v>1094.7</v>
      </c>
      <c r="I58">
        <f t="shared" si="2"/>
        <v>5.4809536859413539</v>
      </c>
      <c r="J58">
        <f t="shared" si="1"/>
        <v>5.4814143510736262</v>
      </c>
      <c r="K58">
        <v>6.8412499999999996</v>
      </c>
      <c r="L58">
        <f>86.6*(5280/3600)</f>
        <v>127.01333333333332</v>
      </c>
      <c r="M58" s="5"/>
      <c r="N58" s="3"/>
      <c r="O58" s="5"/>
      <c r="P58" s="4"/>
    </row>
    <row r="59" spans="1:16" ht="15.6" x14ac:dyDescent="0.3">
      <c r="A59" t="s">
        <v>92</v>
      </c>
      <c r="B59">
        <v>9.6300000000000008</v>
      </c>
      <c r="C59">
        <v>420</v>
      </c>
      <c r="D59" t="s">
        <v>58</v>
      </c>
      <c r="E59">
        <v>29.6</v>
      </c>
      <c r="F59">
        <v>11368</v>
      </c>
      <c r="G59">
        <v>38.32</v>
      </c>
      <c r="H59">
        <v>1134.3</v>
      </c>
      <c r="I59">
        <f t="shared" si="2"/>
        <v>5.2896059243586357</v>
      </c>
      <c r="J59">
        <f t="shared" si="1"/>
        <v>5.2897365005924506</v>
      </c>
      <c r="K59">
        <v>8.7081250000000008</v>
      </c>
      <c r="L59">
        <f>64.6*(5280/3600)</f>
        <v>94.746666666666655</v>
      </c>
      <c r="M59" s="5"/>
      <c r="N59" s="3"/>
      <c r="O59" s="5"/>
      <c r="P59" s="4"/>
    </row>
    <row r="60" spans="1:16" ht="15.6" x14ac:dyDescent="0.3">
      <c r="A60" t="s">
        <v>92</v>
      </c>
      <c r="B60">
        <v>9.6300000000000008</v>
      </c>
      <c r="C60">
        <v>420</v>
      </c>
      <c r="D60" t="s">
        <v>59</v>
      </c>
      <c r="E60">
        <v>29.6</v>
      </c>
      <c r="F60">
        <v>11338</v>
      </c>
      <c r="G60">
        <v>39.119999999999997</v>
      </c>
      <c r="H60">
        <v>1157.9000000000001</v>
      </c>
      <c r="I60">
        <f t="shared" si="2"/>
        <v>5.1817946282062355</v>
      </c>
      <c r="J60">
        <f t="shared" si="1"/>
        <v>5.1815619300281881</v>
      </c>
      <c r="K60">
        <v>9.9956250000000004</v>
      </c>
      <c r="L60">
        <f>59.1*(5280/3600)</f>
        <v>86.679999999999993</v>
      </c>
      <c r="M60" s="5"/>
      <c r="N60" s="3"/>
      <c r="O60" s="5"/>
      <c r="P60" s="4"/>
    </row>
    <row r="61" spans="1:16" ht="15.6" x14ac:dyDescent="0.3">
      <c r="A61" t="s">
        <v>92</v>
      </c>
      <c r="B61">
        <v>9.6300000000000008</v>
      </c>
      <c r="C61">
        <v>420</v>
      </c>
      <c r="D61" t="s">
        <v>75</v>
      </c>
      <c r="E61">
        <v>29.6</v>
      </c>
      <c r="F61">
        <v>11830</v>
      </c>
      <c r="G61">
        <v>26.14</v>
      </c>
      <c r="H61">
        <v>773.6</v>
      </c>
      <c r="I61">
        <f t="shared" si="2"/>
        <v>7.7559462254395042</v>
      </c>
      <c r="J61">
        <f t="shared" si="1"/>
        <v>7.7545027812816638</v>
      </c>
      <c r="K61">
        <v>4.5306249999999997</v>
      </c>
      <c r="L61">
        <f>89.6*(5280/3600)</f>
        <v>131.41333333333333</v>
      </c>
      <c r="M61" s="5"/>
      <c r="N61" s="3"/>
      <c r="O61" s="5"/>
      <c r="P61" s="4"/>
    </row>
    <row r="62" spans="1:16" ht="15.6" x14ac:dyDescent="0.3">
      <c r="A62" t="s">
        <v>92</v>
      </c>
      <c r="B62">
        <v>9.6300000000000008</v>
      </c>
      <c r="C62">
        <v>420</v>
      </c>
      <c r="D62" t="s">
        <v>77</v>
      </c>
      <c r="E62">
        <v>29.6</v>
      </c>
      <c r="F62">
        <v>11864</v>
      </c>
      <c r="G62">
        <v>24.9</v>
      </c>
      <c r="H62">
        <v>737.1</v>
      </c>
      <c r="I62">
        <f t="shared" si="2"/>
        <v>8.1400081400081401</v>
      </c>
      <c r="J62">
        <f t="shared" si="1"/>
        <v>8.1406707912731999</v>
      </c>
      <c r="K62">
        <v>6.2081249999999999</v>
      </c>
      <c r="L62">
        <f>67.4*(5280/3600)</f>
        <v>98.853333333333339</v>
      </c>
      <c r="M62" s="5"/>
      <c r="N62" s="3"/>
      <c r="O62" s="5"/>
      <c r="P62" s="4"/>
    </row>
    <row r="63" spans="1:16" ht="15.6" x14ac:dyDescent="0.3">
      <c r="A63" t="s">
        <v>92</v>
      </c>
      <c r="B63">
        <v>9.6300000000000008</v>
      </c>
      <c r="C63">
        <v>420</v>
      </c>
      <c r="D63" t="s">
        <v>78</v>
      </c>
      <c r="E63">
        <v>29.6</v>
      </c>
      <c r="F63">
        <v>11860</v>
      </c>
      <c r="G63">
        <v>26.04</v>
      </c>
      <c r="H63">
        <v>770.9</v>
      </c>
      <c r="I63">
        <f t="shared" si="2"/>
        <v>7.7831106498897391</v>
      </c>
      <c r="J63">
        <f t="shared" si="1"/>
        <v>7.7842819778303642</v>
      </c>
      <c r="K63">
        <v>5.9656250000000002</v>
      </c>
      <c r="L63">
        <f>78.6*(5280/3600)</f>
        <v>115.27999999999999</v>
      </c>
      <c r="M63" s="5"/>
      <c r="N63" s="3"/>
      <c r="O63" s="5"/>
      <c r="P63" s="4"/>
    </row>
    <row r="64" spans="1:16" ht="15.6" x14ac:dyDescent="0.3">
      <c r="A64" t="s">
        <v>92</v>
      </c>
      <c r="B64">
        <v>9.6300000000000008</v>
      </c>
      <c r="C64">
        <v>420</v>
      </c>
      <c r="D64" t="s">
        <v>61</v>
      </c>
      <c r="E64">
        <v>29.6</v>
      </c>
      <c r="F64">
        <v>11569</v>
      </c>
      <c r="G64">
        <v>33.869999999999997</v>
      </c>
      <c r="H64">
        <v>1002.6</v>
      </c>
      <c r="I64">
        <f t="shared" si="2"/>
        <v>5.9844404548174746</v>
      </c>
      <c r="J64">
        <f t="shared" si="1"/>
        <v>5.9847269767553204</v>
      </c>
      <c r="K64">
        <v>5.6043750000000001</v>
      </c>
      <c r="L64">
        <f>87.6*(5280/3600)</f>
        <v>128.47999999999999</v>
      </c>
      <c r="M64" s="5"/>
      <c r="N64" s="3"/>
      <c r="O64" s="5"/>
      <c r="P64" s="4"/>
    </row>
    <row r="65" spans="1:16" ht="15.6" x14ac:dyDescent="0.3">
      <c r="A65" t="s">
        <v>92</v>
      </c>
      <c r="B65">
        <v>9.6300000000000008</v>
      </c>
      <c r="C65">
        <v>420</v>
      </c>
      <c r="D65" t="s">
        <v>62</v>
      </c>
      <c r="E65">
        <v>29.6</v>
      </c>
      <c r="F65">
        <v>11630</v>
      </c>
      <c r="G65">
        <v>32.49</v>
      </c>
      <c r="H65">
        <v>961.6</v>
      </c>
      <c r="I65">
        <f t="shared" si="2"/>
        <v>6.2396006655574041</v>
      </c>
      <c r="J65">
        <f t="shared" si="1"/>
        <v>6.2389259065159335</v>
      </c>
      <c r="K65">
        <v>7.1825000000000001</v>
      </c>
      <c r="L65">
        <f>66.1*(5280/3600)</f>
        <v>96.946666666666658</v>
      </c>
      <c r="M65" s="5"/>
      <c r="N65" s="3"/>
      <c r="O65" s="5"/>
      <c r="P65" s="4"/>
    </row>
    <row r="66" spans="1:16" ht="15.6" x14ac:dyDescent="0.3">
      <c r="A66" t="s">
        <v>92</v>
      </c>
      <c r="B66">
        <v>9.6300000000000008</v>
      </c>
      <c r="C66">
        <v>420</v>
      </c>
      <c r="D66" t="s">
        <v>80</v>
      </c>
      <c r="E66">
        <v>29.6</v>
      </c>
      <c r="F66">
        <v>11817</v>
      </c>
      <c r="G66">
        <v>26.97</v>
      </c>
      <c r="H66">
        <v>798.4</v>
      </c>
      <c r="I66">
        <f t="shared" ref="I66:I67" si="3" xml:space="preserve"> ($N$1/H66)*60</f>
        <v>7.5150300601202416</v>
      </c>
      <c r="J66">
        <f t="shared" si="1"/>
        <v>7.5158584613534547</v>
      </c>
      <c r="K66">
        <v>6.600625</v>
      </c>
      <c r="L66">
        <f>78.3*(5280/3600)</f>
        <v>114.83999999999999</v>
      </c>
      <c r="M66" s="5"/>
      <c r="N66" s="3"/>
      <c r="O66" s="5"/>
      <c r="P66" s="4"/>
    </row>
    <row r="67" spans="1:16" ht="15.6" x14ac:dyDescent="0.3">
      <c r="A67" t="s">
        <v>92</v>
      </c>
      <c r="B67">
        <v>9.6300000000000008</v>
      </c>
      <c r="C67">
        <v>420</v>
      </c>
      <c r="D67" t="s">
        <v>81</v>
      </c>
      <c r="E67">
        <v>29.6</v>
      </c>
      <c r="F67">
        <v>11573</v>
      </c>
      <c r="G67">
        <v>32.89</v>
      </c>
      <c r="H67">
        <v>973.6</v>
      </c>
      <c r="I67">
        <f t="shared" si="3"/>
        <v>6.1626951520131463</v>
      </c>
      <c r="J67">
        <f t="shared" ref="J67:J130" si="4">( ($N$1/E67)/G67)*60</f>
        <v>6.1630496413105105</v>
      </c>
      <c r="K67">
        <v>7.8574999999999999</v>
      </c>
      <c r="L67">
        <f>76.7*(5280/3600)</f>
        <v>112.49333333333333</v>
      </c>
      <c r="M67" s="5"/>
      <c r="N67" s="3"/>
      <c r="O67" s="5"/>
      <c r="P67" s="4"/>
    </row>
    <row r="68" spans="1:16" ht="15.6" x14ac:dyDescent="0.3">
      <c r="A68" t="s">
        <v>92</v>
      </c>
      <c r="B68">
        <v>9.6300000000000008</v>
      </c>
      <c r="C68">
        <v>420</v>
      </c>
      <c r="D68" t="s">
        <v>66</v>
      </c>
      <c r="E68">
        <v>29.6</v>
      </c>
      <c r="F68">
        <v>11450</v>
      </c>
      <c r="G68">
        <v>36.65</v>
      </c>
      <c r="H68">
        <v>1084.8</v>
      </c>
      <c r="I68">
        <f t="shared" ref="I68:I131" si="5" xml:space="preserve"> ($N$1/H68)*60</f>
        <v>5.5309734513274345</v>
      </c>
      <c r="J68">
        <f t="shared" si="4"/>
        <v>5.530769514398437</v>
      </c>
      <c r="K68">
        <v>8.25</v>
      </c>
      <c r="L68">
        <f>86.7*(5280/3600)</f>
        <v>127.16</v>
      </c>
      <c r="M68" s="5"/>
      <c r="N68" s="3"/>
      <c r="O68" s="5"/>
      <c r="P68" s="4"/>
    </row>
    <row r="69" spans="1:16" ht="15.6" x14ac:dyDescent="0.3">
      <c r="A69" t="s">
        <v>92</v>
      </c>
      <c r="B69">
        <v>9.6300000000000008</v>
      </c>
      <c r="C69">
        <v>420</v>
      </c>
      <c r="D69" t="s">
        <v>53</v>
      </c>
      <c r="E69">
        <v>29.6</v>
      </c>
      <c r="F69">
        <v>11383</v>
      </c>
      <c r="G69">
        <v>37.9</v>
      </c>
      <c r="H69">
        <v>1121.7</v>
      </c>
      <c r="I69">
        <f t="shared" si="5"/>
        <v>5.3490238031559239</v>
      </c>
      <c r="J69">
        <f t="shared" si="4"/>
        <v>5.3483562718391209</v>
      </c>
      <c r="K69">
        <v>9.2899999999999991</v>
      </c>
      <c r="L69">
        <f>64.7*(5280/3600)</f>
        <v>94.893333333333331</v>
      </c>
      <c r="M69" s="5"/>
      <c r="N69" s="3"/>
      <c r="O69" s="5"/>
      <c r="P69" s="4"/>
    </row>
    <row r="70" spans="1:16" x14ac:dyDescent="0.3">
      <c r="A70" t="s">
        <v>97</v>
      </c>
      <c r="B70">
        <v>9.8800000000000008</v>
      </c>
      <c r="C70">
        <v>520</v>
      </c>
      <c r="D70" t="s">
        <v>37</v>
      </c>
      <c r="E70">
        <v>14.8</v>
      </c>
      <c r="F70">
        <v>6780</v>
      </c>
      <c r="G70">
        <v>34.9</v>
      </c>
      <c r="H70">
        <v>516.5</v>
      </c>
      <c r="I70">
        <f t="shared" si="5"/>
        <v>11.616650532429816</v>
      </c>
      <c r="J70">
        <f t="shared" si="4"/>
        <v>11.616200727948579</v>
      </c>
      <c r="K70">
        <v>4.28125</v>
      </c>
      <c r="L70">
        <f>64.2*(5280/3600)</f>
        <v>94.16</v>
      </c>
      <c r="M70" s="2"/>
      <c r="N70" s="2"/>
      <c r="O70" s="2"/>
      <c r="P70" s="2"/>
    </row>
    <row r="71" spans="1:16" x14ac:dyDescent="0.3">
      <c r="A71" t="s">
        <v>97</v>
      </c>
      <c r="B71">
        <v>9.8800000000000008</v>
      </c>
      <c r="C71">
        <v>520</v>
      </c>
      <c r="D71" t="s">
        <v>40</v>
      </c>
      <c r="E71">
        <v>14.8</v>
      </c>
      <c r="F71">
        <v>6865</v>
      </c>
      <c r="G71">
        <v>31.45</v>
      </c>
      <c r="H71">
        <v>465.5</v>
      </c>
      <c r="I71">
        <f t="shared" si="5"/>
        <v>12.889366272824919</v>
      </c>
      <c r="J71">
        <f t="shared" si="4"/>
        <v>12.890473939758518</v>
      </c>
      <c r="K71">
        <v>5.4981249999999999</v>
      </c>
      <c r="L71">
        <f>55.3*(5280/3600)</f>
        <v>81.106666666666655</v>
      </c>
      <c r="M71" s="2"/>
      <c r="N71" s="2"/>
      <c r="O71" s="2"/>
      <c r="P71" s="2"/>
    </row>
    <row r="72" spans="1:16" x14ac:dyDescent="0.3">
      <c r="A72" t="s">
        <v>97</v>
      </c>
      <c r="B72">
        <v>9.8800000000000008</v>
      </c>
      <c r="C72">
        <v>520</v>
      </c>
      <c r="D72" t="s">
        <v>41</v>
      </c>
      <c r="E72">
        <v>14.8</v>
      </c>
      <c r="F72">
        <v>6850</v>
      </c>
      <c r="G72">
        <v>31.8</v>
      </c>
      <c r="H72">
        <v>470.6</v>
      </c>
      <c r="I72">
        <f t="shared" si="5"/>
        <v>12.74968125796855</v>
      </c>
      <c r="J72">
        <f t="shared" si="4"/>
        <v>12.748597654258029</v>
      </c>
      <c r="K72">
        <v>5.4587500000000002</v>
      </c>
      <c r="L72">
        <f>64.9*(5280/3600)</f>
        <v>95.186666666666667</v>
      </c>
      <c r="M72" s="2"/>
      <c r="N72" s="2"/>
      <c r="O72" s="2"/>
      <c r="P72" s="2"/>
    </row>
    <row r="73" spans="1:16" x14ac:dyDescent="0.3">
      <c r="A73" t="s">
        <v>97</v>
      </c>
      <c r="B73">
        <v>9.8800000000000008</v>
      </c>
      <c r="C73">
        <v>520</v>
      </c>
      <c r="D73" t="s">
        <v>42</v>
      </c>
      <c r="E73">
        <v>14.8</v>
      </c>
      <c r="F73">
        <v>6418</v>
      </c>
      <c r="G73">
        <v>47.26</v>
      </c>
      <c r="H73">
        <v>699.4</v>
      </c>
      <c r="I73">
        <f t="shared" si="5"/>
        <v>8.5787818129825553</v>
      </c>
      <c r="J73">
        <f t="shared" si="4"/>
        <v>8.5781930894076481</v>
      </c>
      <c r="K73">
        <v>4.74</v>
      </c>
      <c r="L73">
        <f>72.9*(5280/3600)</f>
        <v>106.92</v>
      </c>
      <c r="M73" s="2"/>
      <c r="N73" s="2"/>
      <c r="O73" s="2"/>
      <c r="P73" s="2"/>
    </row>
    <row r="74" spans="1:16" x14ac:dyDescent="0.3">
      <c r="A74" t="s">
        <v>97</v>
      </c>
      <c r="B74">
        <v>9.8800000000000008</v>
      </c>
      <c r="C74">
        <v>520</v>
      </c>
      <c r="D74" t="s">
        <v>43</v>
      </c>
      <c r="E74">
        <v>14.8</v>
      </c>
      <c r="F74">
        <v>6870</v>
      </c>
      <c r="G74">
        <v>31.27</v>
      </c>
      <c r="H74">
        <v>462.8</v>
      </c>
      <c r="I74">
        <f t="shared" si="5"/>
        <v>12.964563526361278</v>
      </c>
      <c r="J74">
        <f t="shared" si="4"/>
        <v>12.964675580601387</v>
      </c>
      <c r="K74">
        <v>6.0118749999999999</v>
      </c>
      <c r="L74">
        <f>39*(5280/3600)</f>
        <v>57.199999999999996</v>
      </c>
      <c r="M74" s="2"/>
      <c r="N74" s="2"/>
      <c r="O74" s="2"/>
      <c r="P74" s="2"/>
    </row>
    <row r="75" spans="1:16" x14ac:dyDescent="0.3">
      <c r="A75" t="s">
        <v>97</v>
      </c>
      <c r="B75">
        <v>9.8800000000000008</v>
      </c>
      <c r="C75">
        <v>520</v>
      </c>
      <c r="D75" t="s">
        <v>44</v>
      </c>
      <c r="E75">
        <v>14.8</v>
      </c>
      <c r="F75">
        <v>6865</v>
      </c>
      <c r="G75">
        <v>31.32</v>
      </c>
      <c r="H75">
        <v>463.6</v>
      </c>
      <c r="I75">
        <f t="shared" si="5"/>
        <v>12.942191544434857</v>
      </c>
      <c r="J75">
        <f t="shared" si="4"/>
        <v>12.943978461219839</v>
      </c>
      <c r="K75">
        <v>6.0143750000000002</v>
      </c>
      <c r="L75">
        <f>45.5*(5280/3600)</f>
        <v>66.733333333333334</v>
      </c>
      <c r="M75" s="2"/>
      <c r="N75" s="2"/>
      <c r="O75" s="2"/>
      <c r="P75" s="2"/>
    </row>
    <row r="76" spans="1:16" x14ac:dyDescent="0.3">
      <c r="A76" t="s">
        <v>97</v>
      </c>
      <c r="B76">
        <v>9.8800000000000008</v>
      </c>
      <c r="C76">
        <v>520</v>
      </c>
      <c r="D76" t="s">
        <v>0</v>
      </c>
      <c r="E76">
        <v>14.8</v>
      </c>
      <c r="F76">
        <v>6796</v>
      </c>
      <c r="G76">
        <v>34.19</v>
      </c>
      <c r="H76">
        <v>506</v>
      </c>
      <c r="I76">
        <f t="shared" si="5"/>
        <v>11.857707509881422</v>
      </c>
      <c r="J76">
        <f t="shared" si="4"/>
        <v>11.857426306095508</v>
      </c>
      <c r="K76">
        <v>6.1112500000000001</v>
      </c>
      <c r="L76">
        <f>51.5*(5280/3600)</f>
        <v>75.533333333333331</v>
      </c>
      <c r="M76" s="2"/>
      <c r="N76" s="2"/>
      <c r="O76" s="2"/>
      <c r="P76" s="2"/>
    </row>
    <row r="77" spans="1:16" x14ac:dyDescent="0.3">
      <c r="A77" t="s">
        <v>97</v>
      </c>
      <c r="B77">
        <v>9.8800000000000008</v>
      </c>
      <c r="C77">
        <v>520</v>
      </c>
      <c r="D77" t="s">
        <v>1</v>
      </c>
      <c r="E77">
        <v>14.8</v>
      </c>
      <c r="F77">
        <v>6445</v>
      </c>
      <c r="G77">
        <v>48.13</v>
      </c>
      <c r="H77">
        <v>712.3</v>
      </c>
      <c r="I77">
        <f t="shared" si="5"/>
        <v>8.4234170995367119</v>
      </c>
      <c r="J77">
        <f t="shared" si="4"/>
        <v>8.4231332932766545</v>
      </c>
      <c r="K77">
        <v>6.8674999999999997</v>
      </c>
      <c r="L77">
        <f>61*(5280/3600)</f>
        <v>89.466666666666654</v>
      </c>
      <c r="M77" s="2"/>
      <c r="N77" s="2"/>
      <c r="O77" s="2"/>
      <c r="P77" s="2"/>
    </row>
    <row r="78" spans="1:16" x14ac:dyDescent="0.3">
      <c r="A78" t="s">
        <v>97</v>
      </c>
      <c r="B78">
        <v>9.8800000000000008</v>
      </c>
      <c r="C78">
        <v>520</v>
      </c>
      <c r="D78" t="s">
        <v>2</v>
      </c>
      <c r="E78">
        <v>14.8</v>
      </c>
      <c r="F78">
        <v>6574</v>
      </c>
      <c r="G78">
        <v>41.96</v>
      </c>
      <c r="H78">
        <v>621</v>
      </c>
      <c r="I78">
        <f t="shared" si="5"/>
        <v>9.6618357487922708</v>
      </c>
      <c r="J78">
        <f t="shared" si="4"/>
        <v>9.6617112823023206</v>
      </c>
      <c r="K78">
        <v>7.5287499999999996</v>
      </c>
      <c r="L78">
        <f>43.6*(5280/3600)</f>
        <v>63.946666666666665</v>
      </c>
      <c r="M78" s="2"/>
      <c r="N78" s="2"/>
      <c r="O78" s="2"/>
      <c r="P78" s="2"/>
    </row>
    <row r="79" spans="1:16" x14ac:dyDescent="0.3">
      <c r="A79" t="s">
        <v>97</v>
      </c>
      <c r="B79">
        <v>9.8800000000000008</v>
      </c>
      <c r="C79">
        <v>520</v>
      </c>
      <c r="D79" t="s">
        <v>6</v>
      </c>
      <c r="E79">
        <v>14.8</v>
      </c>
      <c r="F79">
        <v>6500</v>
      </c>
      <c r="G79">
        <v>45.78</v>
      </c>
      <c r="H79">
        <v>677.5</v>
      </c>
      <c r="I79">
        <f t="shared" si="5"/>
        <v>8.8560885608856097</v>
      </c>
      <c r="J79">
        <f t="shared" si="4"/>
        <v>8.8555134426694053</v>
      </c>
      <c r="K79">
        <v>8.3337500000000002</v>
      </c>
      <c r="L79">
        <f>43.1*(5280/3600)</f>
        <v>63.213333333333331</v>
      </c>
      <c r="M79" s="2"/>
      <c r="N79" s="2"/>
      <c r="O79" s="2"/>
      <c r="P79" s="2"/>
    </row>
    <row r="80" spans="1:16" x14ac:dyDescent="0.3">
      <c r="A80" t="s">
        <v>97</v>
      </c>
      <c r="B80">
        <v>9.8800000000000008</v>
      </c>
      <c r="C80">
        <v>520</v>
      </c>
      <c r="D80" t="s">
        <v>46</v>
      </c>
      <c r="E80">
        <v>14.8</v>
      </c>
      <c r="F80">
        <v>6780</v>
      </c>
      <c r="G80">
        <v>35.090000000000003</v>
      </c>
      <c r="H80">
        <v>519.4</v>
      </c>
      <c r="I80">
        <f t="shared" si="5"/>
        <v>11.551790527531768</v>
      </c>
      <c r="J80">
        <f t="shared" si="4"/>
        <v>11.553303089353243</v>
      </c>
      <c r="K80">
        <v>4.0456250000000002</v>
      </c>
      <c r="L80">
        <f>64.2*(5280/3600)</f>
        <v>94.16</v>
      </c>
      <c r="M80" s="2"/>
      <c r="N80" s="2"/>
      <c r="O80" s="2"/>
      <c r="P80" s="2"/>
    </row>
    <row r="81" spans="1:16" x14ac:dyDescent="0.3">
      <c r="A81" t="s">
        <v>97</v>
      </c>
      <c r="B81">
        <v>9.8800000000000008</v>
      </c>
      <c r="C81">
        <v>520</v>
      </c>
      <c r="D81" t="s">
        <v>49</v>
      </c>
      <c r="E81">
        <v>14.8</v>
      </c>
      <c r="F81">
        <v>6610</v>
      </c>
      <c r="G81">
        <v>41.09</v>
      </c>
      <c r="H81">
        <v>608.1</v>
      </c>
      <c r="I81">
        <f t="shared" si="5"/>
        <v>9.8667982239763194</v>
      </c>
      <c r="J81">
        <f t="shared" si="4"/>
        <v>9.8662790315260498</v>
      </c>
      <c r="K81">
        <v>5.6393750000000002</v>
      </c>
      <c r="L81">
        <f>62.6*(5280/3600)</f>
        <v>91.813333333333333</v>
      </c>
      <c r="M81" s="2"/>
      <c r="N81" s="2"/>
      <c r="O81" s="2"/>
      <c r="P81" s="2"/>
    </row>
    <row r="82" spans="1:16" x14ac:dyDescent="0.3">
      <c r="A82" t="s">
        <v>97</v>
      </c>
      <c r="B82">
        <v>9.8800000000000008</v>
      </c>
      <c r="C82">
        <v>520</v>
      </c>
      <c r="D82" t="s">
        <v>50</v>
      </c>
      <c r="E82">
        <v>14.8</v>
      </c>
      <c r="F82">
        <v>6842</v>
      </c>
      <c r="G82">
        <v>32.270000000000003</v>
      </c>
      <c r="H82">
        <v>477.6</v>
      </c>
      <c r="I82">
        <f t="shared" si="5"/>
        <v>12.562814070351758</v>
      </c>
      <c r="J82">
        <f t="shared" si="4"/>
        <v>12.562919287431216</v>
      </c>
      <c r="K82">
        <v>5.8574999999999999</v>
      </c>
      <c r="L82">
        <f>38.9*(5280/3600)</f>
        <v>57.053333333333327</v>
      </c>
      <c r="M82" s="2"/>
      <c r="N82" s="2"/>
      <c r="O82" s="2"/>
      <c r="P82" s="2"/>
    </row>
    <row r="83" spans="1:16" x14ac:dyDescent="0.3">
      <c r="A83" t="s">
        <v>97</v>
      </c>
      <c r="B83">
        <v>9.8800000000000008</v>
      </c>
      <c r="C83">
        <v>520</v>
      </c>
      <c r="D83" t="s">
        <v>51</v>
      </c>
      <c r="E83">
        <v>14.8</v>
      </c>
      <c r="F83">
        <v>6817</v>
      </c>
      <c r="G83">
        <v>33.43</v>
      </c>
      <c r="H83">
        <v>494.7</v>
      </c>
      <c r="I83">
        <f t="shared" si="5"/>
        <v>12.12856276531231</v>
      </c>
      <c r="J83">
        <f t="shared" si="4"/>
        <v>12.126993879910422</v>
      </c>
      <c r="K83">
        <v>6.1224999999999996</v>
      </c>
      <c r="L83">
        <f>45.2*(5280/3600)</f>
        <v>66.293333333333337</v>
      </c>
      <c r="M83" s="2"/>
      <c r="N83" s="2"/>
      <c r="O83" s="2"/>
      <c r="P83" s="2"/>
    </row>
    <row r="84" spans="1:16" x14ac:dyDescent="0.3">
      <c r="A84" t="s">
        <v>97</v>
      </c>
      <c r="B84">
        <v>9.8800000000000008</v>
      </c>
      <c r="C84">
        <v>520</v>
      </c>
      <c r="D84" t="s">
        <v>16</v>
      </c>
      <c r="E84">
        <v>14.8</v>
      </c>
      <c r="F84">
        <v>6750</v>
      </c>
      <c r="G84">
        <v>36.450000000000003</v>
      </c>
      <c r="H84">
        <v>539.5</v>
      </c>
      <c r="I84">
        <f t="shared" si="5"/>
        <v>11.121408711770156</v>
      </c>
      <c r="J84">
        <f t="shared" si="4"/>
        <v>11.122233344455566</v>
      </c>
      <c r="K84">
        <v>5.9856249999999998</v>
      </c>
      <c r="L84">
        <f>51.1*(5280/3600)</f>
        <v>74.946666666666658</v>
      </c>
      <c r="M84" s="2"/>
      <c r="N84" s="2"/>
      <c r="O84" s="2"/>
      <c r="P84" s="2"/>
    </row>
    <row r="85" spans="1:16" x14ac:dyDescent="0.3">
      <c r="A85" t="s">
        <v>97</v>
      </c>
      <c r="B85">
        <v>9.8800000000000008</v>
      </c>
      <c r="C85">
        <v>520</v>
      </c>
      <c r="D85" t="s">
        <v>17</v>
      </c>
      <c r="E85">
        <v>14.8</v>
      </c>
      <c r="F85">
        <v>6406</v>
      </c>
      <c r="G85">
        <v>47.84</v>
      </c>
      <c r="H85">
        <v>708.1</v>
      </c>
      <c r="I85">
        <f t="shared" si="5"/>
        <v>8.4733794661770929</v>
      </c>
      <c r="J85">
        <f t="shared" si="4"/>
        <v>8.47419325680195</v>
      </c>
      <c r="K85">
        <v>6.0806250000000004</v>
      </c>
      <c r="L85">
        <f>60.7*(5280/3600)</f>
        <v>89.026666666666671</v>
      </c>
      <c r="M85" s="2"/>
      <c r="N85" s="2"/>
      <c r="O85" s="2"/>
      <c r="P85" s="2"/>
    </row>
    <row r="86" spans="1:16" x14ac:dyDescent="0.3">
      <c r="A86" t="s">
        <v>97</v>
      </c>
      <c r="B86">
        <v>9.8800000000000008</v>
      </c>
      <c r="C86">
        <v>520</v>
      </c>
      <c r="D86" t="s">
        <v>52</v>
      </c>
      <c r="E86">
        <v>14.8</v>
      </c>
      <c r="F86">
        <v>6725</v>
      </c>
      <c r="G86">
        <v>37.53</v>
      </c>
      <c r="H86">
        <v>555.4</v>
      </c>
      <c r="I86">
        <f t="shared" si="5"/>
        <v>10.803024846957147</v>
      </c>
      <c r="J86">
        <f t="shared" si="4"/>
        <v>10.802169075550371</v>
      </c>
      <c r="K86">
        <v>6.8781249999999998</v>
      </c>
      <c r="L86">
        <f>38.2*(5280/3600)</f>
        <v>56.026666666666664</v>
      </c>
      <c r="M86" s="2"/>
      <c r="N86" s="2"/>
      <c r="O86" s="2"/>
      <c r="P86" s="2"/>
    </row>
    <row r="87" spans="1:16" x14ac:dyDescent="0.3">
      <c r="A87" t="s">
        <v>97</v>
      </c>
      <c r="B87">
        <v>9.8800000000000008</v>
      </c>
      <c r="C87">
        <v>520</v>
      </c>
      <c r="D87" t="s">
        <v>18</v>
      </c>
      <c r="E87">
        <v>14.8</v>
      </c>
      <c r="F87">
        <v>6614</v>
      </c>
      <c r="G87">
        <v>41.22</v>
      </c>
      <c r="H87">
        <v>610</v>
      </c>
      <c r="I87">
        <f t="shared" si="5"/>
        <v>9.8360655737704903</v>
      </c>
      <c r="J87">
        <f t="shared" si="4"/>
        <v>9.8351626735906201</v>
      </c>
      <c r="K87">
        <v>7.1362500000000004</v>
      </c>
      <c r="L87">
        <f>43.8*(5280/3600)</f>
        <v>64.239999999999995</v>
      </c>
      <c r="M87" s="2"/>
      <c r="N87" s="2"/>
      <c r="O87" s="2"/>
      <c r="P87" s="2"/>
    </row>
    <row r="88" spans="1:16" x14ac:dyDescent="0.3">
      <c r="A88" t="s">
        <v>97</v>
      </c>
      <c r="B88">
        <v>9.8800000000000008</v>
      </c>
      <c r="C88">
        <v>520</v>
      </c>
      <c r="D88" t="s">
        <v>19</v>
      </c>
      <c r="E88">
        <v>14.8</v>
      </c>
      <c r="F88">
        <v>6479</v>
      </c>
      <c r="G88">
        <v>47.05</v>
      </c>
      <c r="H88">
        <v>696.4</v>
      </c>
      <c r="I88">
        <f t="shared" si="5"/>
        <v>8.6157380815623199</v>
      </c>
      <c r="J88">
        <f t="shared" si="4"/>
        <v>8.6164804549501675</v>
      </c>
      <c r="K88">
        <v>7.4537500000000003</v>
      </c>
      <c r="L88">
        <f>49.1*(5280/3600)</f>
        <v>72.013333333333335</v>
      </c>
      <c r="M88" s="2"/>
      <c r="N88" s="2"/>
      <c r="O88" s="2"/>
      <c r="P88" s="2"/>
    </row>
    <row r="89" spans="1:16" x14ac:dyDescent="0.3">
      <c r="A89" t="s">
        <v>97</v>
      </c>
      <c r="B89">
        <v>9.8800000000000008</v>
      </c>
      <c r="C89">
        <v>520</v>
      </c>
      <c r="D89" t="s">
        <v>21</v>
      </c>
      <c r="E89">
        <v>14.8</v>
      </c>
      <c r="F89">
        <v>6465</v>
      </c>
      <c r="G89">
        <v>47.49</v>
      </c>
      <c r="H89">
        <v>702.8</v>
      </c>
      <c r="I89">
        <f t="shared" si="5"/>
        <v>8.537279453614115</v>
      </c>
      <c r="J89">
        <f t="shared" si="4"/>
        <v>8.5366478291304553</v>
      </c>
      <c r="K89">
        <v>7.8724999999999996</v>
      </c>
      <c r="L89">
        <f>36.7*(5280/3600)</f>
        <v>53.826666666666668</v>
      </c>
      <c r="M89" s="2"/>
      <c r="N89" s="2"/>
      <c r="O89" s="2"/>
      <c r="P89" s="2"/>
    </row>
    <row r="90" spans="1:16" x14ac:dyDescent="0.3">
      <c r="A90" t="s">
        <v>97</v>
      </c>
      <c r="B90">
        <v>9.8800000000000008</v>
      </c>
      <c r="C90">
        <v>520</v>
      </c>
      <c r="D90" t="s">
        <v>26</v>
      </c>
      <c r="E90">
        <v>14.8</v>
      </c>
      <c r="F90">
        <v>6754</v>
      </c>
      <c r="G90">
        <v>36.369999999999997</v>
      </c>
      <c r="H90">
        <v>538.20000000000005</v>
      </c>
      <c r="I90">
        <f t="shared" si="5"/>
        <v>11.148272017837234</v>
      </c>
      <c r="J90">
        <f t="shared" si="4"/>
        <v>11.146697976502759</v>
      </c>
      <c r="K90">
        <v>6.3362499999999997</v>
      </c>
      <c r="L90">
        <f>44.8*(5280/3600)</f>
        <v>65.706666666666663</v>
      </c>
      <c r="M90" s="2"/>
      <c r="N90" s="2"/>
      <c r="O90" s="2"/>
      <c r="P90" s="2"/>
    </row>
    <row r="91" spans="1:16" x14ac:dyDescent="0.3">
      <c r="A91" t="s">
        <v>97</v>
      </c>
      <c r="B91">
        <v>9.8800000000000008</v>
      </c>
      <c r="C91">
        <v>520</v>
      </c>
      <c r="D91" t="s">
        <v>27</v>
      </c>
      <c r="E91">
        <v>14.8</v>
      </c>
      <c r="F91">
        <v>6543</v>
      </c>
      <c r="G91">
        <v>43.33</v>
      </c>
      <c r="H91">
        <v>641.29999999999995</v>
      </c>
      <c r="I91">
        <f t="shared" si="5"/>
        <v>9.3559956338687051</v>
      </c>
      <c r="J91">
        <f t="shared" si="4"/>
        <v>9.356229065437466</v>
      </c>
      <c r="K91">
        <v>7.0968749999999998</v>
      </c>
      <c r="L91">
        <f>55.8*(5280/3600)</f>
        <v>81.839999999999989</v>
      </c>
      <c r="M91" s="2"/>
      <c r="N91" s="2"/>
      <c r="O91" s="2"/>
      <c r="P91" s="2"/>
    </row>
    <row r="92" spans="1:16" x14ac:dyDescent="0.3">
      <c r="A92" t="s">
        <v>97</v>
      </c>
      <c r="B92">
        <v>9.8800000000000008</v>
      </c>
      <c r="C92">
        <v>520</v>
      </c>
      <c r="D92" t="s">
        <v>28</v>
      </c>
      <c r="E92">
        <v>14.8</v>
      </c>
      <c r="F92">
        <v>6511</v>
      </c>
      <c r="G92">
        <v>45.63</v>
      </c>
      <c r="H92">
        <v>675.3</v>
      </c>
      <c r="I92">
        <f t="shared" si="5"/>
        <v>8.8849400266548209</v>
      </c>
      <c r="J92">
        <f t="shared" si="4"/>
        <v>8.8846242692396533</v>
      </c>
      <c r="K92">
        <v>7.6325000000000003</v>
      </c>
      <c r="L92">
        <f>43.2*(5280/3600)</f>
        <v>63.36</v>
      </c>
      <c r="M92" s="2"/>
      <c r="N92" s="2"/>
      <c r="O92" s="2"/>
      <c r="P92" s="2"/>
    </row>
    <row r="93" spans="1:16" ht="15.6" x14ac:dyDescent="0.3">
      <c r="A93" t="s">
        <v>97</v>
      </c>
      <c r="B93">
        <v>9.8800000000000008</v>
      </c>
      <c r="C93">
        <v>520</v>
      </c>
      <c r="D93" t="s">
        <v>57</v>
      </c>
      <c r="E93">
        <v>18.5</v>
      </c>
      <c r="F93">
        <v>8730</v>
      </c>
      <c r="G93">
        <v>31.07</v>
      </c>
      <c r="H93">
        <v>574.79999999999995</v>
      </c>
      <c r="I93">
        <f t="shared" si="5"/>
        <v>10.438413361169104</v>
      </c>
      <c r="J93">
        <f t="shared" si="4"/>
        <v>10.438504162353535</v>
      </c>
      <c r="K93">
        <v>3.92</v>
      </c>
      <c r="L93">
        <f>82.7*(5280/3600)</f>
        <v>121.29333333333332</v>
      </c>
      <c r="M93" s="2"/>
      <c r="N93" s="3"/>
      <c r="O93" s="2"/>
      <c r="P93" s="4"/>
    </row>
    <row r="94" spans="1:16" ht="15.6" x14ac:dyDescent="0.3">
      <c r="A94" t="s">
        <v>97</v>
      </c>
      <c r="B94">
        <v>9.8800000000000008</v>
      </c>
      <c r="C94">
        <v>520</v>
      </c>
      <c r="D94" t="s">
        <v>32</v>
      </c>
      <c r="E94">
        <v>18.5</v>
      </c>
      <c r="F94">
        <v>8705</v>
      </c>
      <c r="G94">
        <v>31.87</v>
      </c>
      <c r="H94">
        <v>589.6</v>
      </c>
      <c r="I94">
        <f t="shared" si="5"/>
        <v>10.1763907734057</v>
      </c>
      <c r="J94">
        <f t="shared" si="4"/>
        <v>10.176477073245193</v>
      </c>
      <c r="K94">
        <v>4.76</v>
      </c>
      <c r="L94">
        <f>65.9*(5280/3600)</f>
        <v>96.653333333333336</v>
      </c>
      <c r="M94" s="2"/>
      <c r="N94" s="3"/>
      <c r="O94" s="2"/>
      <c r="P94" s="4"/>
    </row>
    <row r="95" spans="1:16" ht="15.6" x14ac:dyDescent="0.3">
      <c r="A95" t="s">
        <v>97</v>
      </c>
      <c r="B95">
        <v>9.8800000000000008</v>
      </c>
      <c r="C95">
        <v>520</v>
      </c>
      <c r="D95" t="s">
        <v>33</v>
      </c>
      <c r="E95">
        <v>18.5</v>
      </c>
      <c r="F95">
        <v>8475</v>
      </c>
      <c r="G95">
        <v>38.92</v>
      </c>
      <c r="H95">
        <v>720.1</v>
      </c>
      <c r="I95">
        <f t="shared" si="5"/>
        <v>8.3321760866546306</v>
      </c>
      <c r="J95">
        <f t="shared" si="4"/>
        <v>8.3331018582817133</v>
      </c>
      <c r="K95">
        <v>5.1612499999999999</v>
      </c>
      <c r="L95">
        <f>80.3*(5280/3600)</f>
        <v>117.77333333333333</v>
      </c>
      <c r="M95" s="2"/>
      <c r="N95" s="3"/>
      <c r="O95" s="2"/>
      <c r="P95" s="4"/>
    </row>
    <row r="96" spans="1:16" ht="15.6" x14ac:dyDescent="0.3">
      <c r="A96" t="s">
        <v>97</v>
      </c>
      <c r="B96">
        <v>9.8800000000000008</v>
      </c>
      <c r="C96">
        <v>520</v>
      </c>
      <c r="D96" t="s">
        <v>34</v>
      </c>
      <c r="E96">
        <v>18.5</v>
      </c>
      <c r="F96">
        <v>8314</v>
      </c>
      <c r="G96">
        <v>43.64</v>
      </c>
      <c r="H96">
        <v>807.3</v>
      </c>
      <c r="I96">
        <f t="shared" si="5"/>
        <v>7.4321813452248247</v>
      </c>
      <c r="J96">
        <f t="shared" si="4"/>
        <v>7.4318131146728765</v>
      </c>
      <c r="K96">
        <v>4.7374999999999998</v>
      </c>
      <c r="L96">
        <f>94.5*(5280/3600)</f>
        <v>138.6</v>
      </c>
      <c r="M96" s="2"/>
      <c r="N96" s="3"/>
      <c r="O96" s="2"/>
      <c r="P96" s="4"/>
    </row>
    <row r="97" spans="1:16" ht="15.6" x14ac:dyDescent="0.3">
      <c r="A97" t="s">
        <v>97</v>
      </c>
      <c r="B97">
        <v>9.8800000000000008</v>
      </c>
      <c r="C97">
        <v>520</v>
      </c>
      <c r="D97" t="s">
        <v>35</v>
      </c>
      <c r="E97">
        <v>18.5</v>
      </c>
      <c r="F97">
        <v>8570</v>
      </c>
      <c r="G97">
        <v>35.85</v>
      </c>
      <c r="H97">
        <v>663.2</v>
      </c>
      <c r="I97">
        <f t="shared" si="5"/>
        <v>9.0470446320868501</v>
      </c>
      <c r="J97">
        <f t="shared" si="4"/>
        <v>9.0467036073730629</v>
      </c>
      <c r="K97">
        <v>6.6268750000000001</v>
      </c>
      <c r="L97">
        <f>52.8*(5280/3600)</f>
        <v>77.439999999999984</v>
      </c>
      <c r="M97" s="2"/>
      <c r="N97" s="3"/>
      <c r="O97" s="2"/>
      <c r="P97" s="4"/>
    </row>
    <row r="98" spans="1:16" ht="15.6" x14ac:dyDescent="0.3">
      <c r="A98" t="s">
        <v>97</v>
      </c>
      <c r="B98">
        <v>9.8800000000000008</v>
      </c>
      <c r="C98">
        <v>520</v>
      </c>
      <c r="D98" t="s">
        <v>36</v>
      </c>
      <c r="E98">
        <v>18.5</v>
      </c>
      <c r="F98">
        <v>8456</v>
      </c>
      <c r="G98">
        <v>39.49</v>
      </c>
      <c r="H98">
        <v>730.5</v>
      </c>
      <c r="I98">
        <f t="shared" si="5"/>
        <v>8.2135523613963031</v>
      </c>
      <c r="J98">
        <f t="shared" si="4"/>
        <v>8.2128215832951188</v>
      </c>
      <c r="K98">
        <v>6.6687500000000002</v>
      </c>
      <c r="L98">
        <f>64.1*(5280/3600)</f>
        <v>94.013333333333321</v>
      </c>
      <c r="M98" s="2"/>
      <c r="N98" s="3"/>
      <c r="O98" s="2"/>
      <c r="P98" s="4"/>
    </row>
    <row r="99" spans="1:16" ht="15.6" x14ac:dyDescent="0.3">
      <c r="A99" t="s">
        <v>97</v>
      </c>
      <c r="B99">
        <v>9.8800000000000008</v>
      </c>
      <c r="C99">
        <v>520</v>
      </c>
      <c r="D99" t="s">
        <v>38</v>
      </c>
      <c r="E99">
        <v>18.5</v>
      </c>
      <c r="F99">
        <v>8659</v>
      </c>
      <c r="G99">
        <v>33.119999999999997</v>
      </c>
      <c r="H99">
        <v>612.79999999999995</v>
      </c>
      <c r="I99">
        <f t="shared" si="5"/>
        <v>9.7911227154047005</v>
      </c>
      <c r="J99">
        <f t="shared" si="4"/>
        <v>9.7924010967489235</v>
      </c>
      <c r="K99">
        <v>7.0043749999999996</v>
      </c>
      <c r="L99">
        <f>49.2*(5280/3600)</f>
        <v>72.16</v>
      </c>
      <c r="M99" s="2"/>
      <c r="N99" s="3"/>
      <c r="O99" s="2"/>
      <c r="P99" s="4"/>
    </row>
    <row r="100" spans="1:16" ht="15.6" x14ac:dyDescent="0.3">
      <c r="A100" t="s">
        <v>97</v>
      </c>
      <c r="B100">
        <v>9.8800000000000008</v>
      </c>
      <c r="C100">
        <v>520</v>
      </c>
      <c r="D100" t="s">
        <v>39</v>
      </c>
      <c r="E100">
        <v>18.5</v>
      </c>
      <c r="F100">
        <v>8234</v>
      </c>
      <c r="G100">
        <v>46.51</v>
      </c>
      <c r="H100">
        <v>860.5</v>
      </c>
      <c r="I100">
        <f t="shared" si="5"/>
        <v>6.972690296339338</v>
      </c>
      <c r="J100">
        <f t="shared" si="4"/>
        <v>6.9732170355692178</v>
      </c>
      <c r="K100">
        <v>7.7931249999999999</v>
      </c>
      <c r="L100">
        <f>54.6*(5280/3600)</f>
        <v>80.08</v>
      </c>
      <c r="M100" s="2"/>
      <c r="N100" s="3"/>
      <c r="O100" s="2"/>
      <c r="P100" s="4"/>
    </row>
    <row r="101" spans="1:16" ht="15.6" x14ac:dyDescent="0.3">
      <c r="A101" t="s">
        <v>97</v>
      </c>
      <c r="B101">
        <v>9.8800000000000008</v>
      </c>
      <c r="C101">
        <v>520</v>
      </c>
      <c r="D101" t="s">
        <v>40</v>
      </c>
      <c r="E101">
        <v>18.5</v>
      </c>
      <c r="F101">
        <v>8235</v>
      </c>
      <c r="G101">
        <v>47.99</v>
      </c>
      <c r="H101">
        <v>887.7</v>
      </c>
      <c r="I101">
        <f t="shared" si="5"/>
        <v>6.7590402162892866</v>
      </c>
      <c r="J101">
        <f t="shared" si="4"/>
        <v>6.7581647077375351</v>
      </c>
      <c r="K101">
        <v>8.0512499999999996</v>
      </c>
      <c r="L101">
        <f>66.3*(5280/3600)</f>
        <v>97.24</v>
      </c>
      <c r="M101" s="2"/>
      <c r="N101" s="3"/>
      <c r="O101" s="2"/>
      <c r="P101" s="4"/>
    </row>
    <row r="102" spans="1:16" ht="15.6" x14ac:dyDescent="0.3">
      <c r="A102" t="s">
        <v>97</v>
      </c>
      <c r="B102">
        <v>9.8800000000000008</v>
      </c>
      <c r="C102">
        <v>520</v>
      </c>
      <c r="D102" t="s">
        <v>41</v>
      </c>
      <c r="E102">
        <v>18.5</v>
      </c>
      <c r="F102">
        <v>8234</v>
      </c>
      <c r="G102">
        <v>47.87</v>
      </c>
      <c r="H102">
        <v>885.6</v>
      </c>
      <c r="I102">
        <f t="shared" si="5"/>
        <v>6.7750677506775068</v>
      </c>
      <c r="J102">
        <f t="shared" si="4"/>
        <v>6.7751060021793261</v>
      </c>
      <c r="K102">
        <v>7.9762500000000003</v>
      </c>
      <c r="L102">
        <f>78*(5280/3600)</f>
        <v>114.39999999999999</v>
      </c>
      <c r="M102" s="2"/>
      <c r="N102" s="3"/>
      <c r="O102" s="2"/>
      <c r="P102" s="4"/>
    </row>
    <row r="103" spans="1:16" ht="15.6" x14ac:dyDescent="0.3">
      <c r="A103" t="s">
        <v>97</v>
      </c>
      <c r="B103">
        <v>9.8800000000000008</v>
      </c>
      <c r="C103">
        <v>520</v>
      </c>
      <c r="D103" t="s">
        <v>60</v>
      </c>
      <c r="E103">
        <v>18.5</v>
      </c>
      <c r="F103">
        <v>8575</v>
      </c>
      <c r="G103">
        <v>35.770000000000003</v>
      </c>
      <c r="H103">
        <v>661.7</v>
      </c>
      <c r="I103">
        <f t="shared" si="5"/>
        <v>9.0675532718754717</v>
      </c>
      <c r="J103">
        <f t="shared" si="4"/>
        <v>9.066936659891649</v>
      </c>
      <c r="K103">
        <v>7.7737499999999997</v>
      </c>
      <c r="L103">
        <f>32.5*(5280/3600)</f>
        <v>47.666666666666664</v>
      </c>
      <c r="M103" s="2"/>
      <c r="N103" s="3"/>
      <c r="O103" s="2"/>
      <c r="P103" s="4"/>
    </row>
    <row r="104" spans="1:16" ht="15.6" x14ac:dyDescent="0.3">
      <c r="A104" t="s">
        <v>97</v>
      </c>
      <c r="B104">
        <v>9.8800000000000008</v>
      </c>
      <c r="C104">
        <v>520</v>
      </c>
      <c r="D104" t="s">
        <v>43</v>
      </c>
      <c r="E104">
        <v>18.5</v>
      </c>
      <c r="F104">
        <v>8236</v>
      </c>
      <c r="G104">
        <v>48.06</v>
      </c>
      <c r="H104">
        <v>889.1</v>
      </c>
      <c r="I104">
        <f t="shared" si="5"/>
        <v>6.7483972556517831</v>
      </c>
      <c r="J104">
        <f t="shared" si="4"/>
        <v>6.7483213550629282</v>
      </c>
      <c r="K104">
        <v>9.1206250000000004</v>
      </c>
      <c r="L104">
        <f>46.8*(5280/3600)</f>
        <v>68.639999999999986</v>
      </c>
      <c r="M104" s="2"/>
      <c r="N104" s="3"/>
      <c r="O104" s="2"/>
      <c r="P104" s="4"/>
    </row>
    <row r="105" spans="1:16" ht="15.6" x14ac:dyDescent="0.3">
      <c r="A105" t="s">
        <v>97</v>
      </c>
      <c r="B105">
        <v>9.8800000000000008</v>
      </c>
      <c r="C105">
        <v>520</v>
      </c>
      <c r="D105" t="s">
        <v>44</v>
      </c>
      <c r="E105">
        <v>18.5</v>
      </c>
      <c r="F105">
        <v>8268</v>
      </c>
      <c r="G105">
        <v>47.06</v>
      </c>
      <c r="H105">
        <v>870.6</v>
      </c>
      <c r="I105">
        <f t="shared" si="5"/>
        <v>6.8917987594762229</v>
      </c>
      <c r="J105">
        <f t="shared" si="4"/>
        <v>6.8917195989019193</v>
      </c>
      <c r="K105">
        <v>9.0456249999999994</v>
      </c>
      <c r="L105">
        <f>54.8*(5280/3600)</f>
        <v>80.373333333333321</v>
      </c>
      <c r="M105" s="2"/>
      <c r="N105" s="3"/>
      <c r="O105" s="2"/>
      <c r="P105" s="4"/>
    </row>
    <row r="106" spans="1:16" ht="15.6" x14ac:dyDescent="0.3">
      <c r="A106" t="s">
        <v>97</v>
      </c>
      <c r="B106">
        <v>9.8800000000000008</v>
      </c>
      <c r="C106">
        <v>520</v>
      </c>
      <c r="D106" t="s">
        <v>64</v>
      </c>
      <c r="E106">
        <v>18.5</v>
      </c>
      <c r="F106">
        <v>8656</v>
      </c>
      <c r="G106">
        <v>33.35</v>
      </c>
      <c r="H106">
        <v>617</v>
      </c>
      <c r="I106">
        <f t="shared" si="5"/>
        <v>9.7244732576985413</v>
      </c>
      <c r="J106">
        <f t="shared" si="4"/>
        <v>9.7248672960816887</v>
      </c>
      <c r="K106">
        <v>4.3274999999999997</v>
      </c>
      <c r="L106">
        <f>65.6*(5280/3600)</f>
        <v>96.213333333333324</v>
      </c>
      <c r="M106" s="2"/>
      <c r="O106" s="2"/>
      <c r="P106" s="4"/>
    </row>
    <row r="107" spans="1:16" ht="15.6" x14ac:dyDescent="0.3">
      <c r="A107" t="s">
        <v>97</v>
      </c>
      <c r="B107">
        <v>9.8800000000000008</v>
      </c>
      <c r="C107">
        <v>520</v>
      </c>
      <c r="D107" t="s">
        <v>45</v>
      </c>
      <c r="E107">
        <v>18.5</v>
      </c>
      <c r="F107">
        <v>8500</v>
      </c>
      <c r="G107">
        <v>38.229999999999997</v>
      </c>
      <c r="H107">
        <v>707.3</v>
      </c>
      <c r="I107">
        <f t="shared" si="5"/>
        <v>8.4829633818747343</v>
      </c>
      <c r="J107">
        <f t="shared" si="4"/>
        <v>8.4835031212221903</v>
      </c>
      <c r="K107">
        <v>5.9612499999999997</v>
      </c>
      <c r="L107">
        <f>64.4*(5280/3600)</f>
        <v>94.453333333333333</v>
      </c>
      <c r="M107" s="2"/>
      <c r="O107" s="2"/>
      <c r="P107" s="4"/>
    </row>
    <row r="108" spans="1:16" ht="15.6" x14ac:dyDescent="0.3">
      <c r="A108" t="s">
        <v>97</v>
      </c>
      <c r="B108">
        <v>9.8800000000000008</v>
      </c>
      <c r="C108">
        <v>520</v>
      </c>
      <c r="D108" t="s">
        <v>47</v>
      </c>
      <c r="E108">
        <v>18.5</v>
      </c>
      <c r="F108">
        <v>8541</v>
      </c>
      <c r="G108">
        <v>37.51</v>
      </c>
      <c r="H108">
        <v>693.9</v>
      </c>
      <c r="I108">
        <f t="shared" si="5"/>
        <v>8.6467790747946385</v>
      </c>
      <c r="J108">
        <f t="shared" si="4"/>
        <v>8.6463429571933972</v>
      </c>
      <c r="K108">
        <v>6.8606249999999998</v>
      </c>
      <c r="L108">
        <f>48.5*(5280/3600)</f>
        <v>71.133333333333326</v>
      </c>
      <c r="M108" s="2"/>
      <c r="O108" s="2"/>
      <c r="P108" s="4"/>
    </row>
    <row r="109" spans="1:16" ht="15.6" x14ac:dyDescent="0.3">
      <c r="A109" t="s">
        <v>97</v>
      </c>
      <c r="B109">
        <v>9.8800000000000008</v>
      </c>
      <c r="C109">
        <v>520</v>
      </c>
      <c r="D109" t="s">
        <v>48</v>
      </c>
      <c r="E109">
        <v>18.5</v>
      </c>
      <c r="F109">
        <v>8308</v>
      </c>
      <c r="G109">
        <v>44.01</v>
      </c>
      <c r="H109">
        <v>814.2</v>
      </c>
      <c r="I109">
        <f t="shared" si="5"/>
        <v>7.3691967575534258</v>
      </c>
      <c r="J109">
        <f t="shared" si="4"/>
        <v>7.3693325227067561</v>
      </c>
      <c r="K109">
        <v>7.8018749999999999</v>
      </c>
      <c r="L109">
        <f>62.9*(5280/3600)</f>
        <v>92.25333333333333</v>
      </c>
      <c r="M109" s="2"/>
      <c r="O109" s="2"/>
      <c r="P109" s="4"/>
    </row>
    <row r="110" spans="1:16" ht="15.6" x14ac:dyDescent="0.3">
      <c r="A110" t="s">
        <v>97</v>
      </c>
      <c r="B110">
        <v>9.8800000000000008</v>
      </c>
      <c r="C110">
        <v>520</v>
      </c>
      <c r="D110" t="s">
        <v>50</v>
      </c>
      <c r="E110">
        <v>18.5</v>
      </c>
      <c r="F110">
        <v>8255</v>
      </c>
      <c r="G110">
        <v>47.4</v>
      </c>
      <c r="H110">
        <v>877</v>
      </c>
      <c r="I110">
        <f t="shared" si="5"/>
        <v>6.8415051311288488</v>
      </c>
      <c r="J110">
        <f t="shared" si="4"/>
        <v>6.8422853232979817</v>
      </c>
      <c r="K110">
        <v>8.66</v>
      </c>
      <c r="L110">
        <f>46.9*(5280/3600)</f>
        <v>68.786666666666662</v>
      </c>
      <c r="M110" s="2"/>
      <c r="O110" s="2"/>
      <c r="P110" s="4"/>
    </row>
    <row r="111" spans="1:16" ht="15.6" x14ac:dyDescent="0.3">
      <c r="A111" t="s">
        <v>97</v>
      </c>
      <c r="B111">
        <v>9.8800000000000008</v>
      </c>
      <c r="C111">
        <v>520</v>
      </c>
      <c r="D111" t="s">
        <v>51</v>
      </c>
      <c r="E111">
        <v>18.5</v>
      </c>
      <c r="F111">
        <v>8223</v>
      </c>
      <c r="G111">
        <v>48.38</v>
      </c>
      <c r="H111">
        <v>895</v>
      </c>
      <c r="I111">
        <f t="shared" si="5"/>
        <v>6.7039106145251388</v>
      </c>
      <c r="J111">
        <f t="shared" si="4"/>
        <v>6.7036859099694972</v>
      </c>
      <c r="K111">
        <v>9.0918749999999999</v>
      </c>
      <c r="L111">
        <f>54.5*(5280/3600)</f>
        <v>79.933333333333323</v>
      </c>
      <c r="M111" s="2"/>
      <c r="O111" s="2"/>
      <c r="P111" s="4"/>
    </row>
    <row r="112" spans="1:16" ht="15.6" x14ac:dyDescent="0.3">
      <c r="A112" t="s">
        <v>97</v>
      </c>
      <c r="B112">
        <v>9.8800000000000008</v>
      </c>
      <c r="C112">
        <v>520</v>
      </c>
      <c r="D112" t="s">
        <v>54</v>
      </c>
      <c r="E112">
        <v>18.5</v>
      </c>
      <c r="F112">
        <v>8470</v>
      </c>
      <c r="G112">
        <v>39.18</v>
      </c>
      <c r="H112">
        <v>724.8</v>
      </c>
      <c r="I112">
        <f t="shared" si="5"/>
        <v>8.2781456953642394</v>
      </c>
      <c r="J112">
        <f t="shared" si="4"/>
        <v>8.2778030710649393</v>
      </c>
      <c r="K112">
        <v>7.0043749999999996</v>
      </c>
      <c r="L112">
        <f>64.2*(5280/3600)</f>
        <v>94.16</v>
      </c>
      <c r="M112" s="2"/>
      <c r="N112" s="3"/>
      <c r="O112" s="2"/>
      <c r="P112" s="4"/>
    </row>
    <row r="113" spans="1:16" ht="15.6" x14ac:dyDescent="0.3">
      <c r="A113" t="s">
        <v>97</v>
      </c>
      <c r="B113">
        <v>9.8800000000000008</v>
      </c>
      <c r="C113">
        <v>520</v>
      </c>
      <c r="D113" t="s">
        <v>25</v>
      </c>
      <c r="E113">
        <v>18.5</v>
      </c>
      <c r="F113">
        <v>8319</v>
      </c>
      <c r="G113">
        <v>43.74</v>
      </c>
      <c r="H113">
        <v>809.2</v>
      </c>
      <c r="I113">
        <f t="shared" si="5"/>
        <v>7.4147305981216016</v>
      </c>
      <c r="J113">
        <f t="shared" si="4"/>
        <v>7.4148222296370445</v>
      </c>
      <c r="K113">
        <v>7.7468750000000002</v>
      </c>
      <c r="L113">
        <f>63*(5280/3600)</f>
        <v>92.399999999999991</v>
      </c>
      <c r="M113" s="2"/>
      <c r="N113" s="3"/>
      <c r="O113" s="2"/>
      <c r="P113" s="4"/>
    </row>
    <row r="114" spans="1:16" ht="15.6" x14ac:dyDescent="0.3">
      <c r="A114" t="s">
        <v>97</v>
      </c>
      <c r="B114">
        <v>9.8800000000000008</v>
      </c>
      <c r="C114">
        <v>520</v>
      </c>
      <c r="D114" t="s">
        <v>55</v>
      </c>
      <c r="E114">
        <v>22.2</v>
      </c>
      <c r="F114">
        <v>10380</v>
      </c>
      <c r="G114">
        <v>35.950000000000003</v>
      </c>
      <c r="H114">
        <v>798.2</v>
      </c>
      <c r="I114">
        <f t="shared" si="5"/>
        <v>7.5169130543723375</v>
      </c>
      <c r="J114">
        <f t="shared" si="4"/>
        <v>7.5179491034845691</v>
      </c>
      <c r="K114">
        <v>3.9243749999999999</v>
      </c>
      <c r="L114">
        <f>98.3*(5280/3600)</f>
        <v>144.17333333333332</v>
      </c>
      <c r="M114" s="2"/>
      <c r="N114" s="3"/>
      <c r="O114" s="2"/>
      <c r="P114" s="4"/>
    </row>
    <row r="115" spans="1:16" ht="15.6" x14ac:dyDescent="0.3">
      <c r="A115" t="s">
        <v>97</v>
      </c>
      <c r="B115">
        <v>9.8800000000000008</v>
      </c>
      <c r="C115">
        <v>520</v>
      </c>
      <c r="D115" t="s">
        <v>71</v>
      </c>
      <c r="E115">
        <v>22.2</v>
      </c>
      <c r="F115">
        <v>10545</v>
      </c>
      <c r="G115">
        <v>31.35</v>
      </c>
      <c r="H115">
        <v>696</v>
      </c>
      <c r="I115">
        <f t="shared" si="5"/>
        <v>8.6206896551724128</v>
      </c>
      <c r="J115">
        <f t="shared" si="4"/>
        <v>8.6210612526401995</v>
      </c>
      <c r="K115">
        <v>5.9106249999999996</v>
      </c>
      <c r="L115">
        <f>69.9*(5280/3600)</f>
        <v>102.52</v>
      </c>
      <c r="M115" s="2"/>
      <c r="N115" s="3"/>
      <c r="O115" s="2"/>
      <c r="P115" s="4"/>
    </row>
    <row r="116" spans="1:16" ht="15.6" x14ac:dyDescent="0.3">
      <c r="A116" t="s">
        <v>97</v>
      </c>
      <c r="B116">
        <v>9.8800000000000008</v>
      </c>
      <c r="C116">
        <v>520</v>
      </c>
      <c r="D116" t="s">
        <v>72</v>
      </c>
      <c r="E116">
        <v>22.2</v>
      </c>
      <c r="F116">
        <v>10413</v>
      </c>
      <c r="G116">
        <v>34.99</v>
      </c>
      <c r="H116">
        <v>776.7</v>
      </c>
      <c r="I116">
        <f t="shared" si="5"/>
        <v>7.7249903437620695</v>
      </c>
      <c r="J116">
        <f t="shared" si="4"/>
        <v>7.7242146404764291</v>
      </c>
      <c r="K116">
        <v>5.6393750000000002</v>
      </c>
      <c r="L116">
        <f>78.9*(5280/3600)</f>
        <v>115.72</v>
      </c>
      <c r="M116" s="2"/>
      <c r="N116" s="3"/>
      <c r="O116" s="2"/>
      <c r="P116" s="4"/>
    </row>
    <row r="117" spans="1:16" ht="15.6" x14ac:dyDescent="0.3">
      <c r="A117" t="s">
        <v>97</v>
      </c>
      <c r="B117">
        <v>9.8800000000000008</v>
      </c>
      <c r="C117">
        <v>520</v>
      </c>
      <c r="D117" t="s">
        <v>56</v>
      </c>
      <c r="E117">
        <v>22.2</v>
      </c>
      <c r="F117">
        <v>10318</v>
      </c>
      <c r="G117">
        <v>37.79</v>
      </c>
      <c r="H117">
        <v>838.9</v>
      </c>
      <c r="I117">
        <f t="shared" si="5"/>
        <v>7.1522231493622606</v>
      </c>
      <c r="J117">
        <f t="shared" si="4"/>
        <v>7.1518991868290627</v>
      </c>
      <c r="K117">
        <v>5.7781250000000002</v>
      </c>
      <c r="L117">
        <f>83.1*(5280/3600)</f>
        <v>121.87999999999998</v>
      </c>
      <c r="M117" s="2"/>
      <c r="N117" s="3"/>
      <c r="O117" s="2"/>
      <c r="P117" s="4"/>
    </row>
    <row r="118" spans="1:16" ht="15.6" x14ac:dyDescent="0.3">
      <c r="A118" t="s">
        <v>97</v>
      </c>
      <c r="B118">
        <v>9.8800000000000008</v>
      </c>
      <c r="C118">
        <v>520</v>
      </c>
      <c r="D118" t="s">
        <v>57</v>
      </c>
      <c r="E118">
        <v>22.2</v>
      </c>
      <c r="F118">
        <v>10172</v>
      </c>
      <c r="G118">
        <v>43.62</v>
      </c>
      <c r="H118">
        <v>968.4</v>
      </c>
      <c r="I118">
        <f t="shared" si="5"/>
        <v>6.195786864931847</v>
      </c>
      <c r="J118">
        <f t="shared" si="4"/>
        <v>6.1960172001437481</v>
      </c>
      <c r="K118">
        <v>5.3812499999999996</v>
      </c>
      <c r="L118">
        <f>96.3*(5280/3600)</f>
        <v>141.23999999999998</v>
      </c>
      <c r="M118" s="2"/>
      <c r="N118" s="3"/>
      <c r="O118" s="2"/>
      <c r="P118" s="4"/>
    </row>
    <row r="119" spans="1:16" ht="15.6" x14ac:dyDescent="0.3">
      <c r="A119" t="s">
        <v>97</v>
      </c>
      <c r="B119">
        <v>9.8800000000000008</v>
      </c>
      <c r="C119">
        <v>520</v>
      </c>
      <c r="D119" t="s">
        <v>58</v>
      </c>
      <c r="E119">
        <v>22.2</v>
      </c>
      <c r="F119">
        <v>10384</v>
      </c>
      <c r="G119">
        <v>35.78</v>
      </c>
      <c r="H119">
        <v>794.2</v>
      </c>
      <c r="I119">
        <f t="shared" si="5"/>
        <v>7.5547720977083852</v>
      </c>
      <c r="J119">
        <f t="shared" si="4"/>
        <v>7.5536688169443895</v>
      </c>
      <c r="K119">
        <v>7.15625</v>
      </c>
      <c r="L119">
        <f>59*(5280/3600)</f>
        <v>86.533333333333331</v>
      </c>
      <c r="M119" s="2"/>
      <c r="N119" s="3"/>
      <c r="O119" s="2"/>
      <c r="P119" s="4"/>
    </row>
    <row r="120" spans="1:16" ht="15.6" x14ac:dyDescent="0.3">
      <c r="A120" t="s">
        <v>97</v>
      </c>
      <c r="B120">
        <v>9.8800000000000008</v>
      </c>
      <c r="C120">
        <v>520</v>
      </c>
      <c r="D120" t="s">
        <v>32</v>
      </c>
      <c r="E120">
        <v>22.2</v>
      </c>
      <c r="F120">
        <v>10130</v>
      </c>
      <c r="G120">
        <v>44.83</v>
      </c>
      <c r="H120">
        <v>995.2</v>
      </c>
      <c r="I120">
        <f t="shared" si="5"/>
        <v>6.0289389067524111</v>
      </c>
      <c r="J120">
        <f t="shared" si="4"/>
        <v>6.0287814024151301</v>
      </c>
      <c r="K120">
        <v>6.5762499999999999</v>
      </c>
      <c r="L120">
        <f>76.7*(5280/3600)</f>
        <v>112.49333333333333</v>
      </c>
      <c r="M120" s="2"/>
      <c r="N120" s="3"/>
      <c r="O120" s="2"/>
      <c r="P120" s="4"/>
    </row>
    <row r="121" spans="1:16" ht="15.6" x14ac:dyDescent="0.3">
      <c r="A121" t="s">
        <v>97</v>
      </c>
      <c r="B121">
        <v>9.8800000000000008</v>
      </c>
      <c r="C121">
        <v>520</v>
      </c>
      <c r="D121" t="s">
        <v>59</v>
      </c>
      <c r="E121">
        <v>22.2</v>
      </c>
      <c r="F121">
        <v>10300</v>
      </c>
      <c r="G121">
        <v>37.82</v>
      </c>
      <c r="H121">
        <v>839.6</v>
      </c>
      <c r="I121">
        <f t="shared" si="5"/>
        <v>7.1462601238685082</v>
      </c>
      <c r="J121">
        <f t="shared" si="4"/>
        <v>7.1462260780082039</v>
      </c>
      <c r="K121">
        <v>8.1706249999999994</v>
      </c>
      <c r="L121">
        <f>53.6*(5280/3600)</f>
        <v>78.61333333333333</v>
      </c>
      <c r="M121" s="2"/>
      <c r="N121" s="3"/>
      <c r="O121" s="2"/>
      <c r="P121" s="4"/>
    </row>
    <row r="122" spans="1:16" ht="15.6" x14ac:dyDescent="0.3">
      <c r="A122" t="s">
        <v>97</v>
      </c>
      <c r="B122">
        <v>9.8800000000000008</v>
      </c>
      <c r="C122">
        <v>520</v>
      </c>
      <c r="D122" t="s">
        <v>38</v>
      </c>
      <c r="E122">
        <v>22.2</v>
      </c>
      <c r="F122">
        <v>10030</v>
      </c>
      <c r="G122">
        <v>46.44</v>
      </c>
      <c r="H122">
        <v>1031</v>
      </c>
      <c r="I122">
        <f t="shared" si="5"/>
        <v>5.8195926285160038</v>
      </c>
      <c r="J122">
        <f t="shared" si="4"/>
        <v>5.8197732616337268</v>
      </c>
      <c r="K122">
        <v>9.7575000000000003</v>
      </c>
      <c r="L122">
        <f>57*(5280/3600)</f>
        <v>83.6</v>
      </c>
      <c r="M122" s="2"/>
      <c r="N122" s="3"/>
      <c r="O122" s="2"/>
      <c r="P122" s="4"/>
    </row>
    <row r="123" spans="1:16" ht="15.6" x14ac:dyDescent="0.3">
      <c r="A123" t="s">
        <v>97</v>
      </c>
      <c r="B123">
        <v>9.8800000000000008</v>
      </c>
      <c r="C123">
        <v>520</v>
      </c>
      <c r="D123" t="s">
        <v>61</v>
      </c>
      <c r="E123">
        <v>22.2</v>
      </c>
      <c r="F123">
        <v>10475</v>
      </c>
      <c r="G123">
        <v>33.28</v>
      </c>
      <c r="H123">
        <v>738.8</v>
      </c>
      <c r="I123">
        <f t="shared" si="5"/>
        <v>8.1212777476989721</v>
      </c>
      <c r="J123">
        <f t="shared" si="4"/>
        <v>8.121101871101871</v>
      </c>
      <c r="K123">
        <v>4.5943750000000003</v>
      </c>
      <c r="L123">
        <f>79.4*(5280/3600)</f>
        <v>116.45333333333333</v>
      </c>
      <c r="M123" s="2"/>
      <c r="N123" s="3"/>
      <c r="O123" s="2"/>
      <c r="P123" s="4"/>
    </row>
    <row r="124" spans="1:16" ht="15.6" x14ac:dyDescent="0.3">
      <c r="A124" t="s">
        <v>97</v>
      </c>
      <c r="B124">
        <v>9.8800000000000008</v>
      </c>
      <c r="C124">
        <v>520</v>
      </c>
      <c r="D124" t="s">
        <v>62</v>
      </c>
      <c r="E124">
        <v>22.2</v>
      </c>
      <c r="F124">
        <v>10561</v>
      </c>
      <c r="G124">
        <v>31.05</v>
      </c>
      <c r="H124">
        <v>689.3</v>
      </c>
      <c r="I124">
        <f t="shared" si="5"/>
        <v>8.7044828086464534</v>
      </c>
      <c r="J124">
        <f t="shared" si="4"/>
        <v>8.7043565304434871</v>
      </c>
      <c r="K124">
        <v>6.0981249999999996</v>
      </c>
      <c r="L124">
        <f>60*(5280/3600)</f>
        <v>88</v>
      </c>
      <c r="M124" s="2"/>
      <c r="N124" s="3"/>
      <c r="O124" s="2"/>
      <c r="P124" s="4"/>
    </row>
    <row r="125" spans="1:16" ht="15.6" x14ac:dyDescent="0.3">
      <c r="A125" t="s">
        <v>97</v>
      </c>
      <c r="B125">
        <v>9.8800000000000008</v>
      </c>
      <c r="C125">
        <v>520</v>
      </c>
      <c r="D125" t="s">
        <v>63</v>
      </c>
      <c r="E125">
        <v>22.2</v>
      </c>
      <c r="F125">
        <v>10311</v>
      </c>
      <c r="G125">
        <v>37.96</v>
      </c>
      <c r="H125">
        <v>842.8</v>
      </c>
      <c r="I125">
        <f t="shared" si="5"/>
        <v>7.1191267204556237</v>
      </c>
      <c r="J125">
        <f t="shared" si="4"/>
        <v>7.1198701335687637</v>
      </c>
      <c r="K125">
        <v>6.4262499999999996</v>
      </c>
      <c r="L125">
        <f>68.3*(5280/3600)</f>
        <v>100.17333333333332</v>
      </c>
      <c r="M125" s="2"/>
      <c r="N125" s="3"/>
      <c r="O125" s="2"/>
      <c r="P125" s="4"/>
    </row>
    <row r="126" spans="1:16" ht="15.6" x14ac:dyDescent="0.3">
      <c r="A126" t="s">
        <v>97</v>
      </c>
      <c r="B126">
        <v>9.8800000000000008</v>
      </c>
      <c r="C126">
        <v>520</v>
      </c>
      <c r="D126" t="s">
        <v>64</v>
      </c>
      <c r="E126">
        <v>22.2</v>
      </c>
      <c r="F126">
        <v>10083</v>
      </c>
      <c r="G126">
        <v>44.99</v>
      </c>
      <c r="H126">
        <v>998.7</v>
      </c>
      <c r="I126">
        <f t="shared" si="5"/>
        <v>6.0078101531991583</v>
      </c>
      <c r="J126">
        <f t="shared" si="4"/>
        <v>6.0073409706661538</v>
      </c>
      <c r="K126">
        <v>5.8687500000000004</v>
      </c>
      <c r="L126">
        <f>76.4*(5280/3600)</f>
        <v>112.05333333333333</v>
      </c>
      <c r="M126" s="2"/>
      <c r="N126" s="3"/>
      <c r="O126" s="2"/>
      <c r="P126" s="4"/>
    </row>
    <row r="127" spans="1:16" ht="15.6" x14ac:dyDescent="0.3">
      <c r="A127" t="s">
        <v>97</v>
      </c>
      <c r="B127">
        <v>9.8800000000000008</v>
      </c>
      <c r="C127">
        <v>520</v>
      </c>
      <c r="D127" t="s">
        <v>65</v>
      </c>
      <c r="E127">
        <v>22.2</v>
      </c>
      <c r="F127">
        <v>10325</v>
      </c>
      <c r="G127">
        <v>37.74</v>
      </c>
      <c r="H127">
        <v>837.8</v>
      </c>
      <c r="I127">
        <f t="shared" si="5"/>
        <v>7.1616137502984012</v>
      </c>
      <c r="J127">
        <f t="shared" si="4"/>
        <v>7.1613744109769542</v>
      </c>
      <c r="K127">
        <v>7.7381250000000001</v>
      </c>
      <c r="L127">
        <f>58.7*(5280/3600)</f>
        <v>86.093333333333334</v>
      </c>
      <c r="M127" s="2"/>
      <c r="N127" s="3"/>
      <c r="O127" s="2"/>
      <c r="P127" s="4"/>
    </row>
    <row r="128" spans="1:16" ht="15.6" x14ac:dyDescent="0.3">
      <c r="A128" t="s">
        <v>97</v>
      </c>
      <c r="B128">
        <v>9.8800000000000008</v>
      </c>
      <c r="C128">
        <v>520</v>
      </c>
      <c r="D128" t="s">
        <v>81</v>
      </c>
      <c r="E128">
        <v>22.2</v>
      </c>
      <c r="F128">
        <v>10503</v>
      </c>
      <c r="G128">
        <v>32.42</v>
      </c>
      <c r="H128">
        <v>719.7</v>
      </c>
      <c r="I128">
        <f t="shared" si="5"/>
        <v>8.3368070029178813</v>
      </c>
      <c r="J128">
        <f t="shared" si="4"/>
        <v>8.3365290027844008</v>
      </c>
      <c r="K128">
        <v>6.3493750000000002</v>
      </c>
      <c r="L128">
        <f>69.6*(5280/3600)</f>
        <v>102.07999999999998</v>
      </c>
      <c r="M128" s="2"/>
      <c r="N128" s="3"/>
      <c r="O128" s="2"/>
      <c r="P128" s="4"/>
    </row>
    <row r="129" spans="1:16" ht="15.6" x14ac:dyDescent="0.3">
      <c r="A129" t="s">
        <v>97</v>
      </c>
      <c r="B129">
        <v>9.8800000000000008</v>
      </c>
      <c r="C129">
        <v>520</v>
      </c>
      <c r="D129" t="s">
        <v>66</v>
      </c>
      <c r="E129">
        <v>22.2</v>
      </c>
      <c r="F129">
        <v>10406</v>
      </c>
      <c r="G129">
        <v>35.42</v>
      </c>
      <c r="H129">
        <v>786.2</v>
      </c>
      <c r="I129">
        <f t="shared" si="5"/>
        <v>7.6316458916306287</v>
      </c>
      <c r="J129">
        <f t="shared" si="4"/>
        <v>7.6304424130511075</v>
      </c>
      <c r="K129">
        <v>6.6756250000000001</v>
      </c>
      <c r="L129">
        <f>78.8*(5280/3600)</f>
        <v>115.57333333333332</v>
      </c>
      <c r="M129" s="2"/>
      <c r="N129" s="3"/>
      <c r="O129" s="2"/>
      <c r="P129" s="4"/>
    </row>
    <row r="130" spans="1:16" ht="15.6" x14ac:dyDescent="0.3">
      <c r="A130" t="s">
        <v>97</v>
      </c>
      <c r="B130">
        <v>9.8800000000000008</v>
      </c>
      <c r="C130">
        <v>520</v>
      </c>
      <c r="D130" t="s">
        <v>53</v>
      </c>
      <c r="E130">
        <v>22.2</v>
      </c>
      <c r="F130">
        <v>10343</v>
      </c>
      <c r="G130">
        <v>37.119999999999997</v>
      </c>
      <c r="H130">
        <v>824</v>
      </c>
      <c r="I130">
        <f t="shared" si="5"/>
        <v>7.2815533980582527</v>
      </c>
      <c r="J130">
        <f t="shared" si="4"/>
        <v>7.2809878844361613</v>
      </c>
      <c r="K130">
        <v>7.5112500000000004</v>
      </c>
      <c r="L130">
        <f>58.8*(5280/3600)</f>
        <v>86.24</v>
      </c>
      <c r="M130" s="2"/>
      <c r="N130" s="3"/>
      <c r="O130" s="2"/>
      <c r="P130" s="4"/>
    </row>
    <row r="131" spans="1:16" ht="15.6" x14ac:dyDescent="0.3">
      <c r="A131" t="s">
        <v>97</v>
      </c>
      <c r="B131">
        <v>9.8800000000000008</v>
      </c>
      <c r="C131">
        <v>520</v>
      </c>
      <c r="D131" t="s">
        <v>67</v>
      </c>
      <c r="E131">
        <v>29.6</v>
      </c>
      <c r="F131">
        <v>14090</v>
      </c>
      <c r="G131">
        <v>34.65</v>
      </c>
      <c r="H131">
        <v>1025.7</v>
      </c>
      <c r="I131">
        <f t="shared" si="5"/>
        <v>5.8496636443404508</v>
      </c>
      <c r="J131">
        <f t="shared" ref="J131:J194" si="6">( ($N$1/E131)/G131)*60</f>
        <v>5.85000585000585</v>
      </c>
      <c r="K131">
        <v>6.4087500000000004</v>
      </c>
      <c r="L131">
        <f>80.1*(5280/3600)</f>
        <v>117.47999999999999</v>
      </c>
      <c r="M131" s="5"/>
      <c r="N131" s="3"/>
      <c r="O131" s="5"/>
      <c r="P131" s="4"/>
    </row>
    <row r="132" spans="1:16" ht="15.6" x14ac:dyDescent="0.3">
      <c r="A132" t="s">
        <v>97</v>
      </c>
      <c r="B132">
        <v>9.8800000000000008</v>
      </c>
      <c r="C132">
        <v>520</v>
      </c>
      <c r="D132" t="s">
        <v>68</v>
      </c>
      <c r="E132">
        <v>29.6</v>
      </c>
      <c r="F132">
        <v>13821</v>
      </c>
      <c r="G132">
        <v>41.41</v>
      </c>
      <c r="H132">
        <v>1225.8</v>
      </c>
      <c r="I132">
        <f t="shared" ref="I132:I195" si="7" xml:space="preserve"> ($N$1/H132)*60</f>
        <v>4.8947626040137058</v>
      </c>
      <c r="J132">
        <f t="shared" si="6"/>
        <v>4.8950181768341636</v>
      </c>
      <c r="K132">
        <v>6.9225000000000003</v>
      </c>
      <c r="L132">
        <f>91.6*(5280/3600)</f>
        <v>134.34666666666664</v>
      </c>
      <c r="M132" s="5"/>
      <c r="N132" s="3"/>
      <c r="O132" s="5"/>
      <c r="P132" s="4"/>
    </row>
    <row r="133" spans="1:16" ht="15.6" x14ac:dyDescent="0.3">
      <c r="A133" t="s">
        <v>97</v>
      </c>
      <c r="B133">
        <v>9.8800000000000008</v>
      </c>
      <c r="C133">
        <v>520</v>
      </c>
      <c r="D133" t="s">
        <v>69</v>
      </c>
      <c r="E133">
        <v>29.6</v>
      </c>
      <c r="F133">
        <v>13645</v>
      </c>
      <c r="G133">
        <v>48.2</v>
      </c>
      <c r="H133">
        <v>1426.7</v>
      </c>
      <c r="I133">
        <f t="shared" si="7"/>
        <v>4.2055092170743675</v>
      </c>
      <c r="J133">
        <f t="shared" si="6"/>
        <v>4.2054502635415485</v>
      </c>
      <c r="K133">
        <v>6.72</v>
      </c>
      <c r="L133">
        <f>103.4*(5280/3600)</f>
        <v>151.65333333333334</v>
      </c>
      <c r="M133" s="5"/>
      <c r="N133" s="3"/>
      <c r="O133" s="5"/>
      <c r="P133" s="4"/>
    </row>
    <row r="134" spans="1:16" ht="15.6" x14ac:dyDescent="0.3">
      <c r="A134" t="s">
        <v>97</v>
      </c>
      <c r="B134">
        <v>9.8800000000000008</v>
      </c>
      <c r="C134">
        <v>520</v>
      </c>
      <c r="D134" t="s">
        <v>73</v>
      </c>
      <c r="E134">
        <v>29.6</v>
      </c>
      <c r="F134">
        <v>14090</v>
      </c>
      <c r="G134">
        <v>34.86</v>
      </c>
      <c r="H134">
        <v>1031.9000000000001</v>
      </c>
      <c r="I134">
        <f t="shared" si="7"/>
        <v>5.8145169105533476</v>
      </c>
      <c r="J134">
        <f t="shared" si="6"/>
        <v>5.8147648509094285</v>
      </c>
      <c r="K134">
        <v>5.6150000000000002</v>
      </c>
      <c r="L134">
        <f>80.1*(5280/3600)</f>
        <v>117.47999999999999</v>
      </c>
      <c r="M134" s="5"/>
      <c r="N134" s="3"/>
      <c r="O134" s="5"/>
      <c r="P134" s="4"/>
    </row>
    <row r="135" spans="1:16" ht="15.6" x14ac:dyDescent="0.3">
      <c r="A135" t="s">
        <v>97</v>
      </c>
      <c r="B135">
        <v>9.8800000000000008</v>
      </c>
      <c r="C135">
        <v>520</v>
      </c>
      <c r="D135" t="s">
        <v>74</v>
      </c>
      <c r="E135">
        <v>29.6</v>
      </c>
      <c r="F135">
        <v>13975</v>
      </c>
      <c r="G135">
        <v>37.96</v>
      </c>
      <c r="H135">
        <v>1123.5</v>
      </c>
      <c r="I135">
        <f t="shared" si="7"/>
        <v>5.3404539385847798</v>
      </c>
      <c r="J135">
        <f t="shared" si="6"/>
        <v>5.3399026001765719</v>
      </c>
      <c r="K135">
        <v>5.4518750000000002</v>
      </c>
      <c r="L135">
        <f>92.6*(5280/3600)</f>
        <v>135.8133333333333</v>
      </c>
      <c r="M135" s="5"/>
      <c r="N135" s="3"/>
      <c r="O135" s="5"/>
      <c r="P135" s="4"/>
    </row>
    <row r="136" spans="1:16" ht="15.6" x14ac:dyDescent="0.3">
      <c r="A136" t="s">
        <v>97</v>
      </c>
      <c r="B136">
        <v>9.8800000000000008</v>
      </c>
      <c r="C136">
        <v>520</v>
      </c>
      <c r="D136" t="s">
        <v>75</v>
      </c>
      <c r="E136">
        <v>29.6</v>
      </c>
      <c r="F136">
        <v>13794</v>
      </c>
      <c r="G136">
        <v>42.89</v>
      </c>
      <c r="H136">
        <v>1269.5999999999999</v>
      </c>
      <c r="I136">
        <f t="shared" si="7"/>
        <v>4.7258979206049156</v>
      </c>
      <c r="J136">
        <f t="shared" si="6"/>
        <v>4.726106381503909</v>
      </c>
      <c r="K136">
        <v>6.1043750000000001</v>
      </c>
      <c r="L136">
        <f>104.5*(5280/3600)</f>
        <v>153.26666666666665</v>
      </c>
      <c r="M136" s="5"/>
      <c r="N136" s="3"/>
      <c r="O136" s="5"/>
      <c r="P136" s="4"/>
    </row>
    <row r="137" spans="1:16" ht="15.6" x14ac:dyDescent="0.3">
      <c r="A137" t="s">
        <v>97</v>
      </c>
      <c r="B137">
        <v>9.8800000000000008</v>
      </c>
      <c r="C137">
        <v>520</v>
      </c>
      <c r="D137" t="s">
        <v>76</v>
      </c>
      <c r="E137">
        <v>29.6</v>
      </c>
      <c r="F137">
        <v>14047</v>
      </c>
      <c r="G137">
        <v>36.01</v>
      </c>
      <c r="H137">
        <v>1065.9000000000001</v>
      </c>
      <c r="I137">
        <f t="shared" si="7"/>
        <v>5.6290458767238949</v>
      </c>
      <c r="J137">
        <f t="shared" si="6"/>
        <v>5.6290670009081563</v>
      </c>
      <c r="K137">
        <v>7.2843749999999998</v>
      </c>
      <c r="L137">
        <f>66.5*(5280/3600)</f>
        <v>97.533333333333331</v>
      </c>
      <c r="M137" s="5"/>
      <c r="N137" s="3"/>
      <c r="O137" s="5"/>
      <c r="P137" s="4"/>
    </row>
    <row r="138" spans="1:16" ht="15.6" x14ac:dyDescent="0.3">
      <c r="A138" t="s">
        <v>97</v>
      </c>
      <c r="B138">
        <v>9.8800000000000008</v>
      </c>
      <c r="C138">
        <v>520</v>
      </c>
      <c r="D138" t="s">
        <v>77</v>
      </c>
      <c r="E138">
        <v>29.6</v>
      </c>
      <c r="F138">
        <v>13815</v>
      </c>
      <c r="G138">
        <v>42.19</v>
      </c>
      <c r="H138">
        <v>1248.9000000000001</v>
      </c>
      <c r="I138">
        <f t="shared" si="7"/>
        <v>4.8042277203939463</v>
      </c>
      <c r="J138">
        <f t="shared" si="6"/>
        <v>4.8045200925030267</v>
      </c>
      <c r="K138">
        <v>8.1656250000000004</v>
      </c>
      <c r="L138">
        <f>78.5*(5280/3600)</f>
        <v>115.13333333333333</v>
      </c>
      <c r="M138" s="5"/>
      <c r="N138" s="3"/>
      <c r="O138" s="5"/>
      <c r="P138" s="4"/>
    </row>
    <row r="139" spans="1:16" ht="15.6" x14ac:dyDescent="0.3">
      <c r="A139" t="s">
        <v>97</v>
      </c>
      <c r="B139">
        <v>9.8800000000000008</v>
      </c>
      <c r="C139">
        <v>520</v>
      </c>
      <c r="D139" t="s">
        <v>78</v>
      </c>
      <c r="E139">
        <v>29.6</v>
      </c>
      <c r="F139">
        <v>13817</v>
      </c>
      <c r="G139">
        <v>43.79</v>
      </c>
      <c r="H139">
        <v>1296.3</v>
      </c>
      <c r="I139">
        <f t="shared" si="7"/>
        <v>4.6285582041194173</v>
      </c>
      <c r="J139">
        <f t="shared" si="6"/>
        <v>4.6289724298402071</v>
      </c>
      <c r="K139">
        <v>8.0006249999999994</v>
      </c>
      <c r="L139">
        <f>91.6*(5280/3600)</f>
        <v>134.34666666666664</v>
      </c>
      <c r="M139" s="5"/>
      <c r="N139" s="3"/>
      <c r="O139" s="5"/>
      <c r="P139" s="4"/>
    </row>
    <row r="140" spans="1:16" ht="15.6" x14ac:dyDescent="0.3">
      <c r="A140" t="s">
        <v>97</v>
      </c>
      <c r="B140">
        <v>9.8800000000000008</v>
      </c>
      <c r="C140">
        <v>520</v>
      </c>
      <c r="D140" t="s">
        <v>101</v>
      </c>
      <c r="E140">
        <v>29.6</v>
      </c>
      <c r="F140">
        <v>14189</v>
      </c>
      <c r="G140">
        <v>32.119999999999997</v>
      </c>
      <c r="H140">
        <v>950.8</v>
      </c>
      <c r="I140">
        <f t="shared" si="7"/>
        <v>6.3104753891459824</v>
      </c>
      <c r="J140">
        <f t="shared" si="6"/>
        <v>6.3107939820268584</v>
      </c>
      <c r="K140">
        <v>6.7131249999999998</v>
      </c>
      <c r="L140">
        <f>94.1*(5280/3600)</f>
        <v>138.01333333333332</v>
      </c>
      <c r="M140" s="5"/>
      <c r="N140" s="3"/>
      <c r="O140" s="5"/>
      <c r="P140" s="4"/>
    </row>
    <row r="141" spans="1:16" ht="15.6" x14ac:dyDescent="0.3">
      <c r="A141" t="s">
        <v>97</v>
      </c>
      <c r="B141">
        <v>9.8800000000000008</v>
      </c>
      <c r="C141">
        <v>520</v>
      </c>
      <c r="D141" t="s">
        <v>80</v>
      </c>
      <c r="E141">
        <v>29.6</v>
      </c>
      <c r="F141">
        <v>13768</v>
      </c>
      <c r="G141">
        <v>43.45</v>
      </c>
      <c r="H141">
        <v>1286.2</v>
      </c>
      <c r="I141">
        <f t="shared" si="7"/>
        <v>4.6649043694604257</v>
      </c>
      <c r="J141">
        <f t="shared" si="6"/>
        <v>4.6651945386122593</v>
      </c>
      <c r="K141">
        <v>8.9618749999999991</v>
      </c>
      <c r="L141">
        <f>91.3*(5280/3600)</f>
        <v>133.90666666666667</v>
      </c>
      <c r="M141" s="5"/>
      <c r="N141" s="3"/>
      <c r="O141" s="5"/>
      <c r="P141" s="4"/>
    </row>
    <row r="142" spans="1:16" x14ac:dyDescent="0.3">
      <c r="A142" t="s">
        <v>102</v>
      </c>
      <c r="B142">
        <v>9.86</v>
      </c>
      <c r="C142">
        <v>600</v>
      </c>
      <c r="D142" t="s">
        <v>33</v>
      </c>
      <c r="E142">
        <v>14.8</v>
      </c>
      <c r="F142">
        <v>7981</v>
      </c>
      <c r="G142">
        <v>39.36</v>
      </c>
      <c r="H142">
        <v>582.5</v>
      </c>
      <c r="I142">
        <f t="shared" si="7"/>
        <v>10.300429184549357</v>
      </c>
      <c r="J142">
        <f t="shared" si="6"/>
        <v>10.299934080421885</v>
      </c>
      <c r="K142">
        <v>4.5881249999999998</v>
      </c>
      <c r="L142">
        <f>75.6*(5280/3600)</f>
        <v>110.87999999999998</v>
      </c>
      <c r="M142" s="2"/>
      <c r="N142" s="2"/>
      <c r="O142" s="2"/>
      <c r="P142" s="2"/>
    </row>
    <row r="143" spans="1:16" x14ac:dyDescent="0.3">
      <c r="A143" t="s">
        <v>102</v>
      </c>
      <c r="B143">
        <v>9.86</v>
      </c>
      <c r="C143">
        <v>600</v>
      </c>
      <c r="D143" t="s">
        <v>34</v>
      </c>
      <c r="E143">
        <v>14.8</v>
      </c>
      <c r="F143">
        <v>7866</v>
      </c>
      <c r="G143">
        <v>45.98</v>
      </c>
      <c r="H143">
        <v>680.5</v>
      </c>
      <c r="I143">
        <f t="shared" si="7"/>
        <v>8.817046289493021</v>
      </c>
      <c r="J143">
        <f t="shared" si="6"/>
        <v>8.816994462927477</v>
      </c>
      <c r="K143">
        <v>4.2193750000000003</v>
      </c>
      <c r="L143">
        <f>89.4*(5280/3600)</f>
        <v>131.12</v>
      </c>
      <c r="M143" s="2"/>
      <c r="N143" s="2"/>
      <c r="O143" s="2"/>
      <c r="P143" s="2"/>
    </row>
    <row r="144" spans="1:16" x14ac:dyDescent="0.3">
      <c r="A144" t="s">
        <v>102</v>
      </c>
      <c r="B144">
        <v>9.86</v>
      </c>
      <c r="C144">
        <v>600</v>
      </c>
      <c r="D144" t="s">
        <v>35</v>
      </c>
      <c r="E144">
        <v>14.8</v>
      </c>
      <c r="F144">
        <v>8075</v>
      </c>
      <c r="G144">
        <v>36.17</v>
      </c>
      <c r="H144">
        <v>535.29999999999995</v>
      </c>
      <c r="I144">
        <f t="shared" si="7"/>
        <v>11.208668036614984</v>
      </c>
      <c r="J144">
        <f t="shared" si="6"/>
        <v>11.208333021990748</v>
      </c>
      <c r="K144">
        <v>5.7850000000000001</v>
      </c>
      <c r="L144">
        <f>49.7*(5280/3600)</f>
        <v>72.893333333333331</v>
      </c>
      <c r="M144" s="2"/>
      <c r="N144" s="2"/>
      <c r="O144" s="2"/>
      <c r="P144" s="2"/>
    </row>
    <row r="145" spans="1:16" x14ac:dyDescent="0.3">
      <c r="A145" t="s">
        <v>102</v>
      </c>
      <c r="B145">
        <v>9.86</v>
      </c>
      <c r="C145">
        <v>600</v>
      </c>
      <c r="D145" t="s">
        <v>36</v>
      </c>
      <c r="E145">
        <v>14.8</v>
      </c>
      <c r="F145">
        <v>7962</v>
      </c>
      <c r="G145">
        <v>39.94</v>
      </c>
      <c r="H145">
        <v>591.1</v>
      </c>
      <c r="I145">
        <f t="shared" si="7"/>
        <v>10.150566739976314</v>
      </c>
      <c r="J145">
        <f t="shared" si="6"/>
        <v>10.150360676149358</v>
      </c>
      <c r="K145">
        <v>5.8425000000000002</v>
      </c>
      <c r="L145">
        <f>60.3*(5280/3600)</f>
        <v>88.439999999999984</v>
      </c>
      <c r="M145" s="2"/>
      <c r="N145" s="2"/>
      <c r="O145" s="2"/>
      <c r="P145" s="2"/>
    </row>
    <row r="146" spans="1:16" x14ac:dyDescent="0.3">
      <c r="A146" t="s">
        <v>102</v>
      </c>
      <c r="B146">
        <v>9.86</v>
      </c>
      <c r="C146">
        <v>600</v>
      </c>
      <c r="D146" t="s">
        <v>37</v>
      </c>
      <c r="E146">
        <v>14.8</v>
      </c>
      <c r="F146">
        <v>7630</v>
      </c>
      <c r="G146">
        <v>54.83</v>
      </c>
      <c r="H146">
        <v>811.4</v>
      </c>
      <c r="I146">
        <f t="shared" si="7"/>
        <v>7.3946265713581472</v>
      </c>
      <c r="J146">
        <f t="shared" si="6"/>
        <v>7.3938611235711358</v>
      </c>
      <c r="K146">
        <v>5.4187500000000002</v>
      </c>
      <c r="L146">
        <f>72.3*(5280/3600)</f>
        <v>106.03999999999999</v>
      </c>
      <c r="M146" s="2"/>
      <c r="N146" s="2"/>
      <c r="O146" s="2"/>
      <c r="P146" s="2"/>
    </row>
    <row r="147" spans="1:16" x14ac:dyDescent="0.3">
      <c r="A147" t="s">
        <v>102</v>
      </c>
      <c r="B147">
        <v>9.86</v>
      </c>
      <c r="C147">
        <v>600</v>
      </c>
      <c r="D147" t="s">
        <v>39</v>
      </c>
      <c r="E147">
        <v>14.8</v>
      </c>
      <c r="F147">
        <v>7828</v>
      </c>
      <c r="G147">
        <v>47.9</v>
      </c>
      <c r="H147">
        <v>708.9</v>
      </c>
      <c r="I147">
        <f t="shared" si="7"/>
        <v>8.4638171815488796</v>
      </c>
      <c r="J147">
        <f t="shared" si="6"/>
        <v>8.4635784009479202</v>
      </c>
      <c r="K147">
        <v>7.0437500000000002</v>
      </c>
      <c r="L147">
        <f>51.9*(5280/3600)</f>
        <v>76.11999999999999</v>
      </c>
      <c r="M147" s="2"/>
      <c r="N147" s="2"/>
      <c r="O147" s="2"/>
      <c r="P147" s="2"/>
    </row>
    <row r="148" spans="1:16" x14ac:dyDescent="0.3">
      <c r="A148" t="s">
        <v>102</v>
      </c>
      <c r="B148">
        <v>9.86</v>
      </c>
      <c r="C148">
        <v>600</v>
      </c>
      <c r="D148" t="s">
        <v>40</v>
      </c>
      <c r="E148">
        <v>14.8</v>
      </c>
      <c r="F148">
        <v>7775</v>
      </c>
      <c r="G148">
        <v>49.39</v>
      </c>
      <c r="H148">
        <v>731</v>
      </c>
      <c r="I148">
        <f t="shared" si="7"/>
        <v>8.207934336525307</v>
      </c>
      <c r="J148">
        <f t="shared" si="6"/>
        <v>8.2082487427699</v>
      </c>
      <c r="K148">
        <v>7.1937499999999996</v>
      </c>
      <c r="L148">
        <f>62.6*(5280/3600)</f>
        <v>91.813333333333333</v>
      </c>
      <c r="M148" s="2"/>
      <c r="N148" s="2"/>
      <c r="O148" s="2"/>
      <c r="P148" s="2"/>
    </row>
    <row r="149" spans="1:16" x14ac:dyDescent="0.3">
      <c r="A149" t="s">
        <v>102</v>
      </c>
      <c r="B149">
        <v>9.86</v>
      </c>
      <c r="C149">
        <v>600</v>
      </c>
      <c r="D149" t="s">
        <v>41</v>
      </c>
      <c r="E149">
        <v>14.8</v>
      </c>
      <c r="F149">
        <v>7775</v>
      </c>
      <c r="G149">
        <v>49.4</v>
      </c>
      <c r="H149">
        <v>731.1</v>
      </c>
      <c r="I149">
        <f t="shared" si="7"/>
        <v>8.2068116536725473</v>
      </c>
      <c r="J149">
        <f t="shared" si="6"/>
        <v>8.2065871539555744</v>
      </c>
      <c r="K149">
        <v>7.1275000000000004</v>
      </c>
      <c r="L149">
        <f>73.6*(5280/3600)</f>
        <v>107.94666666666664</v>
      </c>
      <c r="M149" s="2"/>
      <c r="N149" s="2"/>
      <c r="O149" s="2"/>
      <c r="P149" s="2"/>
    </row>
    <row r="150" spans="1:16" x14ac:dyDescent="0.3">
      <c r="A150" t="s">
        <v>102</v>
      </c>
      <c r="B150">
        <v>9.86</v>
      </c>
      <c r="C150">
        <v>600</v>
      </c>
      <c r="D150" t="s">
        <v>43</v>
      </c>
      <c r="E150">
        <v>14.8</v>
      </c>
      <c r="F150">
        <v>7784</v>
      </c>
      <c r="G150">
        <v>49.1</v>
      </c>
      <c r="H150">
        <v>726.7</v>
      </c>
      <c r="I150">
        <f t="shared" si="7"/>
        <v>8.2565019953213152</v>
      </c>
      <c r="J150">
        <f t="shared" si="6"/>
        <v>8.2567292343259737</v>
      </c>
      <c r="K150">
        <v>7.9562499999999998</v>
      </c>
      <c r="L150">
        <f>44.2*(5280/3600)</f>
        <v>64.826666666666668</v>
      </c>
      <c r="M150" s="2"/>
      <c r="N150" s="2"/>
      <c r="O150" s="2"/>
      <c r="P150" s="2"/>
    </row>
    <row r="151" spans="1:16" x14ac:dyDescent="0.3">
      <c r="A151" t="s">
        <v>102</v>
      </c>
      <c r="B151">
        <v>9.86</v>
      </c>
      <c r="C151">
        <v>600</v>
      </c>
      <c r="D151" t="s">
        <v>44</v>
      </c>
      <c r="E151">
        <v>14.8</v>
      </c>
      <c r="F151">
        <v>7799</v>
      </c>
      <c r="G151">
        <v>48.69</v>
      </c>
      <c r="H151">
        <v>720.6</v>
      </c>
      <c r="I151">
        <f t="shared" si="7"/>
        <v>8.3263946711074119</v>
      </c>
      <c r="J151">
        <f t="shared" si="6"/>
        <v>8.3262560157199719</v>
      </c>
      <c r="K151">
        <v>8.0118749999999999</v>
      </c>
      <c r="L151">
        <f>51.7*(5280/3600)</f>
        <v>75.826666666666668</v>
      </c>
      <c r="M151" s="2"/>
      <c r="N151" s="2"/>
      <c r="O151" s="2"/>
      <c r="P151" s="2"/>
    </row>
    <row r="152" spans="1:16" x14ac:dyDescent="0.3">
      <c r="A152" t="s">
        <v>102</v>
      </c>
      <c r="B152">
        <v>9.86</v>
      </c>
      <c r="C152">
        <v>600</v>
      </c>
      <c r="D152" t="s">
        <v>0</v>
      </c>
      <c r="E152">
        <v>14.8</v>
      </c>
      <c r="F152">
        <v>7676</v>
      </c>
      <c r="G152">
        <v>52.57</v>
      </c>
      <c r="H152">
        <v>778</v>
      </c>
      <c r="I152">
        <f t="shared" si="7"/>
        <v>7.7120822622107967</v>
      </c>
      <c r="J152">
        <f t="shared" si="6"/>
        <v>7.7117254214457933</v>
      </c>
      <c r="K152">
        <v>8.0137499999999999</v>
      </c>
      <c r="L152">
        <f>58.2*(5280/3600)</f>
        <v>85.36</v>
      </c>
      <c r="M152" s="2"/>
      <c r="N152" s="2"/>
      <c r="O152" s="2"/>
      <c r="P152" s="2"/>
    </row>
    <row r="153" spans="1:16" x14ac:dyDescent="0.3">
      <c r="A153" t="s">
        <v>102</v>
      </c>
      <c r="B153">
        <v>9.86</v>
      </c>
      <c r="C153">
        <v>600</v>
      </c>
      <c r="D153" t="s">
        <v>45</v>
      </c>
      <c r="E153">
        <v>14.8</v>
      </c>
      <c r="F153">
        <v>7976</v>
      </c>
      <c r="G153">
        <v>39.43</v>
      </c>
      <c r="H153">
        <v>583.6</v>
      </c>
      <c r="I153">
        <f t="shared" si="7"/>
        <v>10.281014393420151</v>
      </c>
      <c r="J153">
        <f t="shared" si="6"/>
        <v>10.281648628085351</v>
      </c>
      <c r="K153">
        <v>5.2225000000000001</v>
      </c>
      <c r="L153">
        <f>60.4*(5280/3600)</f>
        <v>88.586666666666659</v>
      </c>
      <c r="M153" s="2"/>
      <c r="N153" s="2"/>
      <c r="O153" s="2"/>
      <c r="P153" s="2"/>
    </row>
    <row r="154" spans="1:16" x14ac:dyDescent="0.3">
      <c r="A154" t="s">
        <v>102</v>
      </c>
      <c r="B154">
        <v>9.86</v>
      </c>
      <c r="C154">
        <v>600</v>
      </c>
      <c r="D154" t="s">
        <v>46</v>
      </c>
      <c r="E154">
        <v>14.8</v>
      </c>
      <c r="F154">
        <v>7690</v>
      </c>
      <c r="G154">
        <v>52.06</v>
      </c>
      <c r="H154">
        <v>770.5</v>
      </c>
      <c r="I154">
        <f t="shared" si="7"/>
        <v>7.7871512005191432</v>
      </c>
      <c r="J154">
        <f t="shared" si="6"/>
        <v>7.7872724818556538</v>
      </c>
      <c r="K154">
        <v>5.171875</v>
      </c>
      <c r="L154">
        <f>72.8*(5280/3600)</f>
        <v>106.77333333333333</v>
      </c>
      <c r="M154" s="2"/>
      <c r="N154" s="2"/>
      <c r="O154" s="2"/>
      <c r="P154" s="2"/>
    </row>
    <row r="155" spans="1:16" x14ac:dyDescent="0.3">
      <c r="A155" t="s">
        <v>102</v>
      </c>
      <c r="B155">
        <v>9.86</v>
      </c>
      <c r="C155">
        <v>600</v>
      </c>
      <c r="D155" t="s">
        <v>47</v>
      </c>
      <c r="E155">
        <v>14.8</v>
      </c>
      <c r="F155">
        <v>8031</v>
      </c>
      <c r="G155">
        <v>37.659999999999997</v>
      </c>
      <c r="H155">
        <v>557.4</v>
      </c>
      <c r="I155">
        <f t="shared" si="7"/>
        <v>10.764262648008613</v>
      </c>
      <c r="J155">
        <f t="shared" si="6"/>
        <v>10.76488065335649</v>
      </c>
      <c r="K155">
        <v>5.9412500000000001</v>
      </c>
      <c r="L155">
        <f>45.6*(5280/3600)</f>
        <v>66.88</v>
      </c>
      <c r="M155" s="2"/>
      <c r="N155" s="2"/>
      <c r="O155" s="2"/>
      <c r="P155" s="2"/>
    </row>
    <row r="156" spans="1:16" x14ac:dyDescent="0.3">
      <c r="A156" t="s">
        <v>102</v>
      </c>
      <c r="B156">
        <v>9.86</v>
      </c>
      <c r="C156">
        <v>600</v>
      </c>
      <c r="D156" t="s">
        <v>48</v>
      </c>
      <c r="E156">
        <v>14.8</v>
      </c>
      <c r="F156">
        <v>7880</v>
      </c>
      <c r="G156">
        <v>46.1</v>
      </c>
      <c r="H156">
        <v>682.3</v>
      </c>
      <c r="I156">
        <f t="shared" si="7"/>
        <v>8.7937857247545068</v>
      </c>
      <c r="J156">
        <f t="shared" si="6"/>
        <v>8.7940435012018519</v>
      </c>
      <c r="K156">
        <v>6.9625000000000004</v>
      </c>
      <c r="L156">
        <f>59.7*(5280/3600)</f>
        <v>87.56</v>
      </c>
      <c r="M156" s="2"/>
      <c r="N156" s="2"/>
      <c r="O156" s="2"/>
      <c r="P156" s="2"/>
    </row>
    <row r="157" spans="1:16" x14ac:dyDescent="0.3">
      <c r="A157" t="s">
        <v>102</v>
      </c>
      <c r="B157">
        <v>9.86</v>
      </c>
      <c r="C157">
        <v>600</v>
      </c>
      <c r="D157" t="s">
        <v>50</v>
      </c>
      <c r="E157">
        <v>14.8</v>
      </c>
      <c r="F157">
        <v>7782</v>
      </c>
      <c r="G157">
        <v>49.09</v>
      </c>
      <c r="H157">
        <v>726.5</v>
      </c>
      <c r="I157">
        <f t="shared" si="7"/>
        <v>8.2587749483826567</v>
      </c>
      <c r="J157">
        <f t="shared" si="6"/>
        <v>8.2584111917988459</v>
      </c>
      <c r="K157">
        <v>7.65</v>
      </c>
      <c r="L157">
        <f>44.2*(5280/3600)</f>
        <v>64.826666666666668</v>
      </c>
      <c r="M157" s="2"/>
      <c r="N157" s="2"/>
      <c r="O157" s="2"/>
      <c r="P157" s="2"/>
    </row>
    <row r="158" spans="1:16" x14ac:dyDescent="0.3">
      <c r="A158" t="s">
        <v>102</v>
      </c>
      <c r="B158">
        <v>9.86</v>
      </c>
      <c r="C158">
        <v>600</v>
      </c>
      <c r="D158" t="s">
        <v>51</v>
      </c>
      <c r="E158">
        <v>14.8</v>
      </c>
      <c r="F158">
        <v>7750</v>
      </c>
      <c r="G158">
        <v>50.27</v>
      </c>
      <c r="H158">
        <v>744.1</v>
      </c>
      <c r="I158">
        <f t="shared" si="7"/>
        <v>8.0634323343636609</v>
      </c>
      <c r="J158">
        <f t="shared" si="6"/>
        <v>8.0645594868789612</v>
      </c>
      <c r="K158">
        <v>7.9850000000000003</v>
      </c>
      <c r="L158">
        <f>51.4*(5280/3600)</f>
        <v>75.386666666666656</v>
      </c>
      <c r="M158" s="2"/>
      <c r="N158" s="2"/>
      <c r="O158" s="2"/>
      <c r="P158" s="2"/>
    </row>
    <row r="159" spans="1:16" x14ac:dyDescent="0.3">
      <c r="A159" t="s">
        <v>102</v>
      </c>
      <c r="B159">
        <v>9.86</v>
      </c>
      <c r="C159">
        <v>600</v>
      </c>
      <c r="D159" t="s">
        <v>16</v>
      </c>
      <c r="E159">
        <v>14.8</v>
      </c>
      <c r="F159">
        <v>7604</v>
      </c>
      <c r="G159">
        <v>54.75</v>
      </c>
      <c r="H159">
        <v>810.2</v>
      </c>
      <c r="I159">
        <f t="shared" si="7"/>
        <v>7.4055788694149589</v>
      </c>
      <c r="J159">
        <f t="shared" si="6"/>
        <v>7.4046649389115133</v>
      </c>
      <c r="K159">
        <v>7.7249999999999996</v>
      </c>
      <c r="L159">
        <f>57.6*(5280/3600)</f>
        <v>84.47999999999999</v>
      </c>
      <c r="M159" s="2"/>
      <c r="N159" s="2"/>
      <c r="O159" s="2"/>
      <c r="P159" s="2"/>
    </row>
    <row r="160" spans="1:16" x14ac:dyDescent="0.3">
      <c r="A160" t="s">
        <v>102</v>
      </c>
      <c r="B160">
        <v>9.86</v>
      </c>
      <c r="C160">
        <v>600</v>
      </c>
      <c r="D160" t="s">
        <v>52</v>
      </c>
      <c r="E160">
        <v>14.8</v>
      </c>
      <c r="F160">
        <v>7555</v>
      </c>
      <c r="G160">
        <v>55.94</v>
      </c>
      <c r="H160">
        <v>827.9</v>
      </c>
      <c r="I160">
        <f t="shared" si="7"/>
        <v>7.2472520835849741</v>
      </c>
      <c r="J160">
        <f t="shared" si="6"/>
        <v>7.2471470397820053</v>
      </c>
      <c r="K160">
        <v>8.8650000000000002</v>
      </c>
      <c r="L160">
        <f>42.9*(5280/3600)</f>
        <v>62.919999999999995</v>
      </c>
      <c r="M160" s="2"/>
      <c r="N160" s="2"/>
      <c r="O160" s="2"/>
      <c r="P160" s="2"/>
    </row>
    <row r="161" spans="1:16" x14ac:dyDescent="0.3">
      <c r="A161" t="s">
        <v>102</v>
      </c>
      <c r="B161">
        <v>9.86</v>
      </c>
      <c r="C161">
        <v>600</v>
      </c>
      <c r="D161" t="s">
        <v>54</v>
      </c>
      <c r="E161">
        <v>14.8</v>
      </c>
      <c r="F161">
        <v>7961</v>
      </c>
      <c r="G161">
        <v>40.68</v>
      </c>
      <c r="H161">
        <v>602.1</v>
      </c>
      <c r="I161">
        <f t="shared" si="7"/>
        <v>9.9651220727453911</v>
      </c>
      <c r="J161">
        <f t="shared" si="6"/>
        <v>9.9657179303197001</v>
      </c>
      <c r="K161">
        <v>6.225625</v>
      </c>
      <c r="L161">
        <f>60.3*(5280/3600)</f>
        <v>88.439999999999984</v>
      </c>
      <c r="M161" s="2"/>
      <c r="N161" s="2"/>
      <c r="O161" s="2"/>
      <c r="P161" s="2"/>
    </row>
    <row r="162" spans="1:16" x14ac:dyDescent="0.3">
      <c r="A162" t="s">
        <v>102</v>
      </c>
      <c r="B162">
        <v>9.86</v>
      </c>
      <c r="C162">
        <v>600</v>
      </c>
      <c r="D162" t="s">
        <v>25</v>
      </c>
      <c r="E162">
        <v>14.8</v>
      </c>
      <c r="F162">
        <v>7867</v>
      </c>
      <c r="G162">
        <v>46.46</v>
      </c>
      <c r="H162">
        <v>687.5</v>
      </c>
      <c r="I162">
        <f t="shared" si="7"/>
        <v>8.7272727272727266</v>
      </c>
      <c r="J162">
        <f t="shared" si="6"/>
        <v>8.7259019674000289</v>
      </c>
      <c r="K162">
        <v>7.0149999999999997</v>
      </c>
      <c r="L162">
        <f>59.6*(5280/3600)</f>
        <v>87.413333333333327</v>
      </c>
      <c r="M162" s="2"/>
      <c r="N162" s="2"/>
      <c r="O162" s="2"/>
      <c r="P162" s="2"/>
    </row>
    <row r="163" spans="1:16" x14ac:dyDescent="0.3">
      <c r="A163" t="s">
        <v>102</v>
      </c>
      <c r="B163">
        <v>9.86</v>
      </c>
      <c r="C163">
        <v>600</v>
      </c>
      <c r="D163" t="s">
        <v>26</v>
      </c>
      <c r="E163">
        <v>14.8</v>
      </c>
      <c r="F163">
        <v>7619</v>
      </c>
      <c r="G163">
        <v>54.17</v>
      </c>
      <c r="H163">
        <v>801.7</v>
      </c>
      <c r="I163">
        <f t="shared" si="7"/>
        <v>7.4840962953723338</v>
      </c>
      <c r="J163">
        <f t="shared" si="6"/>
        <v>7.4839469338269398</v>
      </c>
      <c r="K163">
        <v>8.2212499999999995</v>
      </c>
      <c r="L163">
        <f>50.5*(5280/3600)</f>
        <v>74.066666666666663</v>
      </c>
      <c r="M163" s="2"/>
      <c r="N163" s="2"/>
      <c r="O163" s="2"/>
      <c r="P163" s="2"/>
    </row>
    <row r="164" spans="1:16" ht="15.6" x14ac:dyDescent="0.3">
      <c r="A164" t="s">
        <v>102</v>
      </c>
      <c r="B164">
        <v>9.86</v>
      </c>
      <c r="C164">
        <v>600</v>
      </c>
      <c r="D164" t="s">
        <v>55</v>
      </c>
      <c r="E164">
        <v>18.5</v>
      </c>
      <c r="F164">
        <v>10114</v>
      </c>
      <c r="G164">
        <v>39.869999999999997</v>
      </c>
      <c r="H164">
        <v>737.6</v>
      </c>
      <c r="I164">
        <f t="shared" si="7"/>
        <v>8.1344902386117148</v>
      </c>
      <c r="J164">
        <f t="shared" si="6"/>
        <v>8.1345453805950427</v>
      </c>
      <c r="K164">
        <v>3.7762500000000001</v>
      </c>
      <c r="L164">
        <f>95.8*(5280/3600)</f>
        <v>140.50666666666666</v>
      </c>
      <c r="M164" s="2"/>
      <c r="N164" s="3"/>
      <c r="O164" s="2"/>
      <c r="P164" s="4"/>
    </row>
    <row r="165" spans="1:16" ht="15.6" x14ac:dyDescent="0.3">
      <c r="A165" t="s">
        <v>102</v>
      </c>
      <c r="B165">
        <v>9.86</v>
      </c>
      <c r="C165">
        <v>600</v>
      </c>
      <c r="D165" t="s">
        <v>72</v>
      </c>
      <c r="E165">
        <v>18.5</v>
      </c>
      <c r="F165">
        <v>10154</v>
      </c>
      <c r="G165">
        <v>38.82</v>
      </c>
      <c r="H165">
        <v>718.1</v>
      </c>
      <c r="I165">
        <f t="shared" si="7"/>
        <v>8.3553822587383362</v>
      </c>
      <c r="J165">
        <f t="shared" si="6"/>
        <v>8.3545678599774433</v>
      </c>
      <c r="K165">
        <v>5.4806249999999999</v>
      </c>
      <c r="L165">
        <f>76.9*(5280/3600)</f>
        <v>112.78666666666666</v>
      </c>
      <c r="M165" s="2"/>
      <c r="N165" s="3"/>
      <c r="O165" s="2"/>
      <c r="P165" s="4"/>
    </row>
    <row r="166" spans="1:16" ht="15.6" x14ac:dyDescent="0.3">
      <c r="A166" t="s">
        <v>102</v>
      </c>
      <c r="B166">
        <v>9.86</v>
      </c>
      <c r="C166">
        <v>600</v>
      </c>
      <c r="D166" t="s">
        <v>56</v>
      </c>
      <c r="E166">
        <v>18.5</v>
      </c>
      <c r="F166">
        <v>10042</v>
      </c>
      <c r="G166">
        <v>42.18</v>
      </c>
      <c r="H166">
        <v>780.4</v>
      </c>
      <c r="I166">
        <f t="shared" si="7"/>
        <v>7.6883649410558688</v>
      </c>
      <c r="J166">
        <f t="shared" si="6"/>
        <v>7.6890546307331515</v>
      </c>
      <c r="K166">
        <v>5.56</v>
      </c>
      <c r="L166">
        <f>80.8*(5280/3600)</f>
        <v>118.50666666666666</v>
      </c>
      <c r="M166" s="2"/>
      <c r="N166" s="3"/>
      <c r="O166" s="2"/>
      <c r="P166" s="4"/>
    </row>
    <row r="167" spans="1:16" ht="15.6" x14ac:dyDescent="0.3">
      <c r="A167" t="s">
        <v>102</v>
      </c>
      <c r="B167">
        <v>9.86</v>
      </c>
      <c r="C167">
        <v>600</v>
      </c>
      <c r="D167" t="s">
        <v>57</v>
      </c>
      <c r="E167">
        <v>18.5</v>
      </c>
      <c r="F167">
        <v>9877</v>
      </c>
      <c r="G167">
        <v>48.99</v>
      </c>
      <c r="H167">
        <v>906.2</v>
      </c>
      <c r="I167">
        <f t="shared" si="7"/>
        <v>6.6210549547561239</v>
      </c>
      <c r="J167">
        <f t="shared" si="6"/>
        <v>6.620214825971102</v>
      </c>
      <c r="K167">
        <v>5.1656250000000004</v>
      </c>
      <c r="L167">
        <f>93.5*(5280/3600)</f>
        <v>137.13333333333333</v>
      </c>
      <c r="M167" s="2"/>
      <c r="N167" s="3"/>
      <c r="O167" s="2"/>
      <c r="P167" s="4"/>
    </row>
    <row r="168" spans="1:16" ht="15.6" x14ac:dyDescent="0.3">
      <c r="A168" t="s">
        <v>102</v>
      </c>
      <c r="B168">
        <v>9.86</v>
      </c>
      <c r="C168">
        <v>600</v>
      </c>
      <c r="D168" t="s">
        <v>58</v>
      </c>
      <c r="E168">
        <v>18.5</v>
      </c>
      <c r="F168">
        <v>10125</v>
      </c>
      <c r="G168">
        <v>39.71</v>
      </c>
      <c r="H168">
        <v>734.6</v>
      </c>
      <c r="I168">
        <f t="shared" si="7"/>
        <v>8.1677103185407027</v>
      </c>
      <c r="J168">
        <f t="shared" si="6"/>
        <v>8.167321186711769</v>
      </c>
      <c r="K168">
        <v>6.8543750000000001</v>
      </c>
      <c r="L168">
        <f>57.5*(5280/3600)</f>
        <v>84.333333333333329</v>
      </c>
      <c r="M168" s="2"/>
      <c r="N168" s="3"/>
      <c r="O168" s="2"/>
      <c r="P168" s="4"/>
    </row>
    <row r="169" spans="1:16" ht="15.6" x14ac:dyDescent="0.3">
      <c r="A169" t="s">
        <v>102</v>
      </c>
      <c r="B169">
        <v>9.86</v>
      </c>
      <c r="C169">
        <v>600</v>
      </c>
      <c r="D169" t="s">
        <v>32</v>
      </c>
      <c r="E169">
        <v>18.5</v>
      </c>
      <c r="F169">
        <v>9850</v>
      </c>
      <c r="G169">
        <v>49.91</v>
      </c>
      <c r="H169">
        <v>923.2</v>
      </c>
      <c r="I169">
        <f t="shared" si="7"/>
        <v>6.4991334488734829</v>
      </c>
      <c r="J169">
        <f t="shared" si="6"/>
        <v>6.4981832162757831</v>
      </c>
      <c r="K169">
        <v>6.2987500000000001</v>
      </c>
      <c r="L169">
        <f>74.6*(5280/3600)</f>
        <v>109.41333333333331</v>
      </c>
      <c r="M169" s="2"/>
      <c r="N169" s="3"/>
      <c r="O169" s="2"/>
      <c r="P169" s="4"/>
    </row>
    <row r="170" spans="1:16" ht="15.6" x14ac:dyDescent="0.3">
      <c r="A170" t="s">
        <v>102</v>
      </c>
      <c r="B170">
        <v>9.86</v>
      </c>
      <c r="C170">
        <v>600</v>
      </c>
      <c r="D170" t="s">
        <v>59</v>
      </c>
      <c r="E170">
        <v>18.5</v>
      </c>
      <c r="F170">
        <v>10060</v>
      </c>
      <c r="G170">
        <v>41.62</v>
      </c>
      <c r="H170">
        <v>769.9</v>
      </c>
      <c r="I170">
        <f t="shared" si="7"/>
        <v>7.7932198986881414</v>
      </c>
      <c r="J170">
        <f t="shared" si="6"/>
        <v>7.7925113965479182</v>
      </c>
      <c r="K170">
        <v>7.6987500000000004</v>
      </c>
      <c r="L170">
        <f>52.4*(5280/3600)</f>
        <v>76.853333333333325</v>
      </c>
      <c r="M170" s="2"/>
      <c r="N170" s="3"/>
      <c r="O170" s="2"/>
      <c r="P170" s="4"/>
    </row>
    <row r="171" spans="1:16" ht="15.6" x14ac:dyDescent="0.3">
      <c r="A171" t="s">
        <v>102</v>
      </c>
      <c r="B171">
        <v>9.86</v>
      </c>
      <c r="C171">
        <v>600</v>
      </c>
      <c r="D171" t="s">
        <v>38</v>
      </c>
      <c r="E171">
        <v>18.5</v>
      </c>
      <c r="F171">
        <v>9804</v>
      </c>
      <c r="G171">
        <v>51.31</v>
      </c>
      <c r="H171">
        <v>949.3</v>
      </c>
      <c r="I171">
        <f t="shared" si="7"/>
        <v>6.32044664489624</v>
      </c>
      <c r="J171">
        <f t="shared" si="6"/>
        <v>6.320879445026784</v>
      </c>
      <c r="K171">
        <v>9.2506249999999994</v>
      </c>
      <c r="L171">
        <f>55.7*(5280/3600)</f>
        <v>81.693333333333328</v>
      </c>
      <c r="M171" s="2"/>
      <c r="N171" s="3"/>
      <c r="O171" s="2"/>
      <c r="P171" s="4"/>
    </row>
    <row r="172" spans="1:16" ht="15.6" x14ac:dyDescent="0.3">
      <c r="A172" t="s">
        <v>102</v>
      </c>
      <c r="B172">
        <v>9.86</v>
      </c>
      <c r="C172">
        <v>600</v>
      </c>
      <c r="D172" t="s">
        <v>60</v>
      </c>
      <c r="E172">
        <v>18.5</v>
      </c>
      <c r="F172">
        <v>9639</v>
      </c>
      <c r="G172">
        <v>56.43</v>
      </c>
      <c r="H172">
        <v>1044</v>
      </c>
      <c r="I172">
        <f t="shared" si="7"/>
        <v>5.7471264367816097</v>
      </c>
      <c r="J172">
        <f t="shared" si="6"/>
        <v>5.7473741684267994</v>
      </c>
      <c r="K172">
        <v>10.297499999999999</v>
      </c>
      <c r="L172">
        <f>36.5*(5280/3600)</f>
        <v>53.533333333333331</v>
      </c>
      <c r="M172" s="2"/>
      <c r="N172" s="3"/>
      <c r="O172" s="2"/>
      <c r="P172" s="4"/>
    </row>
    <row r="173" spans="1:16" ht="15.6" x14ac:dyDescent="0.3">
      <c r="A173" t="s">
        <v>102</v>
      </c>
      <c r="B173">
        <v>9.86</v>
      </c>
      <c r="C173">
        <v>600</v>
      </c>
      <c r="D173" t="s">
        <v>61</v>
      </c>
      <c r="E173">
        <v>18.5</v>
      </c>
      <c r="F173">
        <v>10225</v>
      </c>
      <c r="G173">
        <v>36.75</v>
      </c>
      <c r="H173">
        <v>679.9</v>
      </c>
      <c r="I173">
        <f t="shared" si="7"/>
        <v>8.8248271804677163</v>
      </c>
      <c r="J173">
        <f t="shared" si="6"/>
        <v>8.8251516822945391</v>
      </c>
      <c r="K173">
        <v>4.3918749999999998</v>
      </c>
      <c r="L173">
        <f>77.5*(5280/3600)</f>
        <v>113.66666666666666</v>
      </c>
      <c r="M173" s="2"/>
      <c r="N173" s="3"/>
      <c r="O173" s="2"/>
      <c r="P173" s="4"/>
    </row>
    <row r="174" spans="1:16" ht="15.6" x14ac:dyDescent="0.3">
      <c r="A174" t="s">
        <v>102</v>
      </c>
      <c r="B174">
        <v>9.86</v>
      </c>
      <c r="C174">
        <v>600</v>
      </c>
      <c r="D174" t="s">
        <v>63</v>
      </c>
      <c r="E174">
        <v>18.5</v>
      </c>
      <c r="F174">
        <v>10105</v>
      </c>
      <c r="G174">
        <v>42.13</v>
      </c>
      <c r="H174">
        <v>779.4</v>
      </c>
      <c r="I174">
        <f t="shared" si="7"/>
        <v>7.6982294072363358</v>
      </c>
      <c r="J174">
        <f t="shared" si="6"/>
        <v>7.6981800219398115</v>
      </c>
      <c r="K174">
        <v>6.1906249999999998</v>
      </c>
      <c r="L174">
        <f>67*(5280/3600)</f>
        <v>98.266666666666666</v>
      </c>
      <c r="M174" s="2"/>
      <c r="N174" s="3"/>
      <c r="O174" s="2"/>
      <c r="P174" s="4"/>
    </row>
    <row r="175" spans="1:16" ht="15.6" x14ac:dyDescent="0.3">
      <c r="A175" t="s">
        <v>102</v>
      </c>
      <c r="B175">
        <v>9.86</v>
      </c>
      <c r="C175">
        <v>600</v>
      </c>
      <c r="D175" t="s">
        <v>64</v>
      </c>
      <c r="E175">
        <v>18.5</v>
      </c>
      <c r="F175">
        <v>9855</v>
      </c>
      <c r="G175">
        <v>49.66</v>
      </c>
      <c r="H175">
        <v>918.7</v>
      </c>
      <c r="I175">
        <f t="shared" si="7"/>
        <v>6.5309676717100249</v>
      </c>
      <c r="J175">
        <f t="shared" si="6"/>
        <v>6.5308965832526047</v>
      </c>
      <c r="K175">
        <v>5.555625</v>
      </c>
      <c r="L175">
        <f>74.7*(5280/3600)</f>
        <v>109.56</v>
      </c>
      <c r="M175" s="2"/>
      <c r="N175" s="3"/>
      <c r="O175" s="2"/>
      <c r="P175" s="4"/>
    </row>
    <row r="176" spans="1:16" ht="15.6" x14ac:dyDescent="0.3">
      <c r="A176" t="s">
        <v>102</v>
      </c>
      <c r="B176">
        <v>9.86</v>
      </c>
      <c r="C176">
        <v>600</v>
      </c>
      <c r="D176" t="s">
        <v>65</v>
      </c>
      <c r="E176">
        <v>18.5</v>
      </c>
      <c r="F176">
        <v>10106</v>
      </c>
      <c r="G176">
        <v>42.04</v>
      </c>
      <c r="H176">
        <v>777.8</v>
      </c>
      <c r="I176">
        <f t="shared" si="7"/>
        <v>7.7140653124196454</v>
      </c>
      <c r="J176">
        <f t="shared" si="6"/>
        <v>7.714660426363567</v>
      </c>
      <c r="K176">
        <v>7.37</v>
      </c>
      <c r="L176">
        <f>57.4*(5280/3600)</f>
        <v>84.186666666666653</v>
      </c>
      <c r="M176" s="2"/>
      <c r="N176" s="3"/>
      <c r="O176" s="2"/>
      <c r="P176" s="4"/>
    </row>
    <row r="177" spans="1:16" ht="15.6" x14ac:dyDescent="0.3">
      <c r="A177" t="s">
        <v>102</v>
      </c>
      <c r="B177">
        <v>9.86</v>
      </c>
      <c r="C177">
        <v>600</v>
      </c>
      <c r="D177" t="s">
        <v>47</v>
      </c>
      <c r="E177">
        <v>18.5</v>
      </c>
      <c r="F177">
        <v>9625</v>
      </c>
      <c r="G177">
        <v>56.58</v>
      </c>
      <c r="H177">
        <v>1046.7</v>
      </c>
      <c r="I177">
        <f t="shared" si="7"/>
        <v>5.7323015190599023</v>
      </c>
      <c r="J177">
        <f t="shared" si="6"/>
        <v>5.7321372273652234</v>
      </c>
      <c r="K177">
        <v>8.8450000000000006</v>
      </c>
      <c r="L177">
        <f>54.7*(5280/3600)</f>
        <v>80.226666666666659</v>
      </c>
      <c r="M177" s="2"/>
      <c r="N177" s="3"/>
      <c r="O177" s="2"/>
      <c r="P177" s="4"/>
    </row>
    <row r="178" spans="1:16" ht="15.6" x14ac:dyDescent="0.3">
      <c r="A178" t="s">
        <v>102</v>
      </c>
      <c r="B178">
        <v>9.86</v>
      </c>
      <c r="C178">
        <v>600</v>
      </c>
      <c r="D178" t="s">
        <v>81</v>
      </c>
      <c r="E178">
        <v>18.5</v>
      </c>
      <c r="F178">
        <v>10245</v>
      </c>
      <c r="G178">
        <v>36.159999999999997</v>
      </c>
      <c r="H178">
        <v>669</v>
      </c>
      <c r="I178">
        <f t="shared" si="7"/>
        <v>8.968609865470853</v>
      </c>
      <c r="J178">
        <f t="shared" si="6"/>
        <v>8.9691461372877299</v>
      </c>
      <c r="K178">
        <v>6.1131250000000001</v>
      </c>
      <c r="L178">
        <f>67.9*(5280/3600)</f>
        <v>99.586666666666673</v>
      </c>
      <c r="M178" s="2"/>
      <c r="N178" s="3"/>
      <c r="O178" s="2"/>
      <c r="P178" s="4"/>
    </row>
    <row r="179" spans="1:16" ht="15.6" x14ac:dyDescent="0.3">
      <c r="A179" t="s">
        <v>102</v>
      </c>
      <c r="B179">
        <v>9.86</v>
      </c>
      <c r="C179">
        <v>600</v>
      </c>
      <c r="D179" t="s">
        <v>66</v>
      </c>
      <c r="E179">
        <v>18.5</v>
      </c>
      <c r="F179">
        <v>10117</v>
      </c>
      <c r="G179">
        <v>39.799999999999997</v>
      </c>
      <c r="H179">
        <v>736.4</v>
      </c>
      <c r="I179">
        <f t="shared" si="7"/>
        <v>8.1477457903313422</v>
      </c>
      <c r="J179">
        <f t="shared" si="6"/>
        <v>8.148852369957897</v>
      </c>
      <c r="K179">
        <v>6.4487500000000004</v>
      </c>
      <c r="L179">
        <f>76.6*(5280/3600)</f>
        <v>112.34666666666665</v>
      </c>
      <c r="M179" s="2"/>
      <c r="N179" s="3"/>
      <c r="O179" s="2"/>
      <c r="P179" s="4"/>
    </row>
    <row r="180" spans="1:16" ht="15.6" x14ac:dyDescent="0.3">
      <c r="A180" t="s">
        <v>102</v>
      </c>
      <c r="B180">
        <v>9.86</v>
      </c>
      <c r="C180">
        <v>600</v>
      </c>
      <c r="D180" t="s">
        <v>53</v>
      </c>
      <c r="E180">
        <v>18.5</v>
      </c>
      <c r="F180">
        <v>10074</v>
      </c>
      <c r="G180">
        <v>41.42</v>
      </c>
      <c r="H180">
        <v>766.3</v>
      </c>
      <c r="I180">
        <f t="shared" si="7"/>
        <v>7.8298316586193399</v>
      </c>
      <c r="J180">
        <f t="shared" si="6"/>
        <v>7.8301382019392634</v>
      </c>
      <c r="K180">
        <v>7.1893750000000001</v>
      </c>
      <c r="L180">
        <f>57.2*(5280/3600)</f>
        <v>83.893333333333331</v>
      </c>
      <c r="M180" s="2"/>
      <c r="N180" s="3"/>
      <c r="O180" s="2"/>
      <c r="P180" s="4"/>
    </row>
    <row r="181" spans="1:16" ht="15.6" x14ac:dyDescent="0.3">
      <c r="A181" t="s">
        <v>102</v>
      </c>
      <c r="B181">
        <v>9.86</v>
      </c>
      <c r="C181">
        <v>600</v>
      </c>
      <c r="D181" t="s">
        <v>104</v>
      </c>
      <c r="E181">
        <v>22.2</v>
      </c>
      <c r="F181">
        <v>12356</v>
      </c>
      <c r="G181">
        <v>36.380000000000003</v>
      </c>
      <c r="H181">
        <v>807.6</v>
      </c>
      <c r="I181">
        <f t="shared" si="7"/>
        <v>7.4294205052005937</v>
      </c>
      <c r="J181">
        <f t="shared" si="6"/>
        <v>7.429089342228429</v>
      </c>
      <c r="K181">
        <v>4.2793749999999999</v>
      </c>
      <c r="L181">
        <f>87.8*(5280/3600)</f>
        <v>128.77333333333331</v>
      </c>
      <c r="M181" s="2"/>
      <c r="N181" s="3"/>
      <c r="O181" s="2"/>
      <c r="P181" s="4"/>
    </row>
    <row r="182" spans="1:16" ht="15.6" x14ac:dyDescent="0.3">
      <c r="A182" t="s">
        <v>102</v>
      </c>
      <c r="B182">
        <v>9.86</v>
      </c>
      <c r="C182">
        <v>600</v>
      </c>
      <c r="D182" t="s">
        <v>103</v>
      </c>
      <c r="E182">
        <v>22.2</v>
      </c>
      <c r="F182">
        <v>12265</v>
      </c>
      <c r="G182">
        <v>40.79</v>
      </c>
      <c r="H182">
        <v>905.6</v>
      </c>
      <c r="I182">
        <f t="shared" si="7"/>
        <v>6.6254416961130742</v>
      </c>
      <c r="J182">
        <f t="shared" si="6"/>
        <v>6.6258953241056702</v>
      </c>
      <c r="K182">
        <v>4.3631250000000001</v>
      </c>
      <c r="L182">
        <f>104.5*(5280/3600)</f>
        <v>153.26666666666665</v>
      </c>
      <c r="M182" s="2"/>
      <c r="N182" s="3"/>
      <c r="O182" s="2"/>
      <c r="P182" s="4"/>
    </row>
    <row r="183" spans="1:16" ht="15.6" x14ac:dyDescent="0.3">
      <c r="A183" t="s">
        <v>102</v>
      </c>
      <c r="B183">
        <v>9.86</v>
      </c>
      <c r="C183">
        <v>600</v>
      </c>
      <c r="D183" t="s">
        <v>68</v>
      </c>
      <c r="E183">
        <v>22.2</v>
      </c>
      <c r="F183">
        <v>12332</v>
      </c>
      <c r="G183">
        <v>37.06</v>
      </c>
      <c r="H183">
        <v>822.6</v>
      </c>
      <c r="I183">
        <f t="shared" si="7"/>
        <v>7.2939460247994159</v>
      </c>
      <c r="J183">
        <f t="shared" si="6"/>
        <v>7.2927757763159811</v>
      </c>
      <c r="K183">
        <v>5.5443749999999996</v>
      </c>
      <c r="L183">
        <f>81.7*(5280/3600)</f>
        <v>119.82666666666667</v>
      </c>
      <c r="M183" s="2"/>
      <c r="N183" s="3"/>
      <c r="O183" s="2"/>
      <c r="P183" s="4"/>
    </row>
    <row r="184" spans="1:16" ht="15.6" x14ac:dyDescent="0.3">
      <c r="A184" t="s">
        <v>102</v>
      </c>
      <c r="B184">
        <v>9.86</v>
      </c>
      <c r="C184">
        <v>600</v>
      </c>
      <c r="D184" t="s">
        <v>69</v>
      </c>
      <c r="E184">
        <v>22.2</v>
      </c>
      <c r="F184">
        <v>12187</v>
      </c>
      <c r="G184">
        <v>43.02</v>
      </c>
      <c r="H184">
        <v>955</v>
      </c>
      <c r="I184">
        <f t="shared" si="7"/>
        <v>6.2827225130890056</v>
      </c>
      <c r="J184">
        <f t="shared" si="6"/>
        <v>6.2824330606757384</v>
      </c>
      <c r="K184">
        <v>5.6</v>
      </c>
      <c r="L184">
        <f>92.3*(5280/3600)</f>
        <v>135.37333333333331</v>
      </c>
      <c r="M184" s="2"/>
      <c r="N184" s="3"/>
      <c r="O184" s="2"/>
      <c r="P184" s="4"/>
    </row>
    <row r="185" spans="1:16" ht="15.6" x14ac:dyDescent="0.3">
      <c r="A185" t="s">
        <v>102</v>
      </c>
      <c r="B185">
        <v>9.86</v>
      </c>
      <c r="C185">
        <v>600</v>
      </c>
      <c r="D185" t="s">
        <v>55</v>
      </c>
      <c r="E185">
        <v>22.2</v>
      </c>
      <c r="F185">
        <v>11788</v>
      </c>
      <c r="G185">
        <v>56.96</v>
      </c>
      <c r="H185">
        <v>1264.5999999999999</v>
      </c>
      <c r="I185">
        <f t="shared" si="7"/>
        <v>4.7445832674363437</v>
      </c>
      <c r="J185">
        <f t="shared" si="6"/>
        <v>4.7449134527786212</v>
      </c>
      <c r="K185">
        <v>5.1875</v>
      </c>
      <c r="L185">
        <f>111.6*(5280/3600)</f>
        <v>163.67999999999998</v>
      </c>
      <c r="M185" s="2"/>
      <c r="N185" s="3"/>
      <c r="O185" s="2"/>
      <c r="P185" s="4"/>
    </row>
    <row r="186" spans="1:16" ht="15.6" x14ac:dyDescent="0.3">
      <c r="A186" t="s">
        <v>102</v>
      </c>
      <c r="B186">
        <v>9.86</v>
      </c>
      <c r="C186">
        <v>600</v>
      </c>
      <c r="D186" t="s">
        <v>70</v>
      </c>
      <c r="E186">
        <v>22.2</v>
      </c>
      <c r="F186">
        <v>12150</v>
      </c>
      <c r="G186">
        <v>42.35</v>
      </c>
      <c r="H186">
        <v>940.1</v>
      </c>
      <c r="I186">
        <f t="shared" si="7"/>
        <v>6.3822997553451764</v>
      </c>
      <c r="J186">
        <f t="shared" si="6"/>
        <v>6.3818245636427449</v>
      </c>
      <c r="K186">
        <v>7.149375</v>
      </c>
      <c r="L186">
        <f>63.3*(5280/3600)</f>
        <v>92.839999999999989</v>
      </c>
      <c r="M186" s="2"/>
      <c r="N186" s="3"/>
      <c r="O186" s="2"/>
      <c r="P186" s="4"/>
    </row>
    <row r="187" spans="1:16" ht="15.6" x14ac:dyDescent="0.3">
      <c r="A187" t="s">
        <v>102</v>
      </c>
      <c r="B187">
        <v>9.86</v>
      </c>
      <c r="C187">
        <v>600</v>
      </c>
      <c r="D187" t="s">
        <v>71</v>
      </c>
      <c r="E187">
        <v>22.2</v>
      </c>
      <c r="F187">
        <v>11923</v>
      </c>
      <c r="G187">
        <v>52.06</v>
      </c>
      <c r="H187">
        <v>1155.8</v>
      </c>
      <c r="I187">
        <f t="shared" si="7"/>
        <v>5.1912095518255752</v>
      </c>
      <c r="J187">
        <f t="shared" si="6"/>
        <v>5.1915149879037701</v>
      </c>
      <c r="K187">
        <v>7.6431250000000004</v>
      </c>
      <c r="L187">
        <f>79*(5280/3600)</f>
        <v>115.86666666666666</v>
      </c>
      <c r="M187" s="2"/>
      <c r="N187" s="3"/>
      <c r="O187" s="2"/>
      <c r="P187" s="4"/>
    </row>
    <row r="188" spans="1:16" ht="15.6" x14ac:dyDescent="0.3">
      <c r="A188" t="s">
        <v>102</v>
      </c>
      <c r="B188">
        <v>9.86</v>
      </c>
      <c r="C188">
        <v>600</v>
      </c>
      <c r="D188" t="s">
        <v>98</v>
      </c>
      <c r="E188">
        <v>22.2</v>
      </c>
      <c r="F188">
        <v>12030</v>
      </c>
      <c r="G188">
        <v>47.74</v>
      </c>
      <c r="H188">
        <v>1059.8</v>
      </c>
      <c r="I188">
        <f t="shared" si="7"/>
        <v>5.6614455557652388</v>
      </c>
      <c r="J188">
        <f t="shared" si="6"/>
        <v>5.661295983876629</v>
      </c>
      <c r="K188">
        <v>9.4556249999999995</v>
      </c>
      <c r="L188">
        <f>45.6*(5280/3600)</f>
        <v>66.88</v>
      </c>
      <c r="M188" s="2"/>
      <c r="N188" s="3"/>
      <c r="O188" s="2"/>
      <c r="P188" s="4"/>
    </row>
    <row r="189" spans="1:16" ht="15.6" x14ac:dyDescent="0.3">
      <c r="A189" t="s">
        <v>102</v>
      </c>
      <c r="B189">
        <v>9.86</v>
      </c>
      <c r="C189">
        <v>600</v>
      </c>
      <c r="D189" t="s">
        <v>75</v>
      </c>
      <c r="E189">
        <v>22.2</v>
      </c>
      <c r="F189">
        <v>12231</v>
      </c>
      <c r="G189">
        <v>39.92</v>
      </c>
      <c r="H189">
        <v>886.2</v>
      </c>
      <c r="I189">
        <f t="shared" si="7"/>
        <v>6.7704807041299926</v>
      </c>
      <c r="J189">
        <f t="shared" si="6"/>
        <v>6.7702973514596758</v>
      </c>
      <c r="K189">
        <v>4.9206250000000002</v>
      </c>
      <c r="L189">
        <f>92.7*(5280/3600)</f>
        <v>135.96</v>
      </c>
      <c r="M189" s="2"/>
      <c r="N189" s="3"/>
      <c r="O189" s="2"/>
      <c r="P189" s="4"/>
    </row>
    <row r="190" spans="1:16" ht="15.6" x14ac:dyDescent="0.3">
      <c r="A190" t="s">
        <v>102</v>
      </c>
      <c r="B190">
        <v>9.86</v>
      </c>
      <c r="C190">
        <v>600</v>
      </c>
      <c r="D190" t="s">
        <v>77</v>
      </c>
      <c r="E190">
        <v>22.2</v>
      </c>
      <c r="F190">
        <v>12320</v>
      </c>
      <c r="G190">
        <v>37.81</v>
      </c>
      <c r="H190">
        <v>839.4</v>
      </c>
      <c r="I190">
        <f t="shared" si="7"/>
        <v>7.147962830593281</v>
      </c>
      <c r="J190">
        <f t="shared" si="6"/>
        <v>7.1481161139981548</v>
      </c>
      <c r="K190">
        <v>6.6887499999999998</v>
      </c>
      <c r="L190">
        <f>70*(5280/3600)</f>
        <v>102.66666666666666</v>
      </c>
      <c r="M190" s="2"/>
      <c r="N190" s="3"/>
      <c r="O190" s="2"/>
      <c r="P190" s="4"/>
    </row>
    <row r="191" spans="1:16" ht="15.6" x14ac:dyDescent="0.3">
      <c r="A191" t="s">
        <v>102</v>
      </c>
      <c r="B191">
        <v>9.86</v>
      </c>
      <c r="C191">
        <v>600</v>
      </c>
      <c r="D191" t="s">
        <v>78</v>
      </c>
      <c r="E191">
        <v>22.2</v>
      </c>
      <c r="F191">
        <v>12250</v>
      </c>
      <c r="G191">
        <v>39.42</v>
      </c>
      <c r="H191">
        <v>875.1</v>
      </c>
      <c r="I191">
        <f t="shared" si="7"/>
        <v>6.8563592732259169</v>
      </c>
      <c r="J191">
        <f t="shared" si="6"/>
        <v>6.856171239732884</v>
      </c>
      <c r="K191">
        <v>6.3868749999999999</v>
      </c>
      <c r="L191">
        <f>81.2*(5280/3600)</f>
        <v>119.09333333333333</v>
      </c>
      <c r="M191" s="2"/>
      <c r="N191" s="3"/>
      <c r="O191" s="2"/>
      <c r="P191" s="4"/>
    </row>
    <row r="192" spans="1:16" ht="15.6" x14ac:dyDescent="0.3">
      <c r="A192" t="s">
        <v>102</v>
      </c>
      <c r="B192">
        <v>9.86</v>
      </c>
      <c r="C192">
        <v>600</v>
      </c>
      <c r="D192" t="s">
        <v>61</v>
      </c>
      <c r="E192">
        <v>22.2</v>
      </c>
      <c r="F192">
        <v>11943</v>
      </c>
      <c r="G192">
        <v>50.62</v>
      </c>
      <c r="H192">
        <v>1123.9000000000001</v>
      </c>
      <c r="I192">
        <f t="shared" si="7"/>
        <v>5.3385532520686887</v>
      </c>
      <c r="J192">
        <f t="shared" si="6"/>
        <v>5.3391993336679233</v>
      </c>
      <c r="K192">
        <v>5.9281249999999996</v>
      </c>
      <c r="L192">
        <f>90.5*(5280/3600)</f>
        <v>132.73333333333332</v>
      </c>
      <c r="M192" s="2"/>
      <c r="N192" s="3"/>
      <c r="O192" s="2"/>
      <c r="P192" s="4"/>
    </row>
    <row r="193" spans="1:16" ht="15.6" x14ac:dyDescent="0.3">
      <c r="A193" t="s">
        <v>102</v>
      </c>
      <c r="B193">
        <v>9.86</v>
      </c>
      <c r="C193">
        <v>600</v>
      </c>
      <c r="D193" t="s">
        <v>62</v>
      </c>
      <c r="E193">
        <v>22.2</v>
      </c>
      <c r="F193">
        <v>11980</v>
      </c>
      <c r="G193">
        <v>49.17</v>
      </c>
      <c r="H193">
        <v>1091.5</v>
      </c>
      <c r="I193">
        <f t="shared" si="7"/>
        <v>5.4970224461749888</v>
      </c>
      <c r="J193">
        <f t="shared" si="6"/>
        <v>5.496649791951806</v>
      </c>
      <c r="K193">
        <v>7.6062500000000002</v>
      </c>
      <c r="L193">
        <f>68.1*(5280/3600)</f>
        <v>99.879999999999981</v>
      </c>
      <c r="M193" s="2"/>
      <c r="N193" s="3"/>
      <c r="O193" s="2"/>
      <c r="P193" s="4"/>
    </row>
    <row r="194" spans="1:16" ht="15.6" x14ac:dyDescent="0.3">
      <c r="A194" t="s">
        <v>102</v>
      </c>
      <c r="B194">
        <v>9.86</v>
      </c>
      <c r="C194">
        <v>600</v>
      </c>
      <c r="D194" t="s">
        <v>80</v>
      </c>
      <c r="E194">
        <v>22.2</v>
      </c>
      <c r="F194">
        <v>12267</v>
      </c>
      <c r="G194">
        <v>40.659999999999997</v>
      </c>
      <c r="H194">
        <v>902.6</v>
      </c>
      <c r="I194">
        <f t="shared" si="7"/>
        <v>6.6474628849988919</v>
      </c>
      <c r="J194">
        <f t="shared" si="6"/>
        <v>6.6470799377833325</v>
      </c>
      <c r="K194">
        <v>7.1074999999999999</v>
      </c>
      <c r="L194">
        <f>81.3*(5280/3600)</f>
        <v>119.23999999999998</v>
      </c>
      <c r="M194" s="2"/>
      <c r="N194" s="3"/>
      <c r="O194" s="2"/>
      <c r="P194" s="4"/>
    </row>
    <row r="195" spans="1:16" ht="15.6" x14ac:dyDescent="0.3">
      <c r="A195" t="s">
        <v>102</v>
      </c>
      <c r="B195">
        <v>9.86</v>
      </c>
      <c r="C195">
        <v>600</v>
      </c>
      <c r="D195" t="s">
        <v>81</v>
      </c>
      <c r="E195">
        <v>22.2</v>
      </c>
      <c r="F195">
        <v>11967</v>
      </c>
      <c r="G195">
        <v>49.83</v>
      </c>
      <c r="H195">
        <v>1106.2</v>
      </c>
      <c r="I195">
        <f t="shared" si="7"/>
        <v>5.4239739649249676</v>
      </c>
      <c r="J195">
        <f t="shared" ref="J195:J258" si="8">( ($N$1/E195)/G195)*60</f>
        <v>5.4238464834491333</v>
      </c>
      <c r="K195">
        <v>8.36</v>
      </c>
      <c r="L195">
        <f>79.3*(5280/3600)</f>
        <v>116.30666666666666</v>
      </c>
      <c r="M195" s="2"/>
      <c r="N195" s="3"/>
      <c r="O195" s="2"/>
      <c r="P195" s="4"/>
    </row>
    <row r="196" spans="1:16" ht="15.6" x14ac:dyDescent="0.3">
      <c r="A196" t="s">
        <v>102</v>
      </c>
      <c r="B196">
        <v>9.86</v>
      </c>
      <c r="C196">
        <v>600</v>
      </c>
      <c r="D196" t="s">
        <v>66</v>
      </c>
      <c r="E196">
        <v>22.2</v>
      </c>
      <c r="F196">
        <v>11822</v>
      </c>
      <c r="G196">
        <v>55.49</v>
      </c>
      <c r="H196">
        <v>1231.9000000000001</v>
      </c>
      <c r="I196">
        <f t="shared" ref="I196:I259" si="9" xml:space="preserve"> ($N$1/H196)*60</f>
        <v>4.8705252049679348</v>
      </c>
      <c r="J196">
        <f t="shared" si="8"/>
        <v>4.8706121872458148</v>
      </c>
      <c r="K196">
        <v>8.8318750000000001</v>
      </c>
      <c r="L196">
        <f>89.6*(5280/3600)</f>
        <v>131.41333333333333</v>
      </c>
      <c r="M196" s="2"/>
      <c r="N196" s="3"/>
      <c r="O196" s="2"/>
      <c r="P196" s="4"/>
    </row>
    <row r="197" spans="1:16" ht="15.6" x14ac:dyDescent="0.3">
      <c r="A197" t="s">
        <v>102</v>
      </c>
      <c r="B197">
        <v>9.86</v>
      </c>
      <c r="C197">
        <v>600</v>
      </c>
      <c r="D197" t="s">
        <v>99</v>
      </c>
      <c r="E197">
        <v>29.6</v>
      </c>
      <c r="F197">
        <v>16169</v>
      </c>
      <c r="G197">
        <v>50.47</v>
      </c>
      <c r="H197">
        <v>1493.9</v>
      </c>
      <c r="I197">
        <f t="shared" si="9"/>
        <v>4.0163330878907555</v>
      </c>
      <c r="J197">
        <f t="shared" si="8"/>
        <v>4.0163008262869564</v>
      </c>
      <c r="K197">
        <v>8.046875</v>
      </c>
      <c r="L197">
        <f>76.6*(5280/3600)</f>
        <v>112.34666666666665</v>
      </c>
      <c r="M197" s="5"/>
      <c r="N197" s="3"/>
      <c r="O197" s="5"/>
      <c r="P197" s="4"/>
    </row>
    <row r="198" spans="1:16" ht="15.6" x14ac:dyDescent="0.3">
      <c r="A198" t="s">
        <v>102</v>
      </c>
      <c r="B198">
        <v>9.86</v>
      </c>
      <c r="C198">
        <v>600</v>
      </c>
      <c r="D198" t="s">
        <v>67</v>
      </c>
      <c r="E198">
        <v>29.6</v>
      </c>
      <c r="F198">
        <v>15011</v>
      </c>
      <c r="G198">
        <v>55.38</v>
      </c>
      <c r="H198">
        <v>1639.2</v>
      </c>
      <c r="I198">
        <f t="shared" si="9"/>
        <v>3.6603221083455346</v>
      </c>
      <c r="J198">
        <f t="shared" si="8"/>
        <v>3.6602149278205611</v>
      </c>
      <c r="K198">
        <v>8.4593749999999996</v>
      </c>
      <c r="L198">
        <f>85.3*(5280/3600)</f>
        <v>125.10666666666665</v>
      </c>
      <c r="M198" s="5"/>
      <c r="N198" s="3"/>
      <c r="O198" s="5"/>
      <c r="P198" s="4"/>
    </row>
    <row r="199" spans="1:16" ht="15.6" x14ac:dyDescent="0.3">
      <c r="A199" t="s">
        <v>102</v>
      </c>
      <c r="B199">
        <v>9.86</v>
      </c>
      <c r="C199">
        <v>600</v>
      </c>
      <c r="D199" t="s">
        <v>100</v>
      </c>
      <c r="E199">
        <v>29.6</v>
      </c>
      <c r="F199">
        <v>16424</v>
      </c>
      <c r="G199">
        <v>41.26</v>
      </c>
      <c r="H199">
        <v>1221.2</v>
      </c>
      <c r="I199">
        <f t="shared" si="9"/>
        <v>4.9132001310186695</v>
      </c>
      <c r="J199">
        <f t="shared" si="8"/>
        <v>4.912813928810051</v>
      </c>
      <c r="K199">
        <v>6.7437500000000004</v>
      </c>
      <c r="L199">
        <f>77.8*(5280/3600)</f>
        <v>114.10666666666665</v>
      </c>
      <c r="M199" s="5"/>
      <c r="N199" s="3"/>
      <c r="O199" s="5"/>
      <c r="P199" s="4"/>
    </row>
    <row r="200" spans="1:16" ht="15.6" x14ac:dyDescent="0.3">
      <c r="A200" t="s">
        <v>102</v>
      </c>
      <c r="B200">
        <v>9.86</v>
      </c>
      <c r="C200">
        <v>600</v>
      </c>
      <c r="D200" t="s">
        <v>73</v>
      </c>
      <c r="E200">
        <v>29.6</v>
      </c>
      <c r="F200">
        <v>16066</v>
      </c>
      <c r="G200">
        <v>53.01</v>
      </c>
      <c r="H200">
        <v>1569.1</v>
      </c>
      <c r="I200">
        <f t="shared" si="9"/>
        <v>3.823848065770187</v>
      </c>
      <c r="J200">
        <f t="shared" si="8"/>
        <v>3.8238578136710561</v>
      </c>
      <c r="K200">
        <v>7.2374999999999998</v>
      </c>
      <c r="L200">
        <f>91.3*(5280/3600)</f>
        <v>133.90666666666667</v>
      </c>
      <c r="M200" s="5"/>
      <c r="N200" s="3"/>
      <c r="O200" s="5"/>
      <c r="P200" s="4"/>
    </row>
    <row r="201" spans="1:16" ht="15.6" x14ac:dyDescent="0.3">
      <c r="A201" t="s">
        <v>102</v>
      </c>
      <c r="B201">
        <v>9.86</v>
      </c>
      <c r="C201">
        <v>600</v>
      </c>
      <c r="D201" t="s">
        <v>101</v>
      </c>
      <c r="E201">
        <v>29.6</v>
      </c>
      <c r="F201">
        <v>16179</v>
      </c>
      <c r="G201">
        <v>48.61</v>
      </c>
      <c r="H201">
        <v>1438.8</v>
      </c>
      <c r="I201">
        <f t="shared" si="9"/>
        <v>4.1701417848206841</v>
      </c>
      <c r="J201">
        <f t="shared" si="8"/>
        <v>4.1699794837009403</v>
      </c>
      <c r="K201">
        <v>8.8337500000000002</v>
      </c>
      <c r="L201">
        <f>107.2*(5280/3600)</f>
        <v>157.22666666666666</v>
      </c>
      <c r="M201" s="5"/>
      <c r="N201" s="3"/>
      <c r="O201" s="5"/>
      <c r="P201" s="4"/>
    </row>
    <row r="202" spans="1:16" ht="15.6" x14ac:dyDescent="0.3">
      <c r="A202" t="s">
        <v>102</v>
      </c>
      <c r="B202">
        <v>9.86</v>
      </c>
      <c r="C202">
        <v>600</v>
      </c>
      <c r="D202" t="s">
        <v>79</v>
      </c>
      <c r="E202">
        <v>29.6</v>
      </c>
      <c r="F202">
        <v>16316</v>
      </c>
      <c r="G202">
        <v>44.77</v>
      </c>
      <c r="H202">
        <v>1325.3</v>
      </c>
      <c r="I202">
        <f t="shared" si="9"/>
        <v>4.5272768429789485</v>
      </c>
      <c r="J202">
        <f t="shared" si="8"/>
        <v>4.527645805287082</v>
      </c>
      <c r="K202">
        <v>9.1824999999999992</v>
      </c>
      <c r="L202">
        <f>77.3*(5280/3600)</f>
        <v>113.37333333333332</v>
      </c>
      <c r="M202" s="5"/>
      <c r="N202" s="3"/>
      <c r="O202" s="5"/>
      <c r="P202" s="4"/>
    </row>
    <row r="203" spans="1:16" x14ac:dyDescent="0.3">
      <c r="A203" t="s">
        <v>105</v>
      </c>
      <c r="B203">
        <v>9.86</v>
      </c>
      <c r="C203">
        <v>700</v>
      </c>
      <c r="D203" t="s">
        <v>57</v>
      </c>
      <c r="E203">
        <v>14.8</v>
      </c>
      <c r="F203">
        <v>9055</v>
      </c>
      <c r="G203">
        <v>44.85</v>
      </c>
      <c r="H203">
        <v>663.8</v>
      </c>
      <c r="I203">
        <f t="shared" si="9"/>
        <v>9.0388671286532105</v>
      </c>
      <c r="J203">
        <f t="shared" si="8"/>
        <v>9.0391394739220825</v>
      </c>
      <c r="K203">
        <v>4.2750000000000004</v>
      </c>
      <c r="L203">
        <f>85.7*(5280/3600)</f>
        <v>125.69333333333333</v>
      </c>
      <c r="M203" s="2"/>
      <c r="N203" s="2"/>
      <c r="O203" s="2"/>
      <c r="P203" s="2"/>
    </row>
    <row r="204" spans="1:16" x14ac:dyDescent="0.3">
      <c r="A204" t="s">
        <v>105</v>
      </c>
      <c r="B204">
        <v>9.86</v>
      </c>
      <c r="C204">
        <v>700</v>
      </c>
      <c r="D204" t="s">
        <v>32</v>
      </c>
      <c r="E204">
        <v>14.8</v>
      </c>
      <c r="F204">
        <v>9085</v>
      </c>
      <c r="G204">
        <v>46.16</v>
      </c>
      <c r="H204">
        <v>683.2</v>
      </c>
      <c r="I204">
        <f t="shared" si="9"/>
        <v>8.7822014051522252</v>
      </c>
      <c r="J204">
        <f t="shared" si="8"/>
        <v>8.7826127687479492</v>
      </c>
      <c r="K204">
        <v>5.2381250000000001</v>
      </c>
      <c r="L204">
        <f>68.8*(5280/3600)</f>
        <v>100.90666666666665</v>
      </c>
      <c r="M204" s="2"/>
      <c r="N204" s="2"/>
      <c r="O204" s="2"/>
      <c r="P204" s="2"/>
    </row>
    <row r="205" spans="1:16" x14ac:dyDescent="0.3">
      <c r="A205" t="s">
        <v>105</v>
      </c>
      <c r="B205">
        <v>9.86</v>
      </c>
      <c r="C205">
        <v>700</v>
      </c>
      <c r="D205" t="s">
        <v>33</v>
      </c>
      <c r="E205">
        <v>14.8</v>
      </c>
      <c r="F205">
        <v>8775</v>
      </c>
      <c r="G205">
        <v>56.39</v>
      </c>
      <c r="H205">
        <v>834.5</v>
      </c>
      <c r="I205">
        <f t="shared" si="9"/>
        <v>7.1899340922708204</v>
      </c>
      <c r="J205">
        <f t="shared" si="8"/>
        <v>7.1893138039617908</v>
      </c>
      <c r="K205">
        <v>5.5443749999999996</v>
      </c>
      <c r="L205">
        <f>83.1*(5280/3600)</f>
        <v>121.87999999999998</v>
      </c>
      <c r="M205" s="2"/>
      <c r="N205" s="2"/>
      <c r="O205" s="2"/>
      <c r="P205" s="2"/>
    </row>
    <row r="206" spans="1:16" x14ac:dyDescent="0.3">
      <c r="A206" t="s">
        <v>105</v>
      </c>
      <c r="B206">
        <v>9.86</v>
      </c>
      <c r="C206">
        <v>700</v>
      </c>
      <c r="D206" t="s">
        <v>34</v>
      </c>
      <c r="E206">
        <v>14.8</v>
      </c>
      <c r="F206">
        <v>8607</v>
      </c>
      <c r="G206">
        <v>61.69</v>
      </c>
      <c r="H206">
        <v>913</v>
      </c>
      <c r="I206">
        <f t="shared" si="9"/>
        <v>6.5717415115005471</v>
      </c>
      <c r="J206">
        <f t="shared" si="8"/>
        <v>6.5716551370628205</v>
      </c>
      <c r="K206">
        <v>5.1056249999999999</v>
      </c>
      <c r="L206">
        <f>97.8*(5280/3600)</f>
        <v>143.44</v>
      </c>
      <c r="M206" s="2"/>
      <c r="N206" s="2"/>
      <c r="O206" s="2"/>
      <c r="P206" s="2"/>
    </row>
    <row r="207" spans="1:16" x14ac:dyDescent="0.3">
      <c r="A207" t="s">
        <v>105</v>
      </c>
      <c r="B207">
        <v>9.86</v>
      </c>
      <c r="C207">
        <v>700</v>
      </c>
      <c r="D207" t="s">
        <v>35</v>
      </c>
      <c r="E207">
        <v>14.8</v>
      </c>
      <c r="F207">
        <v>8897</v>
      </c>
      <c r="G207">
        <v>52.33</v>
      </c>
      <c r="H207">
        <v>774.5</v>
      </c>
      <c r="I207">
        <f t="shared" si="9"/>
        <v>7.7469335054874113</v>
      </c>
      <c r="J207">
        <f t="shared" si="8"/>
        <v>7.7470935487369648</v>
      </c>
      <c r="K207">
        <v>6.9775</v>
      </c>
      <c r="L207">
        <f>54.8*(5280/3600)</f>
        <v>80.373333333333321</v>
      </c>
      <c r="M207" s="2"/>
      <c r="N207" s="2"/>
      <c r="O207" s="2"/>
      <c r="P207" s="2"/>
    </row>
    <row r="208" spans="1:16" x14ac:dyDescent="0.3">
      <c r="A208" t="s">
        <v>105</v>
      </c>
      <c r="B208">
        <v>9.86</v>
      </c>
      <c r="C208">
        <v>700</v>
      </c>
      <c r="D208" t="s">
        <v>36</v>
      </c>
      <c r="E208">
        <v>14.8</v>
      </c>
      <c r="F208">
        <v>8768</v>
      </c>
      <c r="G208">
        <v>56.42</v>
      </c>
      <c r="H208">
        <v>835.1</v>
      </c>
      <c r="I208">
        <f t="shared" si="9"/>
        <v>7.1847682912226078</v>
      </c>
      <c r="J208">
        <f t="shared" si="8"/>
        <v>7.1854910564587975</v>
      </c>
      <c r="K208">
        <v>7.0350000000000001</v>
      </c>
      <c r="L208">
        <f>66.4*(5280/3600)</f>
        <v>97.38666666666667</v>
      </c>
      <c r="M208" s="2"/>
      <c r="N208" s="2"/>
      <c r="O208" s="2"/>
      <c r="P208" s="2"/>
    </row>
    <row r="209" spans="1:16" x14ac:dyDescent="0.3">
      <c r="A209" t="s">
        <v>105</v>
      </c>
      <c r="B209">
        <v>9.86</v>
      </c>
      <c r="C209">
        <v>700</v>
      </c>
      <c r="D209" t="s">
        <v>38</v>
      </c>
      <c r="E209">
        <v>14.8</v>
      </c>
      <c r="F209">
        <v>9045</v>
      </c>
      <c r="G209">
        <v>47.65</v>
      </c>
      <c r="H209">
        <v>705.2</v>
      </c>
      <c r="I209">
        <f t="shared" si="9"/>
        <v>8.5082246171298905</v>
      </c>
      <c r="J209">
        <f t="shared" si="8"/>
        <v>8.5079833243526846</v>
      </c>
      <c r="K209">
        <v>7.5881249999999998</v>
      </c>
      <c r="L209">
        <f>51.4*(5280/3600)</f>
        <v>75.386666666666656</v>
      </c>
      <c r="M209" s="2"/>
      <c r="N209" s="2"/>
      <c r="O209" s="2"/>
      <c r="P209" s="2"/>
    </row>
    <row r="210" spans="1:16" x14ac:dyDescent="0.3">
      <c r="A210" t="s">
        <v>105</v>
      </c>
      <c r="B210">
        <v>9.86</v>
      </c>
      <c r="C210">
        <v>700</v>
      </c>
      <c r="D210" t="s">
        <v>60</v>
      </c>
      <c r="E210">
        <v>14.8</v>
      </c>
      <c r="F210">
        <v>8919</v>
      </c>
      <c r="G210">
        <v>51.68</v>
      </c>
      <c r="H210">
        <v>764.8</v>
      </c>
      <c r="I210">
        <f t="shared" si="9"/>
        <v>7.8451882845188283</v>
      </c>
      <c r="J210">
        <f t="shared" si="8"/>
        <v>7.8445318383398863</v>
      </c>
      <c r="K210">
        <v>8.4637499999999992</v>
      </c>
      <c r="L210">
        <f>33.8*(5280/3600)</f>
        <v>49.573333333333323</v>
      </c>
      <c r="M210" s="2"/>
      <c r="N210" s="2"/>
      <c r="O210" s="2"/>
      <c r="P210" s="2"/>
    </row>
    <row r="211" spans="1:16" x14ac:dyDescent="0.3">
      <c r="A211" t="s">
        <v>105</v>
      </c>
      <c r="B211">
        <v>9.86</v>
      </c>
      <c r="C211">
        <v>700</v>
      </c>
      <c r="D211" t="s">
        <v>64</v>
      </c>
      <c r="E211">
        <v>14.8</v>
      </c>
      <c r="F211">
        <v>9045</v>
      </c>
      <c r="G211">
        <v>47.75</v>
      </c>
      <c r="H211">
        <v>706.7</v>
      </c>
      <c r="I211">
        <f t="shared" si="9"/>
        <v>8.4901655582283837</v>
      </c>
      <c r="J211">
        <f t="shared" si="8"/>
        <v>8.4901655582283837</v>
      </c>
      <c r="K211">
        <v>4.6693749999999996</v>
      </c>
      <c r="L211">
        <f>68.5*(5280/3600)</f>
        <v>100.46666666666665</v>
      </c>
      <c r="M211" s="2"/>
      <c r="N211" s="2"/>
      <c r="O211" s="2"/>
      <c r="P211" s="2"/>
    </row>
    <row r="212" spans="1:16" x14ac:dyDescent="0.3">
      <c r="A212" t="s">
        <v>105</v>
      </c>
      <c r="B212">
        <v>9.86</v>
      </c>
      <c r="C212">
        <v>700</v>
      </c>
      <c r="D212" t="s">
        <v>45</v>
      </c>
      <c r="E212">
        <v>14.8</v>
      </c>
      <c r="F212">
        <v>8806</v>
      </c>
      <c r="G212">
        <v>55.26</v>
      </c>
      <c r="H212">
        <v>817.8</v>
      </c>
      <c r="I212">
        <f t="shared" si="9"/>
        <v>7.3367571533382243</v>
      </c>
      <c r="J212">
        <f t="shared" si="8"/>
        <v>7.3363265545675969</v>
      </c>
      <c r="K212">
        <v>6.2675000000000001</v>
      </c>
      <c r="L212">
        <f>66.7*(5280/3600)</f>
        <v>97.826666666666668</v>
      </c>
      <c r="M212" s="2"/>
      <c r="N212" s="2"/>
      <c r="O212" s="2"/>
      <c r="P212" s="2"/>
    </row>
    <row r="213" spans="1:16" x14ac:dyDescent="0.3">
      <c r="A213" t="s">
        <v>105</v>
      </c>
      <c r="B213">
        <v>9.86</v>
      </c>
      <c r="C213">
        <v>700</v>
      </c>
      <c r="D213" t="s">
        <v>47</v>
      </c>
      <c r="E213">
        <v>14.8</v>
      </c>
      <c r="F213">
        <v>8886</v>
      </c>
      <c r="G213">
        <v>52.74</v>
      </c>
      <c r="H213">
        <v>780.6</v>
      </c>
      <c r="I213">
        <f t="shared" si="9"/>
        <v>7.6863950807071477</v>
      </c>
      <c r="J213">
        <f t="shared" si="8"/>
        <v>7.6868677551271407</v>
      </c>
      <c r="K213">
        <v>7.3081250000000004</v>
      </c>
      <c r="L213">
        <f>50.5*(5280/3600)</f>
        <v>74.066666666666663</v>
      </c>
      <c r="M213" s="2"/>
      <c r="N213" s="2"/>
      <c r="O213" s="2"/>
      <c r="P213" s="2"/>
    </row>
    <row r="214" spans="1:16" x14ac:dyDescent="0.3">
      <c r="A214" t="s">
        <v>105</v>
      </c>
      <c r="B214">
        <v>9.86</v>
      </c>
      <c r="C214">
        <v>700</v>
      </c>
      <c r="D214" t="s">
        <v>48</v>
      </c>
      <c r="E214">
        <v>14.8</v>
      </c>
      <c r="F214">
        <v>8642</v>
      </c>
      <c r="G214">
        <v>62.68</v>
      </c>
      <c r="H214">
        <v>927.7</v>
      </c>
      <c r="I214">
        <f t="shared" si="9"/>
        <v>6.4676080629513848</v>
      </c>
      <c r="J214">
        <f t="shared" si="8"/>
        <v>6.4678590524155295</v>
      </c>
      <c r="K214">
        <v>8.3137500000000006</v>
      </c>
      <c r="L214">
        <f>65.5*(5280/3600)</f>
        <v>96.066666666666663</v>
      </c>
      <c r="M214" s="2"/>
      <c r="N214" s="2"/>
      <c r="O214" s="2"/>
      <c r="P214" s="2"/>
    </row>
    <row r="215" spans="1:16" x14ac:dyDescent="0.3">
      <c r="A215" t="s">
        <v>105</v>
      </c>
      <c r="B215">
        <v>9.86</v>
      </c>
      <c r="C215">
        <v>700</v>
      </c>
      <c r="D215" t="s">
        <v>54</v>
      </c>
      <c r="E215">
        <v>14.8</v>
      </c>
      <c r="F215">
        <v>8817</v>
      </c>
      <c r="G215">
        <v>55.18</v>
      </c>
      <c r="H215">
        <v>816.6</v>
      </c>
      <c r="I215">
        <f t="shared" si="9"/>
        <v>7.3475385745775164</v>
      </c>
      <c r="J215">
        <f t="shared" si="8"/>
        <v>7.3469627655927034</v>
      </c>
      <c r="K215">
        <v>7.4518750000000002</v>
      </c>
      <c r="L215">
        <f>66.8*(5280/3600)</f>
        <v>97.973333333333329</v>
      </c>
      <c r="M215" s="2"/>
      <c r="N215" s="2"/>
      <c r="O215" s="2"/>
      <c r="P215" s="2"/>
    </row>
    <row r="216" spans="1:16" x14ac:dyDescent="0.3">
      <c r="A216" t="s">
        <v>105</v>
      </c>
      <c r="B216">
        <v>9.86</v>
      </c>
      <c r="C216">
        <v>700</v>
      </c>
      <c r="D216" t="s">
        <v>25</v>
      </c>
      <c r="E216">
        <v>14.8</v>
      </c>
      <c r="F216">
        <v>8603</v>
      </c>
      <c r="G216">
        <v>61.98</v>
      </c>
      <c r="H216">
        <v>917.2</v>
      </c>
      <c r="I216">
        <f t="shared" si="9"/>
        <v>6.5416484954208451</v>
      </c>
      <c r="J216">
        <f t="shared" si="8"/>
        <v>6.5409068313230945</v>
      </c>
      <c r="K216">
        <v>8.3049999999999997</v>
      </c>
      <c r="L216">
        <f>65.2*(5280/3600)</f>
        <v>95.626666666666665</v>
      </c>
      <c r="M216" s="2"/>
      <c r="N216" s="2"/>
      <c r="O216" s="2"/>
      <c r="P216" s="2"/>
    </row>
    <row r="217" spans="1:16" ht="15.6" x14ac:dyDescent="0.3">
      <c r="A217" t="s">
        <v>105</v>
      </c>
      <c r="B217">
        <v>9.86</v>
      </c>
      <c r="C217">
        <v>700</v>
      </c>
      <c r="D217" t="s">
        <v>69</v>
      </c>
      <c r="E217">
        <v>18.5</v>
      </c>
      <c r="F217">
        <v>11567</v>
      </c>
      <c r="G217">
        <v>43.07</v>
      </c>
      <c r="H217">
        <v>796.7</v>
      </c>
      <c r="I217">
        <f t="shared" si="9"/>
        <v>7.5310656457888783</v>
      </c>
      <c r="J217">
        <f t="shared" si="8"/>
        <v>7.5301677344862856</v>
      </c>
      <c r="K217">
        <v>5.006875</v>
      </c>
      <c r="L217">
        <f>87.6*(5280/3600)</f>
        <v>128.47999999999999</v>
      </c>
      <c r="M217" s="2"/>
      <c r="N217" s="3"/>
      <c r="O217" s="2"/>
      <c r="P217" s="4"/>
    </row>
    <row r="218" spans="1:16" ht="15.6" x14ac:dyDescent="0.3">
      <c r="A218" t="s">
        <v>105</v>
      </c>
      <c r="B218">
        <v>9.86</v>
      </c>
      <c r="C218">
        <v>700</v>
      </c>
      <c r="D218" t="s">
        <v>55</v>
      </c>
      <c r="E218">
        <v>18.5</v>
      </c>
      <c r="F218">
        <v>11195</v>
      </c>
      <c r="G218">
        <v>55.84</v>
      </c>
      <c r="H218">
        <v>1032.9000000000001</v>
      </c>
      <c r="I218">
        <f t="shared" si="9"/>
        <v>5.8088875980249783</v>
      </c>
      <c r="J218">
        <f t="shared" si="8"/>
        <v>5.8081003639742885</v>
      </c>
      <c r="K218">
        <v>4.6231249999999999</v>
      </c>
      <c r="L218">
        <f>106*(5280/3600)</f>
        <v>155.46666666666667</v>
      </c>
      <c r="M218" s="2"/>
      <c r="N218" s="3"/>
      <c r="O218" s="2"/>
      <c r="P218" s="4"/>
    </row>
    <row r="219" spans="1:16" ht="15.6" x14ac:dyDescent="0.3">
      <c r="A219" t="s">
        <v>105</v>
      </c>
      <c r="B219">
        <v>9.86</v>
      </c>
      <c r="C219">
        <v>700</v>
      </c>
      <c r="D219" t="s">
        <v>70</v>
      </c>
      <c r="E219">
        <v>18.5</v>
      </c>
      <c r="F219">
        <v>11607</v>
      </c>
      <c r="G219">
        <v>42.04</v>
      </c>
      <c r="H219">
        <v>777.7</v>
      </c>
      <c r="I219">
        <f t="shared" si="9"/>
        <v>7.715057220007715</v>
      </c>
      <c r="J219">
        <f t="shared" si="8"/>
        <v>7.714660426363567</v>
      </c>
      <c r="K219">
        <v>6.6312499999999996</v>
      </c>
      <c r="L219">
        <f>60.5*(5280/3600)</f>
        <v>88.73333333333332</v>
      </c>
      <c r="M219" s="2"/>
      <c r="N219" s="3"/>
      <c r="O219" s="2"/>
      <c r="P219" s="4"/>
    </row>
    <row r="220" spans="1:16" ht="15.6" x14ac:dyDescent="0.3">
      <c r="A220" t="s">
        <v>105</v>
      </c>
      <c r="B220">
        <v>9.86</v>
      </c>
      <c r="C220">
        <v>700</v>
      </c>
      <c r="D220" t="s">
        <v>71</v>
      </c>
      <c r="E220">
        <v>18.5</v>
      </c>
      <c r="F220">
        <v>11368</v>
      </c>
      <c r="G220">
        <v>51.08</v>
      </c>
      <c r="H220">
        <v>945</v>
      </c>
      <c r="I220">
        <f t="shared" si="9"/>
        <v>6.3492063492063489</v>
      </c>
      <c r="J220">
        <f t="shared" si="8"/>
        <v>6.3493407267878688</v>
      </c>
      <c r="K220">
        <v>6.9668749999999999</v>
      </c>
      <c r="L220">
        <f>75.4*(5280/3600)</f>
        <v>110.58666666666667</v>
      </c>
      <c r="M220" s="2"/>
      <c r="N220" s="3"/>
      <c r="O220" s="2"/>
      <c r="P220" s="4"/>
    </row>
    <row r="221" spans="1:16" ht="15.6" x14ac:dyDescent="0.3">
      <c r="A221" t="s">
        <v>105</v>
      </c>
      <c r="B221">
        <v>9.86</v>
      </c>
      <c r="C221">
        <v>700</v>
      </c>
      <c r="D221" t="s">
        <v>72</v>
      </c>
      <c r="E221">
        <v>18.5</v>
      </c>
      <c r="F221">
        <v>11191</v>
      </c>
      <c r="G221">
        <v>56.38</v>
      </c>
      <c r="H221">
        <v>1043</v>
      </c>
      <c r="I221">
        <f t="shared" si="9"/>
        <v>5.7526366251198464</v>
      </c>
      <c r="J221">
        <f t="shared" si="8"/>
        <v>5.7524711657382808</v>
      </c>
      <c r="K221">
        <v>6.5387500000000003</v>
      </c>
      <c r="L221">
        <f>84.8*(5280/3600)</f>
        <v>124.37333333333332</v>
      </c>
      <c r="M221" s="2"/>
      <c r="N221" s="3"/>
      <c r="O221" s="2"/>
      <c r="P221" s="4"/>
    </row>
    <row r="222" spans="1:16" ht="15.6" x14ac:dyDescent="0.3">
      <c r="A222" t="s">
        <v>105</v>
      </c>
      <c r="B222">
        <v>9.86</v>
      </c>
      <c r="C222">
        <v>700</v>
      </c>
      <c r="D222" t="s">
        <v>56</v>
      </c>
      <c r="E222">
        <v>18.5</v>
      </c>
      <c r="F222">
        <v>11060</v>
      </c>
      <c r="G222">
        <v>60.52</v>
      </c>
      <c r="H222">
        <v>1119.5999999999999</v>
      </c>
      <c r="I222">
        <f t="shared" si="9"/>
        <v>5.359056806002144</v>
      </c>
      <c r="J222">
        <f t="shared" si="8"/>
        <v>5.3589610760793835</v>
      </c>
      <c r="K222">
        <v>6.649375</v>
      </c>
      <c r="L222">
        <f>89*(5280/3600)</f>
        <v>130.53333333333333</v>
      </c>
      <c r="M222" s="2"/>
      <c r="N222" s="3"/>
      <c r="O222" s="2"/>
      <c r="P222" s="4"/>
    </row>
    <row r="223" spans="1:16" ht="15.6" x14ac:dyDescent="0.3">
      <c r="A223" t="s">
        <v>105</v>
      </c>
      <c r="B223">
        <v>9.86</v>
      </c>
      <c r="C223">
        <v>700</v>
      </c>
      <c r="D223" t="s">
        <v>58</v>
      </c>
      <c r="E223">
        <v>18.5</v>
      </c>
      <c r="F223">
        <v>11131</v>
      </c>
      <c r="G223">
        <v>57.94</v>
      </c>
      <c r="H223">
        <v>1071.9000000000001</v>
      </c>
      <c r="I223">
        <f t="shared" si="9"/>
        <v>5.5975370836831786</v>
      </c>
      <c r="J223">
        <f t="shared" si="8"/>
        <v>5.5975893048727015</v>
      </c>
      <c r="K223">
        <v>8.3468750000000007</v>
      </c>
      <c r="L223">
        <f>63.2*(5280/3600)</f>
        <v>92.693333333333328</v>
      </c>
      <c r="M223" s="2"/>
      <c r="N223" s="3"/>
      <c r="O223" s="2"/>
      <c r="P223" s="4"/>
    </row>
    <row r="224" spans="1:16" ht="15.6" x14ac:dyDescent="0.3">
      <c r="A224" t="s">
        <v>105</v>
      </c>
      <c r="B224">
        <v>9.86</v>
      </c>
      <c r="C224">
        <v>700</v>
      </c>
      <c r="D224" t="s">
        <v>98</v>
      </c>
      <c r="E224">
        <v>18.5</v>
      </c>
      <c r="F224">
        <v>11490</v>
      </c>
      <c r="G224">
        <v>47.88</v>
      </c>
      <c r="H224">
        <v>885.7</v>
      </c>
      <c r="I224">
        <f t="shared" si="9"/>
        <v>6.7743028113356658</v>
      </c>
      <c r="J224">
        <f t="shared" si="8"/>
        <v>6.773690984217299</v>
      </c>
      <c r="K224">
        <v>8.4481249999999992</v>
      </c>
      <c r="L224">
        <f>43.5*(5280/3600)</f>
        <v>63.8</v>
      </c>
      <c r="M224" s="2"/>
      <c r="N224" s="3"/>
      <c r="O224" s="2"/>
      <c r="P224" s="4"/>
    </row>
    <row r="225" spans="1:16" ht="15.6" x14ac:dyDescent="0.3">
      <c r="A225" t="s">
        <v>105</v>
      </c>
      <c r="B225">
        <v>9.86</v>
      </c>
      <c r="C225">
        <v>700</v>
      </c>
      <c r="D225" t="s">
        <v>59</v>
      </c>
      <c r="E225">
        <v>18.5</v>
      </c>
      <c r="F225">
        <v>11100</v>
      </c>
      <c r="G225">
        <v>59.31</v>
      </c>
      <c r="H225">
        <v>1097.2</v>
      </c>
      <c r="I225">
        <f t="shared" si="9"/>
        <v>5.4684651841049945</v>
      </c>
      <c r="J225">
        <f t="shared" si="8"/>
        <v>5.4682907490191246</v>
      </c>
      <c r="K225">
        <v>9.5462500000000006</v>
      </c>
      <c r="L225">
        <f>57.8*(5280/3600)</f>
        <v>84.773333333333326</v>
      </c>
      <c r="M225" s="2"/>
      <c r="N225" s="3"/>
      <c r="O225" s="2"/>
      <c r="P225" s="4"/>
    </row>
    <row r="226" spans="1:16" ht="15.6" x14ac:dyDescent="0.3">
      <c r="A226" t="s">
        <v>105</v>
      </c>
      <c r="B226">
        <v>9.86</v>
      </c>
      <c r="C226">
        <v>700</v>
      </c>
      <c r="D226" t="s">
        <v>75</v>
      </c>
      <c r="E226">
        <v>18.5</v>
      </c>
      <c r="F226">
        <v>11715</v>
      </c>
      <c r="G226">
        <v>41.17</v>
      </c>
      <c r="H226">
        <v>761.6</v>
      </c>
      <c r="I226">
        <f t="shared" si="9"/>
        <v>7.8781512605042021</v>
      </c>
      <c r="J226">
        <f t="shared" si="8"/>
        <v>7.8776857985019255</v>
      </c>
      <c r="K226">
        <v>4.4731249999999996</v>
      </c>
      <c r="L226">
        <f>88.8*(5280/3600)</f>
        <v>130.23999999999998</v>
      </c>
      <c r="M226" s="2"/>
      <c r="N226" s="3"/>
      <c r="O226" s="2"/>
      <c r="P226" s="4"/>
    </row>
    <row r="227" spans="1:16" ht="15.6" x14ac:dyDescent="0.3">
      <c r="A227" t="s">
        <v>105</v>
      </c>
      <c r="B227">
        <v>9.86</v>
      </c>
      <c r="C227">
        <v>700</v>
      </c>
      <c r="D227" t="s">
        <v>61</v>
      </c>
      <c r="E227">
        <v>18.5</v>
      </c>
      <c r="F227">
        <v>11349</v>
      </c>
      <c r="G227">
        <v>51.64</v>
      </c>
      <c r="H227">
        <v>955.4</v>
      </c>
      <c r="I227">
        <f t="shared" si="9"/>
        <v>6.280092108017584</v>
      </c>
      <c r="J227">
        <f t="shared" si="8"/>
        <v>6.2804865283563966</v>
      </c>
      <c r="K227">
        <v>5.3637499999999996</v>
      </c>
      <c r="L227">
        <f>86*(5280/3600)</f>
        <v>126.13333333333333</v>
      </c>
      <c r="M227" s="2"/>
      <c r="N227" s="3"/>
      <c r="O227" s="2"/>
      <c r="P227" s="4"/>
    </row>
    <row r="228" spans="1:16" ht="15.6" x14ac:dyDescent="0.3">
      <c r="A228" t="s">
        <v>105</v>
      </c>
      <c r="B228">
        <v>9.86</v>
      </c>
      <c r="C228">
        <v>700</v>
      </c>
      <c r="D228" t="s">
        <v>62</v>
      </c>
      <c r="E228">
        <v>18.5</v>
      </c>
      <c r="F228">
        <v>11435</v>
      </c>
      <c r="G228">
        <v>49.5</v>
      </c>
      <c r="H228">
        <v>915.8</v>
      </c>
      <c r="I228">
        <f t="shared" si="9"/>
        <v>6.551648831622626</v>
      </c>
      <c r="J228">
        <f t="shared" si="8"/>
        <v>6.552006552006552</v>
      </c>
      <c r="K228">
        <v>6.9293750000000003</v>
      </c>
      <c r="L228">
        <f>65*(5280/3600)</f>
        <v>95.333333333333329</v>
      </c>
      <c r="M228" s="2"/>
      <c r="N228" s="3"/>
      <c r="O228" s="2"/>
      <c r="P228" s="4"/>
    </row>
    <row r="229" spans="1:16" ht="15.6" x14ac:dyDescent="0.3">
      <c r="A229" t="s">
        <v>105</v>
      </c>
      <c r="B229">
        <v>9.86</v>
      </c>
      <c r="C229">
        <v>700</v>
      </c>
      <c r="D229" t="s">
        <v>63</v>
      </c>
      <c r="E229">
        <v>18.5</v>
      </c>
      <c r="F229">
        <v>11118</v>
      </c>
      <c r="G229">
        <v>58.52</v>
      </c>
      <c r="H229">
        <v>1082.5</v>
      </c>
      <c r="I229">
        <f t="shared" si="9"/>
        <v>5.5427251732101617</v>
      </c>
      <c r="J229">
        <f t="shared" si="8"/>
        <v>5.5421108052686998</v>
      </c>
      <c r="K229">
        <v>7.26</v>
      </c>
      <c r="L229">
        <f>73.7*(5280/3600)</f>
        <v>108.09333333333333</v>
      </c>
      <c r="M229" s="2"/>
      <c r="N229" s="3"/>
      <c r="O229" s="2"/>
      <c r="P229" s="4"/>
    </row>
    <row r="230" spans="1:16" ht="15.6" x14ac:dyDescent="0.3">
      <c r="A230" t="s">
        <v>105</v>
      </c>
      <c r="B230">
        <v>9.86</v>
      </c>
      <c r="C230">
        <v>700</v>
      </c>
      <c r="D230" t="s">
        <v>65</v>
      </c>
      <c r="E230">
        <v>18.5</v>
      </c>
      <c r="F230">
        <v>11130</v>
      </c>
      <c r="G230">
        <v>58.14</v>
      </c>
      <c r="H230">
        <v>1075.5999999999999</v>
      </c>
      <c r="I230">
        <f t="shared" si="9"/>
        <v>5.5782818891781334</v>
      </c>
      <c r="J230">
        <f t="shared" si="8"/>
        <v>5.5783337517083647</v>
      </c>
      <c r="K230">
        <v>8.9243749999999995</v>
      </c>
      <c r="L230">
        <f>63.2*(5280/3600)</f>
        <v>92.693333333333328</v>
      </c>
      <c r="M230" s="2"/>
      <c r="N230" s="3"/>
      <c r="O230" s="2"/>
      <c r="P230" s="4"/>
    </row>
    <row r="231" spans="1:16" ht="15.6" x14ac:dyDescent="0.3">
      <c r="A231" t="s">
        <v>105</v>
      </c>
      <c r="B231">
        <v>9.86</v>
      </c>
      <c r="C231">
        <v>700</v>
      </c>
      <c r="D231" t="s">
        <v>81</v>
      </c>
      <c r="E231">
        <v>18.5</v>
      </c>
      <c r="F231">
        <v>11410</v>
      </c>
      <c r="G231">
        <v>49.94</v>
      </c>
      <c r="H231">
        <v>923.9</v>
      </c>
      <c r="I231">
        <f t="shared" si="9"/>
        <v>6.4942093300140709</v>
      </c>
      <c r="J231">
        <f t="shared" si="8"/>
        <v>6.4942796220329253</v>
      </c>
      <c r="K231">
        <v>7.49125</v>
      </c>
      <c r="L231">
        <f>75.6*(5280/3600)</f>
        <v>110.87999999999998</v>
      </c>
      <c r="M231" s="2"/>
      <c r="N231" s="3"/>
      <c r="O231" s="2"/>
      <c r="P231" s="4"/>
    </row>
    <row r="232" spans="1:16" ht="15.6" x14ac:dyDescent="0.3">
      <c r="A232" t="s">
        <v>105</v>
      </c>
      <c r="B232">
        <v>9.86</v>
      </c>
      <c r="C232">
        <v>700</v>
      </c>
      <c r="D232" t="s">
        <v>66</v>
      </c>
      <c r="E232">
        <v>18.5</v>
      </c>
      <c r="F232">
        <v>11236</v>
      </c>
      <c r="G232">
        <v>54.89</v>
      </c>
      <c r="H232">
        <v>1015.4</v>
      </c>
      <c r="I232">
        <f t="shared" si="9"/>
        <v>5.9090013787669884</v>
      </c>
      <c r="J232">
        <f t="shared" si="8"/>
        <v>5.9086231430920808</v>
      </c>
      <c r="K232">
        <v>7.78</v>
      </c>
      <c r="L232">
        <f>85.1*(5280/3600)</f>
        <v>124.81333333333332</v>
      </c>
      <c r="M232" s="2"/>
      <c r="N232" s="3"/>
      <c r="O232" s="2"/>
      <c r="P232" s="4"/>
    </row>
    <row r="233" spans="1:16" ht="15.6" x14ac:dyDescent="0.3">
      <c r="A233" t="s">
        <v>105</v>
      </c>
      <c r="B233">
        <v>9.86</v>
      </c>
      <c r="C233">
        <v>700</v>
      </c>
      <c r="D233" t="s">
        <v>53</v>
      </c>
      <c r="E233">
        <v>18.5</v>
      </c>
      <c r="F233">
        <v>11175</v>
      </c>
      <c r="G233">
        <v>56.92</v>
      </c>
      <c r="H233">
        <v>1053</v>
      </c>
      <c r="I233">
        <f t="shared" si="9"/>
        <v>5.6980056980056988</v>
      </c>
      <c r="J233">
        <f t="shared" si="8"/>
        <v>5.697897475831418</v>
      </c>
      <c r="K233">
        <v>8.7324999999999999</v>
      </c>
      <c r="L233">
        <f>63.5*(5280/3600)</f>
        <v>93.133333333333326</v>
      </c>
      <c r="M233" s="2"/>
      <c r="N233" s="3"/>
      <c r="O233" s="2"/>
      <c r="P233" s="4"/>
    </row>
    <row r="234" spans="1:16" ht="15.6" x14ac:dyDescent="0.3">
      <c r="A234" t="s">
        <v>105</v>
      </c>
      <c r="B234">
        <v>9.86</v>
      </c>
      <c r="C234">
        <v>700</v>
      </c>
      <c r="D234" t="s">
        <v>104</v>
      </c>
      <c r="E234">
        <v>22.2</v>
      </c>
      <c r="F234">
        <v>13644</v>
      </c>
      <c r="G234">
        <v>53.24</v>
      </c>
      <c r="H234">
        <v>1182</v>
      </c>
      <c r="I234">
        <f t="shared" si="9"/>
        <v>5.0761421319796955</v>
      </c>
      <c r="J234">
        <f t="shared" si="8"/>
        <v>5.0764513574430934</v>
      </c>
      <c r="K234">
        <v>5.2181249999999997</v>
      </c>
      <c r="L234">
        <f>96.9*(5280/3600)</f>
        <v>142.12</v>
      </c>
      <c r="M234" s="2"/>
      <c r="N234" s="3"/>
      <c r="O234" s="2"/>
      <c r="P234" s="4"/>
    </row>
    <row r="235" spans="1:16" ht="15.6" x14ac:dyDescent="0.3">
      <c r="A235" t="s">
        <v>105</v>
      </c>
      <c r="B235">
        <v>9.86</v>
      </c>
      <c r="C235">
        <v>700</v>
      </c>
      <c r="D235" t="s">
        <v>103</v>
      </c>
      <c r="E235">
        <v>22.2</v>
      </c>
      <c r="F235">
        <v>13521</v>
      </c>
      <c r="G235">
        <v>57.22</v>
      </c>
      <c r="H235">
        <v>1270.4000000000001</v>
      </c>
      <c r="I235">
        <f t="shared" si="9"/>
        <v>4.7229219143576824</v>
      </c>
      <c r="J235">
        <f t="shared" si="8"/>
        <v>4.7233532029058072</v>
      </c>
      <c r="K235">
        <v>5.32</v>
      </c>
      <c r="L235">
        <f>115.2*(5280/3600)</f>
        <v>168.95999999999998</v>
      </c>
      <c r="M235" s="2"/>
      <c r="N235" s="3"/>
      <c r="O235" s="2"/>
      <c r="P235" s="4"/>
    </row>
    <row r="236" spans="1:16" ht="15.6" x14ac:dyDescent="0.3">
      <c r="A236" t="s">
        <v>105</v>
      </c>
      <c r="B236">
        <v>9.86</v>
      </c>
      <c r="C236">
        <v>700</v>
      </c>
      <c r="D236" t="s">
        <v>67</v>
      </c>
      <c r="E236">
        <v>22.2</v>
      </c>
      <c r="F236">
        <v>13894</v>
      </c>
      <c r="G236">
        <v>44.69</v>
      </c>
      <c r="H236">
        <v>992.1</v>
      </c>
      <c r="I236">
        <f t="shared" si="9"/>
        <v>6.0477774417901422</v>
      </c>
      <c r="J236">
        <f t="shared" si="8"/>
        <v>6.0476677169449609</v>
      </c>
      <c r="K236">
        <v>6.3093750000000002</v>
      </c>
      <c r="L236">
        <f>78.9*(5280/3600)</f>
        <v>115.72</v>
      </c>
      <c r="M236" s="2"/>
      <c r="N236" s="3"/>
      <c r="O236" s="2"/>
      <c r="P236" s="4"/>
    </row>
    <row r="237" spans="1:16" ht="15.6" x14ac:dyDescent="0.3">
      <c r="A237" t="s">
        <v>105</v>
      </c>
      <c r="B237">
        <v>9.86</v>
      </c>
      <c r="C237">
        <v>700</v>
      </c>
      <c r="D237" t="s">
        <v>68</v>
      </c>
      <c r="E237">
        <v>22.2</v>
      </c>
      <c r="F237">
        <v>13645</v>
      </c>
      <c r="G237">
        <v>53.94</v>
      </c>
      <c r="H237">
        <v>1197.4000000000001</v>
      </c>
      <c r="I237">
        <f t="shared" si="9"/>
        <v>5.0108568565224649</v>
      </c>
      <c r="J237">
        <f t="shared" si="8"/>
        <v>5.010572307568971</v>
      </c>
      <c r="K237">
        <v>6.8387500000000001</v>
      </c>
      <c r="L237">
        <f>90.4*(5280/3600)</f>
        <v>132.58666666666667</v>
      </c>
      <c r="M237" s="2"/>
      <c r="N237" s="3"/>
      <c r="O237" s="2"/>
      <c r="P237" s="4"/>
    </row>
    <row r="238" spans="1:16" ht="15.6" x14ac:dyDescent="0.3">
      <c r="A238" t="s">
        <v>105</v>
      </c>
      <c r="B238">
        <v>9.86</v>
      </c>
      <c r="C238">
        <v>700</v>
      </c>
      <c r="D238" t="s">
        <v>69</v>
      </c>
      <c r="E238">
        <v>22.2</v>
      </c>
      <c r="F238">
        <v>13375</v>
      </c>
      <c r="G238">
        <v>61.84</v>
      </c>
      <c r="H238">
        <v>1372.8</v>
      </c>
      <c r="I238">
        <f t="shared" si="9"/>
        <v>4.3706293706293708</v>
      </c>
      <c r="J238">
        <f t="shared" si="8"/>
        <v>4.3704765567637498</v>
      </c>
      <c r="K238">
        <v>6.600625</v>
      </c>
      <c r="L238">
        <f>101.3*(5280/3600)</f>
        <v>148.57333333333332</v>
      </c>
      <c r="M238" s="2"/>
      <c r="N238" s="3"/>
      <c r="O238" s="2"/>
      <c r="P238" s="4"/>
    </row>
    <row r="239" spans="1:16" ht="15.6" x14ac:dyDescent="0.3">
      <c r="A239" t="s">
        <v>105</v>
      </c>
      <c r="B239">
        <v>9.86</v>
      </c>
      <c r="C239">
        <v>700</v>
      </c>
      <c r="D239" t="s">
        <v>70</v>
      </c>
      <c r="E239">
        <v>22.2</v>
      </c>
      <c r="F239">
        <v>13351</v>
      </c>
      <c r="G239">
        <v>62.81</v>
      </c>
      <c r="H239">
        <v>1394.4</v>
      </c>
      <c r="I239">
        <f t="shared" si="9"/>
        <v>4.3029259896729775</v>
      </c>
      <c r="J239">
        <f t="shared" si="8"/>
        <v>4.3029815359062296</v>
      </c>
      <c r="K239">
        <v>8.6931250000000002</v>
      </c>
      <c r="L239">
        <f>69.5*(5280/3600)</f>
        <v>101.93333333333332</v>
      </c>
      <c r="M239" s="2"/>
      <c r="N239" s="3"/>
      <c r="O239" s="2"/>
      <c r="P239" s="4"/>
    </row>
    <row r="240" spans="1:16" ht="15.6" x14ac:dyDescent="0.3">
      <c r="A240" t="s">
        <v>105</v>
      </c>
      <c r="B240">
        <v>9.86</v>
      </c>
      <c r="C240">
        <v>700</v>
      </c>
      <c r="D240" t="s">
        <v>73</v>
      </c>
      <c r="E240">
        <v>22.2</v>
      </c>
      <c r="F240">
        <v>13911</v>
      </c>
      <c r="G240">
        <v>44.69</v>
      </c>
      <c r="H240">
        <v>992.1</v>
      </c>
      <c r="I240">
        <f t="shared" si="9"/>
        <v>6.0477774417901422</v>
      </c>
      <c r="J240">
        <f t="shared" si="8"/>
        <v>6.0476677169449609</v>
      </c>
      <c r="K240">
        <v>5.4387499999999998</v>
      </c>
      <c r="L240">
        <f>79*(5280/3600)</f>
        <v>115.86666666666666</v>
      </c>
      <c r="M240" s="2"/>
      <c r="N240" s="3"/>
      <c r="O240" s="2"/>
      <c r="P240" s="4"/>
    </row>
    <row r="241" spans="1:16" ht="15.6" x14ac:dyDescent="0.3">
      <c r="A241" t="s">
        <v>105</v>
      </c>
      <c r="B241">
        <v>9.86</v>
      </c>
      <c r="C241">
        <v>700</v>
      </c>
      <c r="D241" t="s">
        <v>74</v>
      </c>
      <c r="E241">
        <v>22.2</v>
      </c>
      <c r="F241">
        <v>13838</v>
      </c>
      <c r="G241">
        <v>48.8</v>
      </c>
      <c r="H241">
        <v>1083.3</v>
      </c>
      <c r="I241">
        <f t="shared" si="9"/>
        <v>5.5386319579063974</v>
      </c>
      <c r="J241">
        <f t="shared" si="8"/>
        <v>5.5383252104563585</v>
      </c>
      <c r="K241">
        <v>5.3331249999999999</v>
      </c>
      <c r="L241">
        <f>91.7*(5280/3600)</f>
        <v>134.49333333333334</v>
      </c>
      <c r="M241" s="2"/>
      <c r="N241" s="3"/>
      <c r="O241" s="2"/>
      <c r="P241" s="4"/>
    </row>
    <row r="242" spans="1:16" ht="15.6" x14ac:dyDescent="0.3">
      <c r="A242" t="s">
        <v>105</v>
      </c>
      <c r="B242">
        <v>9.86</v>
      </c>
      <c r="C242">
        <v>700</v>
      </c>
      <c r="D242" t="s">
        <v>75</v>
      </c>
      <c r="E242">
        <v>22.2</v>
      </c>
      <c r="F242">
        <v>13619</v>
      </c>
      <c r="G242">
        <v>55.11</v>
      </c>
      <c r="H242">
        <v>1223.3</v>
      </c>
      <c r="I242">
        <f t="shared" si="9"/>
        <v>4.9047657974331731</v>
      </c>
      <c r="J242">
        <f t="shared" si="8"/>
        <v>4.9041965209629881</v>
      </c>
      <c r="K242">
        <v>5.9743750000000002</v>
      </c>
      <c r="L242">
        <f>103.2*(5280/3600)</f>
        <v>151.35999999999999</v>
      </c>
      <c r="M242" s="2"/>
      <c r="N242" s="3"/>
      <c r="O242" s="2"/>
      <c r="P242" s="4"/>
    </row>
    <row r="243" spans="1:16" ht="15.6" x14ac:dyDescent="0.3">
      <c r="A243" t="s">
        <v>105</v>
      </c>
      <c r="B243">
        <v>9.86</v>
      </c>
      <c r="C243">
        <v>700</v>
      </c>
      <c r="D243" t="s">
        <v>76</v>
      </c>
      <c r="E243">
        <v>22.2</v>
      </c>
      <c r="F243">
        <v>13921</v>
      </c>
      <c r="G243">
        <v>46.41</v>
      </c>
      <c r="H243">
        <v>1030.3</v>
      </c>
      <c r="I243">
        <f t="shared" si="9"/>
        <v>5.8235465398427646</v>
      </c>
      <c r="J243">
        <f t="shared" si="8"/>
        <v>5.8235352352999419</v>
      </c>
      <c r="K243">
        <v>7.0968749999999998</v>
      </c>
      <c r="L243">
        <f>65.9*(5280/3600)</f>
        <v>96.653333333333336</v>
      </c>
      <c r="M243" s="2"/>
      <c r="N243" s="3"/>
      <c r="O243" s="2"/>
      <c r="P243" s="4"/>
    </row>
    <row r="244" spans="1:16" ht="15.6" x14ac:dyDescent="0.3">
      <c r="A244" t="s">
        <v>105</v>
      </c>
      <c r="B244">
        <v>9.86</v>
      </c>
      <c r="C244">
        <v>700</v>
      </c>
      <c r="D244" t="s">
        <v>77</v>
      </c>
      <c r="E244">
        <v>22.2</v>
      </c>
      <c r="F244">
        <v>13675</v>
      </c>
      <c r="G244">
        <v>53.67</v>
      </c>
      <c r="H244">
        <v>1191.4000000000001</v>
      </c>
      <c r="I244">
        <f t="shared" si="9"/>
        <v>5.0360919926137315</v>
      </c>
      <c r="J244">
        <f t="shared" si="8"/>
        <v>5.0357792112962603</v>
      </c>
      <c r="K244">
        <v>8.0887499999999992</v>
      </c>
      <c r="L244">
        <f>77.7*(5280/3600)</f>
        <v>113.96</v>
      </c>
      <c r="M244" s="2"/>
      <c r="N244" s="3"/>
      <c r="O244" s="2"/>
      <c r="P244" s="4"/>
    </row>
    <row r="245" spans="1:16" ht="15.6" x14ac:dyDescent="0.3">
      <c r="A245" t="s">
        <v>105</v>
      </c>
      <c r="B245">
        <v>9.86</v>
      </c>
      <c r="C245">
        <v>700</v>
      </c>
      <c r="D245" t="s">
        <v>78</v>
      </c>
      <c r="E245">
        <v>22.2</v>
      </c>
      <c r="F245">
        <v>13605</v>
      </c>
      <c r="G245">
        <v>55.54</v>
      </c>
      <c r="H245">
        <v>1233.0999999999999</v>
      </c>
      <c r="I245">
        <f t="shared" si="9"/>
        <v>4.8657854188630285</v>
      </c>
      <c r="J245">
        <f t="shared" si="8"/>
        <v>4.8662274085392561</v>
      </c>
      <c r="K245">
        <v>7.7975000000000003</v>
      </c>
      <c r="L245">
        <f>90.2*(5280/3600)</f>
        <v>132.29333333333332</v>
      </c>
      <c r="M245" s="2"/>
      <c r="N245" s="3"/>
      <c r="O245" s="2"/>
      <c r="P245" s="4"/>
    </row>
    <row r="246" spans="1:16" ht="15.6" x14ac:dyDescent="0.3">
      <c r="A246" t="s">
        <v>105</v>
      </c>
      <c r="B246">
        <v>9.86</v>
      </c>
      <c r="C246">
        <v>700</v>
      </c>
      <c r="D246" t="s">
        <v>101</v>
      </c>
      <c r="E246">
        <v>22.2</v>
      </c>
      <c r="F246">
        <v>14039</v>
      </c>
      <c r="G246">
        <v>41.14</v>
      </c>
      <c r="H246">
        <v>913.3</v>
      </c>
      <c r="I246">
        <f t="shared" si="9"/>
        <v>6.5695828314902007</v>
      </c>
      <c r="J246">
        <f t="shared" si="8"/>
        <v>6.5695252861028264</v>
      </c>
      <c r="K246">
        <v>6.5281250000000002</v>
      </c>
      <c r="L246">
        <f>93.1*(5280/3600)</f>
        <v>136.54666666666665</v>
      </c>
      <c r="M246" s="2"/>
      <c r="N246" s="3"/>
      <c r="O246" s="2"/>
      <c r="P246" s="4"/>
    </row>
    <row r="247" spans="1:16" ht="15.6" x14ac:dyDescent="0.3">
      <c r="A247" t="s">
        <v>105</v>
      </c>
      <c r="B247">
        <v>9.86</v>
      </c>
      <c r="C247">
        <v>700</v>
      </c>
      <c r="D247" t="s">
        <v>80</v>
      </c>
      <c r="E247">
        <v>22.2</v>
      </c>
      <c r="F247">
        <v>13597</v>
      </c>
      <c r="G247">
        <v>55.77</v>
      </c>
      <c r="H247">
        <v>1238</v>
      </c>
      <c r="I247">
        <f t="shared" si="9"/>
        <v>4.8465266558966071</v>
      </c>
      <c r="J247">
        <f t="shared" si="8"/>
        <v>4.8461586923125379</v>
      </c>
      <c r="K247">
        <v>8.6487499999999997</v>
      </c>
      <c r="L247">
        <f>90.1*(5280/3600)</f>
        <v>132.14666666666665</v>
      </c>
      <c r="M247" s="2"/>
      <c r="N247" s="3"/>
      <c r="O247" s="2"/>
      <c r="P247" s="4"/>
    </row>
    <row r="248" spans="1:16" x14ac:dyDescent="0.3">
      <c r="A248" t="s">
        <v>106</v>
      </c>
      <c r="B248">
        <v>9.86</v>
      </c>
      <c r="C248">
        <v>830</v>
      </c>
      <c r="D248" t="s">
        <v>103</v>
      </c>
      <c r="E248">
        <v>14.8</v>
      </c>
      <c r="F248">
        <v>11516</v>
      </c>
      <c r="G248">
        <v>50</v>
      </c>
      <c r="H248">
        <v>739.9</v>
      </c>
      <c r="I248">
        <f t="shared" si="9"/>
        <v>8.1092039464792549</v>
      </c>
      <c r="J248">
        <f t="shared" si="8"/>
        <v>8.108108108108107</v>
      </c>
      <c r="K248">
        <v>3.8075000000000001</v>
      </c>
      <c r="L248">
        <f>98.1*(5280/3600)</f>
        <v>143.88</v>
      </c>
      <c r="M248" s="2"/>
      <c r="N248" s="2"/>
      <c r="O248" s="2"/>
      <c r="P248" s="2"/>
    </row>
    <row r="249" spans="1:16" x14ac:dyDescent="0.3">
      <c r="A249" t="s">
        <v>106</v>
      </c>
      <c r="B249">
        <v>9.86</v>
      </c>
      <c r="C249">
        <v>830</v>
      </c>
      <c r="D249" t="s">
        <v>69</v>
      </c>
      <c r="E249">
        <v>14.8</v>
      </c>
      <c r="F249">
        <v>11430</v>
      </c>
      <c r="G249">
        <v>52.61</v>
      </c>
      <c r="H249">
        <v>778.6</v>
      </c>
      <c r="I249">
        <f t="shared" si="9"/>
        <v>7.7061392242486502</v>
      </c>
      <c r="J249">
        <f t="shared" si="8"/>
        <v>7.7058621061662311</v>
      </c>
      <c r="K249">
        <v>4.8918749999999998</v>
      </c>
      <c r="L249">
        <f>86.6*(5280/3600)</f>
        <v>127.01333333333332</v>
      </c>
      <c r="M249" s="2"/>
      <c r="N249" s="2"/>
      <c r="O249" s="2"/>
      <c r="P249" s="2"/>
    </row>
    <row r="250" spans="1:16" x14ac:dyDescent="0.3">
      <c r="A250" t="s">
        <v>106</v>
      </c>
      <c r="B250">
        <v>9.86</v>
      </c>
      <c r="C250">
        <v>830</v>
      </c>
      <c r="D250" t="s">
        <v>55</v>
      </c>
      <c r="E250">
        <v>14.8</v>
      </c>
      <c r="F250">
        <v>11040</v>
      </c>
      <c r="G250">
        <v>67.39</v>
      </c>
      <c r="H250">
        <v>997.4</v>
      </c>
      <c r="I250">
        <f t="shared" si="9"/>
        <v>6.0156406657309001</v>
      </c>
      <c r="J250">
        <f t="shared" si="8"/>
        <v>6.0158095474908055</v>
      </c>
      <c r="K250">
        <v>4.461875</v>
      </c>
      <c r="L250">
        <f>104.5*(5280/3600)</f>
        <v>153.26666666666665</v>
      </c>
      <c r="M250" s="2"/>
      <c r="N250" s="2"/>
      <c r="O250" s="2"/>
      <c r="P250" s="2"/>
    </row>
    <row r="251" spans="1:16" x14ac:dyDescent="0.3">
      <c r="A251" t="s">
        <v>106</v>
      </c>
      <c r="B251">
        <v>9.86</v>
      </c>
      <c r="C251">
        <v>830</v>
      </c>
      <c r="D251" t="s">
        <v>70</v>
      </c>
      <c r="E251">
        <v>14.8</v>
      </c>
      <c r="F251">
        <v>11488</v>
      </c>
      <c r="G251">
        <v>51.15</v>
      </c>
      <c r="H251">
        <v>757</v>
      </c>
      <c r="I251">
        <f t="shared" si="9"/>
        <v>7.9260237780713352</v>
      </c>
      <c r="J251">
        <f t="shared" si="8"/>
        <v>7.9258143774272805</v>
      </c>
      <c r="K251">
        <v>6.4349999999999996</v>
      </c>
      <c r="L251">
        <f>59.8*(5280/3600)</f>
        <v>87.706666666666649</v>
      </c>
      <c r="M251" s="2"/>
      <c r="N251" s="2"/>
      <c r="O251" s="2"/>
      <c r="P251" s="2"/>
    </row>
    <row r="252" spans="1:16" x14ac:dyDescent="0.3">
      <c r="A252" t="s">
        <v>106</v>
      </c>
      <c r="B252">
        <v>9.86</v>
      </c>
      <c r="C252">
        <v>830</v>
      </c>
      <c r="D252" t="s">
        <v>71</v>
      </c>
      <c r="E252">
        <v>14.8</v>
      </c>
      <c r="F252">
        <v>11164</v>
      </c>
      <c r="G252">
        <v>60.73</v>
      </c>
      <c r="H252">
        <v>898.9</v>
      </c>
      <c r="I252">
        <f t="shared" si="9"/>
        <v>6.6748247858493714</v>
      </c>
      <c r="J252">
        <f t="shared" si="8"/>
        <v>6.6755377145629078</v>
      </c>
      <c r="K252">
        <v>6.7218749999999998</v>
      </c>
      <c r="L252">
        <f>74*(5280/3600)</f>
        <v>108.53333333333333</v>
      </c>
      <c r="M252" s="2"/>
      <c r="N252" s="2"/>
      <c r="O252" s="2"/>
      <c r="P252" s="2"/>
    </row>
    <row r="253" spans="1:16" x14ac:dyDescent="0.3">
      <c r="A253" t="s">
        <v>106</v>
      </c>
      <c r="B253">
        <v>9.86</v>
      </c>
      <c r="C253">
        <v>830</v>
      </c>
      <c r="D253" t="s">
        <v>72</v>
      </c>
      <c r="E253">
        <v>14.8</v>
      </c>
      <c r="F253">
        <v>11029</v>
      </c>
      <c r="G253">
        <v>67.89</v>
      </c>
      <c r="H253">
        <v>1004.8</v>
      </c>
      <c r="I253">
        <f t="shared" si="9"/>
        <v>5.9713375796178347</v>
      </c>
      <c r="J253">
        <f t="shared" si="8"/>
        <v>5.9715039829931564</v>
      </c>
      <c r="K253">
        <v>6.3756250000000003</v>
      </c>
      <c r="L253">
        <f>83.6*(5280/3600)</f>
        <v>122.61333333333332</v>
      </c>
      <c r="M253" s="2"/>
      <c r="N253" s="2"/>
      <c r="O253" s="2"/>
      <c r="P253" s="2"/>
    </row>
    <row r="254" spans="1:16" x14ac:dyDescent="0.3">
      <c r="A254" t="s">
        <v>106</v>
      </c>
      <c r="B254">
        <v>9.86</v>
      </c>
      <c r="C254">
        <v>830</v>
      </c>
      <c r="D254" t="s">
        <v>56</v>
      </c>
      <c r="E254">
        <v>14.8</v>
      </c>
      <c r="F254">
        <v>10868</v>
      </c>
      <c r="G254">
        <v>72.98</v>
      </c>
      <c r="H254">
        <v>1080.2</v>
      </c>
      <c r="I254">
        <f t="shared" si="9"/>
        <v>5.5545269394556565</v>
      </c>
      <c r="J254">
        <f t="shared" si="8"/>
        <v>5.5550206276432625</v>
      </c>
      <c r="K254">
        <v>6.4574999999999996</v>
      </c>
      <c r="L254">
        <f>87.5*(5280/3600)</f>
        <v>128.33333333333331</v>
      </c>
      <c r="M254" s="2"/>
      <c r="N254" s="2"/>
      <c r="O254" s="2"/>
      <c r="P254" s="2"/>
    </row>
    <row r="255" spans="1:16" x14ac:dyDescent="0.3">
      <c r="A255" t="s">
        <v>106</v>
      </c>
      <c r="B255">
        <v>9.86</v>
      </c>
      <c r="C255">
        <v>830</v>
      </c>
      <c r="D255" t="s">
        <v>58</v>
      </c>
      <c r="E255">
        <v>14.8</v>
      </c>
      <c r="F255">
        <v>10972</v>
      </c>
      <c r="G255">
        <v>69.59</v>
      </c>
      <c r="H255">
        <v>1029.9000000000001</v>
      </c>
      <c r="I255">
        <f t="shared" si="9"/>
        <v>5.8258083309059128</v>
      </c>
      <c r="J255">
        <f t="shared" si="8"/>
        <v>5.8256273229688942</v>
      </c>
      <c r="K255">
        <v>8.0493749999999995</v>
      </c>
      <c r="L255">
        <f>62.3*(5280/3600)</f>
        <v>91.373333333333321</v>
      </c>
      <c r="M255" s="2"/>
      <c r="N255" s="2"/>
      <c r="O255" s="2"/>
      <c r="P255" s="2"/>
    </row>
    <row r="256" spans="1:16" x14ac:dyDescent="0.3">
      <c r="A256" t="s">
        <v>106</v>
      </c>
      <c r="B256">
        <v>9.86</v>
      </c>
      <c r="C256">
        <v>830</v>
      </c>
      <c r="D256" t="s">
        <v>98</v>
      </c>
      <c r="E256">
        <v>14.8</v>
      </c>
      <c r="F256">
        <v>11283</v>
      </c>
      <c r="G256">
        <v>57.19</v>
      </c>
      <c r="H256">
        <v>846.4</v>
      </c>
      <c r="I256">
        <f t="shared" si="9"/>
        <v>7.088846880907373</v>
      </c>
      <c r="J256">
        <f t="shared" si="8"/>
        <v>7.0887463788320577</v>
      </c>
      <c r="K256">
        <v>8.0399999999999991</v>
      </c>
      <c r="L256">
        <f>42.7*(5280/3600)</f>
        <v>62.626666666666665</v>
      </c>
      <c r="M256" s="2"/>
      <c r="N256" s="2"/>
      <c r="O256" s="2"/>
      <c r="P256" s="2"/>
    </row>
    <row r="257" spans="1:16" x14ac:dyDescent="0.3">
      <c r="A257" t="s">
        <v>106</v>
      </c>
      <c r="B257">
        <v>9.86</v>
      </c>
      <c r="C257">
        <v>830</v>
      </c>
      <c r="D257" t="s">
        <v>59</v>
      </c>
      <c r="E257">
        <v>14.8</v>
      </c>
      <c r="F257">
        <v>10920</v>
      </c>
      <c r="G257">
        <v>71.27</v>
      </c>
      <c r="H257">
        <v>1054.8</v>
      </c>
      <c r="I257">
        <f t="shared" si="9"/>
        <v>5.6882821387940838</v>
      </c>
      <c r="J257">
        <f t="shared" si="8"/>
        <v>5.6883037099116791</v>
      </c>
      <c r="K257">
        <v>9.1843749999999993</v>
      </c>
      <c r="L257">
        <f>56.9*(5280/3600)</f>
        <v>83.453333333333319</v>
      </c>
      <c r="M257" s="2"/>
      <c r="N257" s="2"/>
      <c r="O257" s="2"/>
      <c r="P257" s="2"/>
    </row>
    <row r="258" spans="1:16" x14ac:dyDescent="0.3">
      <c r="A258" t="s">
        <v>106</v>
      </c>
      <c r="B258">
        <v>9.86</v>
      </c>
      <c r="C258">
        <v>830</v>
      </c>
      <c r="D258" t="s">
        <v>75</v>
      </c>
      <c r="E258">
        <v>14.8</v>
      </c>
      <c r="F258">
        <v>11530</v>
      </c>
      <c r="G258">
        <v>49.47</v>
      </c>
      <c r="H258">
        <v>732.2</v>
      </c>
      <c r="I258">
        <f t="shared" si="9"/>
        <v>8.1944823818628798</v>
      </c>
      <c r="J258">
        <f t="shared" si="8"/>
        <v>8.1949748414272374</v>
      </c>
      <c r="K258">
        <v>4.2856249999999996</v>
      </c>
      <c r="L258">
        <f>87.3*(5280/3600)</f>
        <v>128.04</v>
      </c>
      <c r="M258" s="2"/>
      <c r="N258" s="2"/>
      <c r="O258" s="2"/>
      <c r="P258" s="2"/>
    </row>
    <row r="259" spans="1:16" x14ac:dyDescent="0.3">
      <c r="A259" t="s">
        <v>106</v>
      </c>
      <c r="B259">
        <v>9.86</v>
      </c>
      <c r="C259">
        <v>830</v>
      </c>
      <c r="D259" t="s">
        <v>78</v>
      </c>
      <c r="E259">
        <v>14.8</v>
      </c>
      <c r="F259">
        <v>11580</v>
      </c>
      <c r="G259">
        <v>48.4</v>
      </c>
      <c r="H259">
        <v>716.3</v>
      </c>
      <c r="I259">
        <f t="shared" si="9"/>
        <v>8.3763786123132782</v>
      </c>
      <c r="J259">
        <f t="shared" ref="J259:J322" si="10">( ($N$1/E259)/G259)*60</f>
        <v>8.3761447397811022</v>
      </c>
      <c r="K259">
        <v>5.7143750000000004</v>
      </c>
      <c r="L259">
        <f>76.8*(5280/3600)</f>
        <v>112.63999999999999</v>
      </c>
      <c r="M259" s="2"/>
      <c r="N259" s="2"/>
      <c r="O259" s="2"/>
      <c r="P259" s="2"/>
    </row>
    <row r="260" spans="1:16" x14ac:dyDescent="0.3">
      <c r="A260" t="s">
        <v>106</v>
      </c>
      <c r="B260">
        <v>9.86</v>
      </c>
      <c r="C260">
        <v>830</v>
      </c>
      <c r="D260" t="s">
        <v>61</v>
      </c>
      <c r="E260">
        <v>14.8</v>
      </c>
      <c r="F260">
        <v>11161</v>
      </c>
      <c r="G260">
        <v>63.25</v>
      </c>
      <c r="H260">
        <v>936.1</v>
      </c>
      <c r="I260">
        <f t="shared" ref="I260:I323" si="11" xml:space="preserve"> ($N$1/H260)*60</f>
        <v>6.409571626962931</v>
      </c>
      <c r="J260">
        <f t="shared" si="10"/>
        <v>6.409571626962931</v>
      </c>
      <c r="K260">
        <v>5.2556250000000002</v>
      </c>
      <c r="L260">
        <f>84.6*(5280/3600)</f>
        <v>124.07999999999998</v>
      </c>
      <c r="M260" s="2"/>
      <c r="N260" s="2"/>
      <c r="O260" s="2"/>
      <c r="P260" s="2"/>
    </row>
    <row r="261" spans="1:16" x14ac:dyDescent="0.3">
      <c r="A261" t="s">
        <v>106</v>
      </c>
      <c r="B261">
        <v>9.86</v>
      </c>
      <c r="C261">
        <v>830</v>
      </c>
      <c r="D261" t="s">
        <v>62</v>
      </c>
      <c r="E261">
        <v>14.8</v>
      </c>
      <c r="F261">
        <v>11292</v>
      </c>
      <c r="G261">
        <v>59.41</v>
      </c>
      <c r="H261">
        <v>879.3</v>
      </c>
      <c r="I261">
        <f t="shared" si="11"/>
        <v>6.8236096895257594</v>
      </c>
      <c r="J261">
        <f t="shared" si="10"/>
        <v>6.8238580273591207</v>
      </c>
      <c r="K261">
        <v>6.7506250000000003</v>
      </c>
      <c r="L261">
        <f>64.2*(5280/3600)</f>
        <v>94.16</v>
      </c>
      <c r="M261" s="2"/>
      <c r="N261" s="2"/>
      <c r="O261" s="2"/>
      <c r="P261" s="2"/>
    </row>
    <row r="262" spans="1:16" x14ac:dyDescent="0.3">
      <c r="A262" t="s">
        <v>106</v>
      </c>
      <c r="B262">
        <v>9.86</v>
      </c>
      <c r="C262">
        <v>830</v>
      </c>
      <c r="D262" t="s">
        <v>63</v>
      </c>
      <c r="E262">
        <v>14.8</v>
      </c>
      <c r="F262">
        <v>10930</v>
      </c>
      <c r="G262">
        <v>70.900000000000006</v>
      </c>
      <c r="H262">
        <v>1049.4000000000001</v>
      </c>
      <c r="I262">
        <f t="shared" si="11"/>
        <v>5.7175528873642083</v>
      </c>
      <c r="J262">
        <f t="shared" si="10"/>
        <v>5.7179887927419655</v>
      </c>
      <c r="K262">
        <v>7.1737500000000001</v>
      </c>
      <c r="L262">
        <f>72.5*(5280/3600)</f>
        <v>106.33333333333333</v>
      </c>
      <c r="M262" s="2"/>
      <c r="N262" s="2"/>
      <c r="O262" s="2"/>
      <c r="P262" s="2"/>
    </row>
    <row r="263" spans="1:16" x14ac:dyDescent="0.3">
      <c r="A263" t="s">
        <v>106</v>
      </c>
      <c r="B263">
        <v>9.86</v>
      </c>
      <c r="C263">
        <v>830</v>
      </c>
      <c r="D263" t="s">
        <v>65</v>
      </c>
      <c r="E263">
        <v>14.8</v>
      </c>
      <c r="F263">
        <v>10941</v>
      </c>
      <c r="G263">
        <v>70.47</v>
      </c>
      <c r="H263">
        <v>1042.9000000000001</v>
      </c>
      <c r="I263">
        <f t="shared" si="11"/>
        <v>5.7531882251414324</v>
      </c>
      <c r="J263">
        <f t="shared" si="10"/>
        <v>5.7528793160977072</v>
      </c>
      <c r="K263">
        <v>8.6706249999999994</v>
      </c>
      <c r="L263">
        <f>62.2*(5280/3600)</f>
        <v>91.226666666666659</v>
      </c>
      <c r="M263" s="2"/>
      <c r="N263" s="2"/>
      <c r="O263" s="2"/>
      <c r="P263" s="2"/>
    </row>
    <row r="264" spans="1:16" x14ac:dyDescent="0.3">
      <c r="A264" t="s">
        <v>106</v>
      </c>
      <c r="B264">
        <v>9.86</v>
      </c>
      <c r="C264">
        <v>830</v>
      </c>
      <c r="D264" t="s">
        <v>80</v>
      </c>
      <c r="E264">
        <v>14.8</v>
      </c>
      <c r="F264">
        <v>11509</v>
      </c>
      <c r="G264">
        <v>50.21</v>
      </c>
      <c r="H264">
        <v>743.1</v>
      </c>
      <c r="I264">
        <f t="shared" si="11"/>
        <v>8.0742834073475986</v>
      </c>
      <c r="J264">
        <f t="shared" si="10"/>
        <v>8.0741964828800104</v>
      </c>
      <c r="K264">
        <v>6.0824999999999996</v>
      </c>
      <c r="L264">
        <f>76.3*(5280/3600)</f>
        <v>111.90666666666665</v>
      </c>
      <c r="M264" s="2"/>
      <c r="N264" s="2"/>
      <c r="O264" s="2"/>
      <c r="P264" s="2"/>
    </row>
    <row r="265" spans="1:16" x14ac:dyDescent="0.3">
      <c r="A265" t="s">
        <v>106</v>
      </c>
      <c r="B265">
        <v>9.86</v>
      </c>
      <c r="C265">
        <v>830</v>
      </c>
      <c r="D265" t="s">
        <v>81</v>
      </c>
      <c r="E265">
        <v>14.8</v>
      </c>
      <c r="F265">
        <v>11231</v>
      </c>
      <c r="G265">
        <v>61.18</v>
      </c>
      <c r="H265">
        <v>905.5</v>
      </c>
      <c r="I265">
        <f t="shared" si="11"/>
        <v>6.6261733848702375</v>
      </c>
      <c r="J265">
        <f t="shared" si="10"/>
        <v>6.6264368323864886</v>
      </c>
      <c r="K265">
        <v>7.2843749999999998</v>
      </c>
      <c r="L265">
        <f>74.4*(5280/3600)</f>
        <v>109.12</v>
      </c>
      <c r="M265" s="2"/>
      <c r="N265" s="2"/>
      <c r="O265" s="2"/>
      <c r="P265" s="2"/>
    </row>
    <row r="266" spans="1:16" x14ac:dyDescent="0.3">
      <c r="A266" t="s">
        <v>106</v>
      </c>
      <c r="B266">
        <v>9.86</v>
      </c>
      <c r="C266">
        <v>830</v>
      </c>
      <c r="D266" t="s">
        <v>66</v>
      </c>
      <c r="E266">
        <v>14.8</v>
      </c>
      <c r="F266">
        <v>11059</v>
      </c>
      <c r="G266">
        <v>66.81</v>
      </c>
      <c r="H266">
        <v>988.8</v>
      </c>
      <c r="I266">
        <f t="shared" si="11"/>
        <v>6.0679611650485441</v>
      </c>
      <c r="J266">
        <f t="shared" si="10"/>
        <v>6.0680348062476481</v>
      </c>
      <c r="K266">
        <v>7.5837500000000002</v>
      </c>
      <c r="L266">
        <f>83.8*(5280/3600)</f>
        <v>122.90666666666665</v>
      </c>
      <c r="M266" s="2"/>
      <c r="N266" s="2"/>
      <c r="O266" s="2"/>
      <c r="P266" s="2"/>
    </row>
    <row r="267" spans="1:16" x14ac:dyDescent="0.3">
      <c r="A267" t="s">
        <v>106</v>
      </c>
      <c r="B267">
        <v>9.86</v>
      </c>
      <c r="C267">
        <v>830</v>
      </c>
      <c r="D267" t="s">
        <v>53</v>
      </c>
      <c r="E267">
        <v>14.8</v>
      </c>
      <c r="F267">
        <v>10989</v>
      </c>
      <c r="G267">
        <v>68.680000000000007</v>
      </c>
      <c r="H267">
        <v>1016.5</v>
      </c>
      <c r="I267">
        <f t="shared" si="11"/>
        <v>5.902606984751599</v>
      </c>
      <c r="J267">
        <f t="shared" si="10"/>
        <v>5.9028160367706075</v>
      </c>
      <c r="K267">
        <v>8.4306249999999991</v>
      </c>
      <c r="L267">
        <f>62.4*(5280/3600)</f>
        <v>91.52</v>
      </c>
      <c r="M267" s="2"/>
      <c r="N267" s="2"/>
      <c r="O267" s="2"/>
      <c r="P267" s="2"/>
    </row>
    <row r="268" spans="1:16" ht="15.6" x14ac:dyDescent="0.3">
      <c r="A268" t="s">
        <v>106</v>
      </c>
      <c r="B268">
        <v>9.86</v>
      </c>
      <c r="C268">
        <v>830</v>
      </c>
      <c r="D268" t="s">
        <v>104</v>
      </c>
      <c r="E268">
        <v>18.5</v>
      </c>
      <c r="F268">
        <v>13951</v>
      </c>
      <c r="G268">
        <v>70.47</v>
      </c>
      <c r="H268">
        <v>1303.7</v>
      </c>
      <c r="I268">
        <f t="shared" si="11"/>
        <v>4.6022858019483008</v>
      </c>
      <c r="J268">
        <f t="shared" si="10"/>
        <v>4.6023034528781652</v>
      </c>
      <c r="K268">
        <v>5.3574999999999999</v>
      </c>
      <c r="L268">
        <f>99.1*(5280/3600)</f>
        <v>145.34666666666664</v>
      </c>
      <c r="M268" s="2"/>
      <c r="N268" s="3"/>
      <c r="O268" s="2"/>
      <c r="P268" s="4"/>
    </row>
    <row r="269" spans="1:16" ht="15.6" x14ac:dyDescent="0.3">
      <c r="A269" t="s">
        <v>106</v>
      </c>
      <c r="B269">
        <v>9.86</v>
      </c>
      <c r="C269">
        <v>830</v>
      </c>
      <c r="D269" t="s">
        <v>103</v>
      </c>
      <c r="E269">
        <v>18.5</v>
      </c>
      <c r="F269">
        <v>13785</v>
      </c>
      <c r="G269">
        <v>75.16</v>
      </c>
      <c r="H269">
        <v>1390.4</v>
      </c>
      <c r="I269">
        <f t="shared" si="11"/>
        <v>4.3153049482163404</v>
      </c>
      <c r="J269">
        <f t="shared" si="10"/>
        <v>4.3151187376839317</v>
      </c>
      <c r="K269">
        <v>5.5668749999999996</v>
      </c>
      <c r="L269">
        <f>117.5*(5280/3600)</f>
        <v>172.33333333333331</v>
      </c>
      <c r="M269" s="2"/>
      <c r="N269" s="3"/>
      <c r="O269" s="2"/>
      <c r="P269" s="4"/>
    </row>
    <row r="270" spans="1:16" ht="15.6" x14ac:dyDescent="0.3">
      <c r="A270" t="s">
        <v>106</v>
      </c>
      <c r="B270">
        <v>9.86</v>
      </c>
      <c r="C270">
        <v>830</v>
      </c>
      <c r="D270" t="s">
        <v>99</v>
      </c>
      <c r="E270">
        <v>18.5</v>
      </c>
      <c r="F270">
        <v>14419</v>
      </c>
      <c r="G270">
        <v>53.84</v>
      </c>
      <c r="H270">
        <v>996</v>
      </c>
      <c r="I270">
        <f t="shared" si="11"/>
        <v>6.024096385542169</v>
      </c>
      <c r="J270">
        <f t="shared" si="10"/>
        <v>6.0238544636761571</v>
      </c>
      <c r="K270">
        <v>6.3468749999999998</v>
      </c>
      <c r="L270">
        <f>68.3*(5280/3600)</f>
        <v>100.17333333333332</v>
      </c>
      <c r="M270" s="2"/>
      <c r="N270" s="3"/>
      <c r="O270" s="2"/>
      <c r="P270" s="4"/>
    </row>
    <row r="271" spans="1:16" ht="15.6" x14ac:dyDescent="0.3">
      <c r="A271" t="s">
        <v>106</v>
      </c>
      <c r="B271">
        <v>9.86</v>
      </c>
      <c r="C271">
        <v>830</v>
      </c>
      <c r="D271" t="s">
        <v>67</v>
      </c>
      <c r="E271">
        <v>18.5</v>
      </c>
      <c r="F271">
        <v>14230</v>
      </c>
      <c r="G271">
        <v>59.22</v>
      </c>
      <c r="H271">
        <v>1095.5</v>
      </c>
      <c r="I271">
        <f t="shared" si="11"/>
        <v>5.4769511638521227</v>
      </c>
      <c r="J271">
        <f t="shared" si="10"/>
        <v>5.4766012212820723</v>
      </c>
      <c r="K271">
        <v>6.57</v>
      </c>
      <c r="L271">
        <f>80.9*(5280/3600)</f>
        <v>118.65333333333334</v>
      </c>
      <c r="M271" s="2"/>
      <c r="N271" s="3"/>
      <c r="O271" s="2"/>
      <c r="P271" s="4"/>
    </row>
    <row r="272" spans="1:16" ht="15.6" x14ac:dyDescent="0.3">
      <c r="A272" t="s">
        <v>106</v>
      </c>
      <c r="B272">
        <v>9.86</v>
      </c>
      <c r="C272">
        <v>830</v>
      </c>
      <c r="D272" t="s">
        <v>68</v>
      </c>
      <c r="E272">
        <v>18.5</v>
      </c>
      <c r="F272">
        <v>13925</v>
      </c>
      <c r="G272">
        <v>71.099999999999994</v>
      </c>
      <c r="H272">
        <v>1315.4</v>
      </c>
      <c r="I272">
        <f t="shared" si="11"/>
        <v>4.5613501596472545</v>
      </c>
      <c r="J272">
        <f t="shared" si="10"/>
        <v>4.5615235488653214</v>
      </c>
      <c r="K272">
        <v>7.0837500000000002</v>
      </c>
      <c r="L272">
        <f>92.3*(5280/3600)</f>
        <v>135.37333333333331</v>
      </c>
      <c r="M272" s="2"/>
      <c r="N272" s="3"/>
      <c r="O272" s="2"/>
      <c r="P272" s="4"/>
    </row>
    <row r="273" spans="1:16" ht="15.6" x14ac:dyDescent="0.3">
      <c r="A273" t="s">
        <v>106</v>
      </c>
      <c r="B273">
        <v>9.86</v>
      </c>
      <c r="C273">
        <v>830</v>
      </c>
      <c r="D273" t="s">
        <v>73</v>
      </c>
      <c r="E273">
        <v>18.5</v>
      </c>
      <c r="F273">
        <v>14235</v>
      </c>
      <c r="G273">
        <v>59.09</v>
      </c>
      <c r="H273">
        <v>1093.0999999999999</v>
      </c>
      <c r="I273">
        <f t="shared" si="11"/>
        <v>5.4889763059189471</v>
      </c>
      <c r="J273">
        <f t="shared" si="10"/>
        <v>5.4886499293336319</v>
      </c>
      <c r="K273">
        <v>5.7474999999999996</v>
      </c>
      <c r="L273">
        <f>80.9*(5280/3600)</f>
        <v>118.65333333333334</v>
      </c>
      <c r="M273" s="2"/>
      <c r="N273" s="3"/>
      <c r="O273" s="2"/>
      <c r="P273" s="4"/>
    </row>
    <row r="274" spans="1:16" ht="15.6" x14ac:dyDescent="0.3">
      <c r="A274" t="s">
        <v>106</v>
      </c>
      <c r="B274">
        <v>9.86</v>
      </c>
      <c r="C274">
        <v>830</v>
      </c>
      <c r="D274" t="s">
        <v>74</v>
      </c>
      <c r="E274">
        <v>18.5</v>
      </c>
      <c r="F274">
        <v>14084</v>
      </c>
      <c r="G274">
        <v>63.47</v>
      </c>
      <c r="H274">
        <v>1174.2</v>
      </c>
      <c r="I274">
        <f t="shared" si="11"/>
        <v>5.1098620337250891</v>
      </c>
      <c r="J274">
        <f t="shared" si="10"/>
        <v>5.1098837927260803</v>
      </c>
      <c r="K274">
        <v>5.5443749999999996</v>
      </c>
      <c r="L274">
        <f>93.4*(5280/3600)</f>
        <v>136.98666666666668</v>
      </c>
      <c r="M274" s="2"/>
      <c r="N274" s="3"/>
      <c r="O274" s="2"/>
      <c r="P274" s="4"/>
    </row>
    <row r="275" spans="1:16" ht="15.6" x14ac:dyDescent="0.3">
      <c r="A275" t="s">
        <v>106</v>
      </c>
      <c r="B275">
        <v>9.86</v>
      </c>
      <c r="C275">
        <v>830</v>
      </c>
      <c r="D275" t="s">
        <v>75</v>
      </c>
      <c r="E275">
        <v>18.5</v>
      </c>
      <c r="F275">
        <v>13879</v>
      </c>
      <c r="G275">
        <v>71.959999999999994</v>
      </c>
      <c r="H275">
        <v>1331.3</v>
      </c>
      <c r="I275">
        <f t="shared" si="11"/>
        <v>4.5068729812964774</v>
      </c>
      <c r="J275">
        <f t="shared" si="10"/>
        <v>4.5070083980589821</v>
      </c>
      <c r="K275">
        <v>6.23</v>
      </c>
      <c r="L275">
        <f>105.1*(5280/3600)</f>
        <v>154.14666666666665</v>
      </c>
      <c r="M275" s="2"/>
      <c r="N275" s="3"/>
      <c r="O275" s="2"/>
      <c r="P275" s="4"/>
    </row>
    <row r="276" spans="1:16" ht="15.6" x14ac:dyDescent="0.3">
      <c r="A276" t="s">
        <v>106</v>
      </c>
      <c r="B276">
        <v>9.86</v>
      </c>
      <c r="C276">
        <v>830</v>
      </c>
      <c r="D276" t="s">
        <v>76</v>
      </c>
      <c r="E276">
        <v>18.5</v>
      </c>
      <c r="F276">
        <v>14194</v>
      </c>
      <c r="G276">
        <v>60.73</v>
      </c>
      <c r="H276">
        <v>1123.5</v>
      </c>
      <c r="I276">
        <f t="shared" si="11"/>
        <v>5.3404539385847798</v>
      </c>
      <c r="J276">
        <f t="shared" si="10"/>
        <v>5.3404301716503264</v>
      </c>
      <c r="K276">
        <v>7.39</v>
      </c>
      <c r="L276">
        <f>67.2*(5280/3600)</f>
        <v>98.56</v>
      </c>
      <c r="M276" s="2"/>
      <c r="N276" s="3"/>
      <c r="O276" s="2"/>
      <c r="P276" s="4"/>
    </row>
    <row r="277" spans="1:16" ht="15.6" x14ac:dyDescent="0.3">
      <c r="A277" t="s">
        <v>106</v>
      </c>
      <c r="B277">
        <v>9.86</v>
      </c>
      <c r="C277">
        <v>830</v>
      </c>
      <c r="D277" t="s">
        <v>77</v>
      </c>
      <c r="E277">
        <v>18.5</v>
      </c>
      <c r="F277">
        <v>13913</v>
      </c>
      <c r="G277">
        <v>71.290000000000006</v>
      </c>
      <c r="H277">
        <v>1318.8</v>
      </c>
      <c r="I277">
        <f t="shared" si="11"/>
        <v>4.5495905368516834</v>
      </c>
      <c r="J277">
        <f t="shared" si="10"/>
        <v>4.5493663111842375</v>
      </c>
      <c r="K277">
        <v>8.2806250000000006</v>
      </c>
      <c r="L277">
        <f>79.1*(5280/3600)</f>
        <v>116.01333333333332</v>
      </c>
      <c r="M277" s="2"/>
      <c r="N277" s="3"/>
      <c r="O277" s="2"/>
      <c r="P277" s="4"/>
    </row>
    <row r="278" spans="1:16" ht="15.6" x14ac:dyDescent="0.3">
      <c r="A278" t="s">
        <v>106</v>
      </c>
      <c r="B278">
        <v>9.86</v>
      </c>
      <c r="C278">
        <v>830</v>
      </c>
      <c r="D278" t="s">
        <v>78</v>
      </c>
      <c r="E278">
        <v>18.5</v>
      </c>
      <c r="F278">
        <v>13870</v>
      </c>
      <c r="G278">
        <v>72.67</v>
      </c>
      <c r="H278">
        <v>1344.4</v>
      </c>
      <c r="I278">
        <f t="shared" si="11"/>
        <v>4.4629574531389462</v>
      </c>
      <c r="J278">
        <f t="shared" si="10"/>
        <v>4.4629740515250349</v>
      </c>
      <c r="K278">
        <v>7.9675000000000002</v>
      </c>
      <c r="L278">
        <f>91.9*(5280/3600)</f>
        <v>134.78666666666666</v>
      </c>
      <c r="M278" s="2"/>
      <c r="N278" s="3"/>
      <c r="O278" s="2"/>
      <c r="P278" s="4"/>
    </row>
    <row r="279" spans="1:16" ht="15.6" x14ac:dyDescent="0.3">
      <c r="A279" t="s">
        <v>106</v>
      </c>
      <c r="B279">
        <v>9.86</v>
      </c>
      <c r="C279">
        <v>830</v>
      </c>
      <c r="D279" t="s">
        <v>101</v>
      </c>
      <c r="E279">
        <v>18.5</v>
      </c>
      <c r="F279">
        <v>14392</v>
      </c>
      <c r="G279">
        <v>54.71</v>
      </c>
      <c r="H279">
        <v>1012.1</v>
      </c>
      <c r="I279">
        <f t="shared" si="11"/>
        <v>5.9282679577116886</v>
      </c>
      <c r="J279">
        <f t="shared" si="10"/>
        <v>5.9280629560285929</v>
      </c>
      <c r="K279">
        <v>6.984375</v>
      </c>
      <c r="L279">
        <f>95.4*(5280/3600)</f>
        <v>139.91999999999999</v>
      </c>
      <c r="M279" s="2"/>
      <c r="N279" s="3"/>
      <c r="O279" s="2"/>
      <c r="P279" s="4"/>
    </row>
    <row r="280" spans="1:16" ht="15.6" x14ac:dyDescent="0.3">
      <c r="A280" t="s">
        <v>106</v>
      </c>
      <c r="B280">
        <v>9.86</v>
      </c>
      <c r="C280">
        <v>830</v>
      </c>
      <c r="D280" t="s">
        <v>79</v>
      </c>
      <c r="E280">
        <v>18.5</v>
      </c>
      <c r="F280">
        <v>14561</v>
      </c>
      <c r="G280">
        <v>49.96</v>
      </c>
      <c r="H280">
        <v>924.2</v>
      </c>
      <c r="I280">
        <f t="shared" si="11"/>
        <v>6.492101276779918</v>
      </c>
      <c r="J280">
        <f t="shared" si="10"/>
        <v>6.4916798303507663</v>
      </c>
      <c r="K280">
        <v>7.1675000000000004</v>
      </c>
      <c r="L280">
        <f>68.9*(5280/3600)</f>
        <v>101.05333333333333</v>
      </c>
      <c r="M280" s="2"/>
      <c r="N280" s="3"/>
      <c r="O280" s="2"/>
      <c r="P280" s="4"/>
    </row>
    <row r="281" spans="1:16" ht="15.6" x14ac:dyDescent="0.3">
      <c r="A281" t="s">
        <v>106</v>
      </c>
      <c r="B281">
        <v>9.86</v>
      </c>
      <c r="C281">
        <v>830</v>
      </c>
      <c r="D281" t="s">
        <v>80</v>
      </c>
      <c r="E281">
        <v>18.5</v>
      </c>
      <c r="F281">
        <v>13820</v>
      </c>
      <c r="G281">
        <v>73.319999999999993</v>
      </c>
      <c r="H281">
        <v>1356.3</v>
      </c>
      <c r="I281">
        <f t="shared" si="11"/>
        <v>4.4238000442380008</v>
      </c>
      <c r="J281">
        <f t="shared" si="10"/>
        <v>4.4234086787278279</v>
      </c>
      <c r="K281">
        <v>9.109375</v>
      </c>
      <c r="L281">
        <f>91.6*(5280/3600)</f>
        <v>134.34666666666664</v>
      </c>
      <c r="M281" s="2"/>
      <c r="N281" s="3"/>
      <c r="O281" s="2"/>
      <c r="P281" s="4"/>
    </row>
    <row r="282" spans="1:16" ht="15.6" x14ac:dyDescent="0.3">
      <c r="A282" t="s">
        <v>106</v>
      </c>
      <c r="B282">
        <v>9.86</v>
      </c>
      <c r="C282">
        <v>830</v>
      </c>
      <c r="D282" t="s">
        <v>107</v>
      </c>
      <c r="E282">
        <v>22.2</v>
      </c>
      <c r="F282">
        <v>17044</v>
      </c>
      <c r="G282">
        <v>63.1</v>
      </c>
      <c r="H282">
        <v>1400.7</v>
      </c>
      <c r="I282">
        <f t="shared" si="11"/>
        <v>4.2835724994645528</v>
      </c>
      <c r="J282">
        <f t="shared" si="10"/>
        <v>4.2832055510343938</v>
      </c>
      <c r="K282">
        <v>6.79</v>
      </c>
      <c r="L282">
        <f>96.8*(5280/3600)</f>
        <v>141.97333333333333</v>
      </c>
      <c r="M282" s="2"/>
      <c r="N282" s="3"/>
      <c r="O282" s="2"/>
      <c r="P282" s="4"/>
    </row>
    <row r="283" spans="1:16" ht="15.6" x14ac:dyDescent="0.3">
      <c r="A283" t="s">
        <v>106</v>
      </c>
      <c r="B283">
        <v>9.86</v>
      </c>
      <c r="C283">
        <v>830</v>
      </c>
      <c r="D283" t="s">
        <v>100</v>
      </c>
      <c r="E283">
        <v>22.2</v>
      </c>
      <c r="F283">
        <v>17000</v>
      </c>
      <c r="G283">
        <v>63.74</v>
      </c>
      <c r="H283">
        <v>1415</v>
      </c>
      <c r="I283">
        <f t="shared" si="11"/>
        <v>4.2402826855123674</v>
      </c>
      <c r="J283">
        <f t="shared" si="10"/>
        <v>4.2401987805188304</v>
      </c>
      <c r="K283">
        <v>7.2268749999999997</v>
      </c>
      <c r="L283">
        <f>80.5*(5280/3600)</f>
        <v>118.06666666666666</v>
      </c>
      <c r="M283" s="2"/>
      <c r="N283" s="3"/>
      <c r="O283" s="2"/>
      <c r="P283" s="4"/>
    </row>
    <row r="284" spans="1:16" ht="15.6" x14ac:dyDescent="0.3">
      <c r="A284" t="s">
        <v>106</v>
      </c>
      <c r="B284">
        <v>9.86</v>
      </c>
      <c r="C284">
        <v>830</v>
      </c>
      <c r="D284" t="s">
        <v>101</v>
      </c>
      <c r="E284">
        <v>22.2</v>
      </c>
      <c r="F284">
        <v>16726</v>
      </c>
      <c r="G284">
        <v>74.5</v>
      </c>
      <c r="H284">
        <v>1653.8</v>
      </c>
      <c r="I284">
        <f t="shared" si="11"/>
        <v>3.6280082234853066</v>
      </c>
      <c r="J284">
        <f t="shared" si="10"/>
        <v>3.6277888626881918</v>
      </c>
      <c r="K284">
        <v>8.6</v>
      </c>
      <c r="L284">
        <f>110.9*(5280/3600)</f>
        <v>162.65333333333334</v>
      </c>
      <c r="M284" s="2"/>
      <c r="N284" s="3"/>
      <c r="O284" s="2"/>
      <c r="P284" s="4"/>
    </row>
    <row r="285" spans="1:16" ht="15.6" x14ac:dyDescent="0.3">
      <c r="A285" t="s">
        <v>106</v>
      </c>
      <c r="B285">
        <v>9.86</v>
      </c>
      <c r="C285">
        <v>830</v>
      </c>
      <c r="D285" t="s">
        <v>79</v>
      </c>
      <c r="E285">
        <v>22.2</v>
      </c>
      <c r="F285">
        <v>16946</v>
      </c>
      <c r="G285">
        <v>68.67</v>
      </c>
      <c r="H285">
        <v>1524.4</v>
      </c>
      <c r="I285">
        <f t="shared" si="11"/>
        <v>3.9359748097612171</v>
      </c>
      <c r="J285">
        <f t="shared" si="10"/>
        <v>3.9357837522975139</v>
      </c>
      <c r="K285">
        <v>9.9912500000000009</v>
      </c>
      <c r="L285">
        <f>80.2*(5280/3600)</f>
        <v>117.62666666666667</v>
      </c>
      <c r="M285" s="2"/>
      <c r="N285" s="3"/>
      <c r="O285" s="2"/>
      <c r="P285" s="4"/>
    </row>
    <row r="286" spans="1:16" ht="15.6" x14ac:dyDescent="0.3">
      <c r="A286" t="s">
        <v>108</v>
      </c>
      <c r="B286">
        <v>13.12</v>
      </c>
      <c r="C286">
        <v>310</v>
      </c>
      <c r="D286" t="s">
        <v>42</v>
      </c>
      <c r="E286">
        <v>22.2</v>
      </c>
      <c r="F286">
        <v>6331</v>
      </c>
      <c r="G286">
        <v>28.6</v>
      </c>
      <c r="H286">
        <v>635</v>
      </c>
      <c r="I286">
        <f t="shared" si="11"/>
        <v>9.4488188976377945</v>
      </c>
      <c r="J286">
        <f t="shared" si="10"/>
        <v>9.4500094500094498</v>
      </c>
      <c r="K286">
        <v>4.6431250000000004</v>
      </c>
      <c r="L286">
        <f>71.9*(5280/3600)</f>
        <v>105.45333333333333</v>
      </c>
      <c r="M286" s="2"/>
      <c r="N286" s="3"/>
      <c r="O286" s="2"/>
      <c r="P286" s="4"/>
    </row>
    <row r="287" spans="1:16" ht="15.6" x14ac:dyDescent="0.3">
      <c r="A287" t="s">
        <v>108</v>
      </c>
      <c r="B287">
        <v>13.12</v>
      </c>
      <c r="C287">
        <v>310</v>
      </c>
      <c r="D287" t="s">
        <v>1</v>
      </c>
      <c r="E287">
        <v>22.2</v>
      </c>
      <c r="F287">
        <v>6339</v>
      </c>
      <c r="G287">
        <v>28.44</v>
      </c>
      <c r="H287">
        <v>631.4</v>
      </c>
      <c r="I287">
        <f t="shared" si="11"/>
        <v>9.5026924295216979</v>
      </c>
      <c r="J287">
        <f t="shared" si="10"/>
        <v>9.5031740601360859</v>
      </c>
      <c r="K287">
        <v>6.7175000000000002</v>
      </c>
      <c r="L287">
        <f>60*(5280/3600)</f>
        <v>88</v>
      </c>
      <c r="M287" s="2"/>
      <c r="N287" s="3"/>
      <c r="O287" s="2"/>
      <c r="P287" s="4"/>
    </row>
    <row r="288" spans="1:16" ht="15.6" x14ac:dyDescent="0.3">
      <c r="A288" t="s">
        <v>108</v>
      </c>
      <c r="B288">
        <v>13.12</v>
      </c>
      <c r="C288">
        <v>310</v>
      </c>
      <c r="D288" t="s">
        <v>3</v>
      </c>
      <c r="E288">
        <v>22.2</v>
      </c>
      <c r="F288">
        <v>6275</v>
      </c>
      <c r="G288">
        <v>30.78</v>
      </c>
      <c r="H288">
        <v>683.3</v>
      </c>
      <c r="I288">
        <f t="shared" si="11"/>
        <v>8.7809161422508417</v>
      </c>
      <c r="J288">
        <f t="shared" si="10"/>
        <v>8.7807105350964996</v>
      </c>
      <c r="K288">
        <v>7.8550000000000004</v>
      </c>
      <c r="L288">
        <f>47.5*(5280/3600)</f>
        <v>69.666666666666657</v>
      </c>
      <c r="M288" s="2"/>
      <c r="N288" s="3"/>
      <c r="O288" s="2"/>
      <c r="P288" s="4"/>
    </row>
    <row r="289" spans="1:16" ht="15.6" x14ac:dyDescent="0.3">
      <c r="A289" t="s">
        <v>108</v>
      </c>
      <c r="B289">
        <v>13.12</v>
      </c>
      <c r="C289">
        <v>310</v>
      </c>
      <c r="D289" t="s">
        <v>4</v>
      </c>
      <c r="E289">
        <v>22.2</v>
      </c>
      <c r="F289">
        <v>6180</v>
      </c>
      <c r="G289">
        <v>34.369999999999997</v>
      </c>
      <c r="H289">
        <v>763.1</v>
      </c>
      <c r="I289">
        <f t="shared" si="11"/>
        <v>7.8626654435853744</v>
      </c>
      <c r="J289">
        <f t="shared" si="10"/>
        <v>7.8635516517390256</v>
      </c>
      <c r="K289">
        <v>8.0843749999999996</v>
      </c>
      <c r="L289">
        <f>58.5*(5280/3600)</f>
        <v>85.8</v>
      </c>
      <c r="M289" s="2"/>
      <c r="N289" s="3"/>
      <c r="O289" s="2"/>
      <c r="P289" s="4"/>
    </row>
    <row r="290" spans="1:16" ht="15.6" x14ac:dyDescent="0.3">
      <c r="A290" t="s">
        <v>108</v>
      </c>
      <c r="B290">
        <v>13.12</v>
      </c>
      <c r="C290">
        <v>310</v>
      </c>
      <c r="D290" t="s">
        <v>6</v>
      </c>
      <c r="E290">
        <v>22.2</v>
      </c>
      <c r="F290">
        <v>6359</v>
      </c>
      <c r="G290">
        <v>27.78</v>
      </c>
      <c r="H290">
        <v>616.70000000000005</v>
      </c>
      <c r="I290">
        <f t="shared" si="11"/>
        <v>9.7292038268201715</v>
      </c>
      <c r="J290">
        <f t="shared" si="10"/>
        <v>9.7289514136166417</v>
      </c>
      <c r="K290">
        <v>8.1612500000000008</v>
      </c>
      <c r="L290">
        <f>42.2*(5280/3600)</f>
        <v>61.893333333333331</v>
      </c>
      <c r="M290" s="2"/>
      <c r="N290" s="3"/>
      <c r="O290" s="2"/>
      <c r="P290" s="4"/>
    </row>
    <row r="291" spans="1:16" ht="15.6" x14ac:dyDescent="0.3">
      <c r="A291" t="s">
        <v>108</v>
      </c>
      <c r="B291">
        <v>13.12</v>
      </c>
      <c r="C291">
        <v>310</v>
      </c>
      <c r="D291" t="s">
        <v>7</v>
      </c>
      <c r="E291">
        <v>22.2</v>
      </c>
      <c r="F291">
        <v>6182</v>
      </c>
      <c r="G291">
        <v>34.22</v>
      </c>
      <c r="H291">
        <v>759.6</v>
      </c>
      <c r="I291">
        <f t="shared" si="11"/>
        <v>7.8988941548183247</v>
      </c>
      <c r="J291">
        <f t="shared" si="10"/>
        <v>7.898020755998548</v>
      </c>
      <c r="K291">
        <v>8.8887499999999999</v>
      </c>
      <c r="L291">
        <f>46.8*(5280/3600)</f>
        <v>68.639999999999986</v>
      </c>
      <c r="M291" s="2"/>
      <c r="N291" s="3"/>
      <c r="O291" s="2"/>
      <c r="P291" s="4"/>
    </row>
    <row r="292" spans="1:16" ht="15.6" x14ac:dyDescent="0.3">
      <c r="A292" t="s">
        <v>108</v>
      </c>
      <c r="B292">
        <v>13.12</v>
      </c>
      <c r="C292">
        <v>310</v>
      </c>
      <c r="D292" t="s">
        <v>8</v>
      </c>
      <c r="E292">
        <v>22.2</v>
      </c>
      <c r="F292">
        <v>5990</v>
      </c>
      <c r="G292">
        <v>41.58</v>
      </c>
      <c r="H292">
        <v>923.1</v>
      </c>
      <c r="I292">
        <f t="shared" si="11"/>
        <v>6.4998375040623984</v>
      </c>
      <c r="J292">
        <f t="shared" si="10"/>
        <v>6.500006500006501</v>
      </c>
      <c r="K292">
        <v>9.2506249999999994</v>
      </c>
      <c r="L292">
        <f>56.7*(5280/3600)</f>
        <v>83.16</v>
      </c>
      <c r="M292" s="2"/>
      <c r="N292" s="3"/>
      <c r="O292" s="2"/>
      <c r="P292" s="4"/>
    </row>
    <row r="293" spans="1:16" ht="15.6" x14ac:dyDescent="0.3">
      <c r="A293" t="s">
        <v>108</v>
      </c>
      <c r="B293">
        <v>13.12</v>
      </c>
      <c r="C293">
        <v>310</v>
      </c>
      <c r="D293" t="s">
        <v>10</v>
      </c>
      <c r="E293">
        <v>22.2</v>
      </c>
      <c r="F293">
        <v>6035</v>
      </c>
      <c r="G293">
        <v>34.94</v>
      </c>
      <c r="H293">
        <v>775.7</v>
      </c>
      <c r="I293">
        <f t="shared" si="11"/>
        <v>7.7349490782519013</v>
      </c>
      <c r="J293">
        <f t="shared" si="10"/>
        <v>7.7352681817478617</v>
      </c>
      <c r="K293">
        <v>9.6868750000000006</v>
      </c>
      <c r="L293">
        <f>45.7*(5280/3600)</f>
        <v>67.026666666666671</v>
      </c>
      <c r="M293" s="2"/>
      <c r="N293" s="3"/>
      <c r="O293" s="2"/>
      <c r="P293" s="4"/>
    </row>
    <row r="294" spans="1:16" ht="15.6" x14ac:dyDescent="0.3">
      <c r="A294" t="s">
        <v>108</v>
      </c>
      <c r="B294">
        <v>13.12</v>
      </c>
      <c r="C294">
        <v>310</v>
      </c>
      <c r="D294" t="s">
        <v>11</v>
      </c>
      <c r="E294">
        <v>22.2</v>
      </c>
      <c r="F294">
        <v>5882</v>
      </c>
      <c r="G294">
        <v>40.33</v>
      </c>
      <c r="H294">
        <v>895.3</v>
      </c>
      <c r="I294">
        <f t="shared" si="11"/>
        <v>6.7016642466212444</v>
      </c>
      <c r="J294">
        <f t="shared" si="10"/>
        <v>6.7014696322903617</v>
      </c>
      <c r="K294">
        <v>10.194375000000001</v>
      </c>
      <c r="L294">
        <f>55.7*(5280/3600)</f>
        <v>81.693333333333328</v>
      </c>
      <c r="M294" s="2"/>
      <c r="N294" s="3"/>
      <c r="O294" s="2"/>
      <c r="P294" s="4"/>
    </row>
    <row r="295" spans="1:16" ht="15.6" x14ac:dyDescent="0.3">
      <c r="A295" t="s">
        <v>108</v>
      </c>
      <c r="B295">
        <v>13.12</v>
      </c>
      <c r="C295">
        <v>310</v>
      </c>
      <c r="D295" t="s">
        <v>17</v>
      </c>
      <c r="E295">
        <v>22.2</v>
      </c>
      <c r="F295">
        <v>6346</v>
      </c>
      <c r="G295">
        <v>28.37</v>
      </c>
      <c r="H295">
        <v>629.79999999999995</v>
      </c>
      <c r="I295">
        <f t="shared" si="11"/>
        <v>9.5268339155287407</v>
      </c>
      <c r="J295">
        <f t="shared" si="10"/>
        <v>9.52662214558584</v>
      </c>
      <c r="K295">
        <v>6.0331250000000001</v>
      </c>
      <c r="L295">
        <f>60.1*(5280/3600)</f>
        <v>88.146666666666661</v>
      </c>
      <c r="M295" s="2"/>
      <c r="N295" s="3"/>
      <c r="O295" s="2"/>
      <c r="P295" s="4"/>
    </row>
    <row r="296" spans="1:16" ht="15.6" x14ac:dyDescent="0.3">
      <c r="A296" t="s">
        <v>108</v>
      </c>
      <c r="B296">
        <v>13.12</v>
      </c>
      <c r="C296">
        <v>310</v>
      </c>
      <c r="D296" t="s">
        <v>19</v>
      </c>
      <c r="E296">
        <v>22.2</v>
      </c>
      <c r="F296">
        <v>6389</v>
      </c>
      <c r="G296">
        <v>28.6</v>
      </c>
      <c r="H296">
        <v>634.9</v>
      </c>
      <c r="I296">
        <f t="shared" si="11"/>
        <v>9.4503071349818875</v>
      </c>
      <c r="J296">
        <f t="shared" si="10"/>
        <v>9.4500094500094498</v>
      </c>
      <c r="K296">
        <v>7.3825000000000003</v>
      </c>
      <c r="L296">
        <f>48.4*(5280/3600)</f>
        <v>70.986666666666665</v>
      </c>
      <c r="M296" s="2"/>
      <c r="N296" s="3"/>
      <c r="O296" s="2"/>
      <c r="P296" s="4"/>
    </row>
    <row r="297" spans="1:16" ht="15.6" x14ac:dyDescent="0.3">
      <c r="A297" t="s">
        <v>108</v>
      </c>
      <c r="B297">
        <v>13.12</v>
      </c>
      <c r="C297">
        <v>310</v>
      </c>
      <c r="D297" t="s">
        <v>20</v>
      </c>
      <c r="E297">
        <v>22.2</v>
      </c>
      <c r="F297">
        <v>6285</v>
      </c>
      <c r="G297">
        <v>32.520000000000003</v>
      </c>
      <c r="H297">
        <v>721.8</v>
      </c>
      <c r="I297">
        <f t="shared" si="11"/>
        <v>8.3125519534497094</v>
      </c>
      <c r="J297">
        <f t="shared" si="10"/>
        <v>8.3108939197500078</v>
      </c>
      <c r="K297">
        <v>8.0487500000000001</v>
      </c>
      <c r="L297">
        <f>59.5*(5280/3600)</f>
        <v>87.266666666666666</v>
      </c>
      <c r="M297" s="2"/>
      <c r="N297" s="3"/>
      <c r="O297" s="2"/>
      <c r="P297" s="4"/>
    </row>
    <row r="298" spans="1:16" ht="15.6" x14ac:dyDescent="0.3">
      <c r="A298" t="s">
        <v>108</v>
      </c>
      <c r="B298">
        <v>13.12</v>
      </c>
      <c r="C298">
        <v>310</v>
      </c>
      <c r="D298" t="s">
        <v>21</v>
      </c>
      <c r="E298">
        <v>22.2</v>
      </c>
      <c r="F298">
        <v>6314</v>
      </c>
      <c r="G298">
        <v>28.65</v>
      </c>
      <c r="H298">
        <v>636.1</v>
      </c>
      <c r="I298">
        <f t="shared" si="11"/>
        <v>9.432479169941832</v>
      </c>
      <c r="J298">
        <f t="shared" si="10"/>
        <v>9.4335172869204289</v>
      </c>
      <c r="K298">
        <v>7.6956249999999997</v>
      </c>
      <c r="L298">
        <f>35.9*(5280/3600)</f>
        <v>52.653333333333329</v>
      </c>
      <c r="M298" s="2"/>
      <c r="N298" s="3"/>
      <c r="O298" s="2"/>
      <c r="P298" s="4"/>
    </row>
    <row r="299" spans="1:16" ht="15.6" x14ac:dyDescent="0.3">
      <c r="A299" t="s">
        <v>108</v>
      </c>
      <c r="B299">
        <v>13.12</v>
      </c>
      <c r="C299">
        <v>310</v>
      </c>
      <c r="D299" t="s">
        <v>22</v>
      </c>
      <c r="E299">
        <v>22.2</v>
      </c>
      <c r="F299">
        <v>6263</v>
      </c>
      <c r="G299">
        <v>32.86</v>
      </c>
      <c r="H299">
        <v>729.5</v>
      </c>
      <c r="I299">
        <f t="shared" si="11"/>
        <v>8.2248115147361194</v>
      </c>
      <c r="J299">
        <f t="shared" si="10"/>
        <v>8.2249017124245363</v>
      </c>
      <c r="K299">
        <v>8.7243750000000002</v>
      </c>
      <c r="L299">
        <f>47.4*(5280/3600)</f>
        <v>69.52</v>
      </c>
      <c r="M299" s="2"/>
      <c r="N299" s="3"/>
      <c r="O299" s="2"/>
      <c r="P299" s="4"/>
    </row>
    <row r="300" spans="1:16" ht="15.6" x14ac:dyDescent="0.3">
      <c r="A300" t="s">
        <v>108</v>
      </c>
      <c r="B300">
        <v>13.12</v>
      </c>
      <c r="C300">
        <v>310</v>
      </c>
      <c r="D300" t="s">
        <v>23</v>
      </c>
      <c r="E300">
        <v>22.2</v>
      </c>
      <c r="F300">
        <v>6025</v>
      </c>
      <c r="G300">
        <v>40.69</v>
      </c>
      <c r="H300">
        <v>903.3</v>
      </c>
      <c r="I300">
        <f t="shared" si="11"/>
        <v>6.6423115244104949</v>
      </c>
      <c r="J300">
        <f t="shared" si="10"/>
        <v>6.6421791661408278</v>
      </c>
      <c r="K300">
        <v>9.4156250000000004</v>
      </c>
      <c r="L300">
        <f>57.1*(5280/3600)</f>
        <v>83.74666666666667</v>
      </c>
      <c r="M300" s="2"/>
      <c r="N300" s="3"/>
      <c r="O300" s="2"/>
      <c r="P300" s="4"/>
    </row>
    <row r="301" spans="1:16" ht="15.6" x14ac:dyDescent="0.3">
      <c r="A301" t="s">
        <v>108</v>
      </c>
      <c r="B301">
        <v>13.12</v>
      </c>
      <c r="C301">
        <v>310</v>
      </c>
      <c r="D301" t="s">
        <v>24</v>
      </c>
      <c r="E301">
        <v>22.2</v>
      </c>
      <c r="F301">
        <v>6053</v>
      </c>
      <c r="G301">
        <v>35.26</v>
      </c>
      <c r="H301">
        <v>782.7</v>
      </c>
      <c r="I301">
        <f t="shared" si="11"/>
        <v>7.6657723265619007</v>
      </c>
      <c r="J301">
        <f t="shared" si="10"/>
        <v>7.6650672226395429</v>
      </c>
      <c r="K301">
        <v>9.3468750000000007</v>
      </c>
      <c r="L301">
        <f>45.9*(5280/3600)</f>
        <v>67.319999999999993</v>
      </c>
      <c r="M301" s="2"/>
      <c r="N301" s="3"/>
      <c r="O301" s="2"/>
      <c r="P301" s="4"/>
    </row>
    <row r="302" spans="1:16" ht="15.6" x14ac:dyDescent="0.3">
      <c r="A302" t="s">
        <v>108</v>
      </c>
      <c r="B302">
        <v>13.12</v>
      </c>
      <c r="C302">
        <v>310</v>
      </c>
      <c r="D302" t="s">
        <v>27</v>
      </c>
      <c r="E302">
        <v>22.2</v>
      </c>
      <c r="F302">
        <v>6413</v>
      </c>
      <c r="G302">
        <v>26.01</v>
      </c>
      <c r="H302">
        <v>577.4</v>
      </c>
      <c r="I302">
        <f t="shared" si="11"/>
        <v>10.391409767925182</v>
      </c>
      <c r="J302">
        <f t="shared" si="10"/>
        <v>10.391013851221462</v>
      </c>
      <c r="K302">
        <v>6.83</v>
      </c>
      <c r="L302">
        <f>54.7*(5280/3600)</f>
        <v>80.226666666666659</v>
      </c>
      <c r="M302" s="2"/>
      <c r="N302" s="3"/>
      <c r="O302" s="2"/>
      <c r="P302" s="4"/>
    </row>
    <row r="303" spans="1:16" ht="15.6" x14ac:dyDescent="0.3">
      <c r="A303" t="s">
        <v>108</v>
      </c>
      <c r="B303">
        <v>13.12</v>
      </c>
      <c r="C303">
        <v>310</v>
      </c>
      <c r="D303" t="s">
        <v>28</v>
      </c>
      <c r="E303">
        <v>22.2</v>
      </c>
      <c r="F303">
        <v>6375</v>
      </c>
      <c r="G303">
        <v>27.23</v>
      </c>
      <c r="H303">
        <v>604.6</v>
      </c>
      <c r="I303">
        <f t="shared" si="11"/>
        <v>9.9239166391002307</v>
      </c>
      <c r="J303">
        <f t="shared" si="10"/>
        <v>9.9254597969250931</v>
      </c>
      <c r="K303">
        <v>7.34375</v>
      </c>
      <c r="L303">
        <f>42.3*(5280/3600)</f>
        <v>62.039999999999992</v>
      </c>
      <c r="M303" s="2"/>
      <c r="N303" s="3"/>
      <c r="O303" s="2"/>
      <c r="P303" s="4"/>
    </row>
    <row r="304" spans="1:16" ht="15.6" x14ac:dyDescent="0.3">
      <c r="A304" t="s">
        <v>108</v>
      </c>
      <c r="B304">
        <v>13.12</v>
      </c>
      <c r="C304">
        <v>310</v>
      </c>
      <c r="D304" t="s">
        <v>29</v>
      </c>
      <c r="E304">
        <v>22.2</v>
      </c>
      <c r="F304">
        <v>6233</v>
      </c>
      <c r="G304">
        <v>32.369999999999997</v>
      </c>
      <c r="H304">
        <v>718.6</v>
      </c>
      <c r="I304">
        <f t="shared" si="11"/>
        <v>8.3495686056220428</v>
      </c>
      <c r="J304">
        <f t="shared" si="10"/>
        <v>8.3494059397673865</v>
      </c>
      <c r="K304">
        <v>8.5274999999999999</v>
      </c>
      <c r="L304">
        <f>47.2*(5280/3600)</f>
        <v>69.226666666666659</v>
      </c>
      <c r="M304" s="2"/>
      <c r="N304" s="3"/>
      <c r="O304" s="2"/>
      <c r="P304" s="4"/>
    </row>
    <row r="305" spans="1:16" ht="15.6" x14ac:dyDescent="0.3">
      <c r="A305" t="s">
        <v>108</v>
      </c>
      <c r="B305">
        <v>13.12</v>
      </c>
      <c r="C305">
        <v>310</v>
      </c>
      <c r="D305" t="s">
        <v>30</v>
      </c>
      <c r="E305">
        <v>22.2</v>
      </c>
      <c r="F305">
        <v>5996</v>
      </c>
      <c r="G305">
        <v>41.41</v>
      </c>
      <c r="H305">
        <v>919.2</v>
      </c>
      <c r="I305">
        <f t="shared" si="11"/>
        <v>6.5274151436031334</v>
      </c>
      <c r="J305">
        <f t="shared" si="10"/>
        <v>6.5266909024455524</v>
      </c>
      <c r="K305">
        <v>9.9162499999999998</v>
      </c>
      <c r="L305">
        <f>56.8*(5280/3600)</f>
        <v>83.306666666666658</v>
      </c>
      <c r="M305" s="2"/>
      <c r="N305" s="3"/>
      <c r="O305" s="2"/>
      <c r="P305" s="4"/>
    </row>
    <row r="306" spans="1:16" ht="15.6" x14ac:dyDescent="0.3">
      <c r="A306" t="s">
        <v>108</v>
      </c>
      <c r="B306">
        <v>13.12</v>
      </c>
      <c r="C306">
        <v>310</v>
      </c>
      <c r="D306" t="s">
        <v>34</v>
      </c>
      <c r="E306">
        <v>29.6</v>
      </c>
      <c r="F306">
        <v>8530</v>
      </c>
      <c r="G306">
        <v>28.64</v>
      </c>
      <c r="H306">
        <v>847.7</v>
      </c>
      <c r="I306">
        <f t="shared" si="11"/>
        <v>7.0779756989500999</v>
      </c>
      <c r="J306">
        <f t="shared" si="10"/>
        <v>7.0776083345915737</v>
      </c>
      <c r="K306">
        <v>5.0706249999999997</v>
      </c>
      <c r="L306">
        <f>96.9*(5280/3600)</f>
        <v>142.12</v>
      </c>
      <c r="M306" s="2"/>
      <c r="N306" s="3"/>
      <c r="O306" s="2"/>
      <c r="P306" s="4"/>
    </row>
    <row r="307" spans="1:16" ht="15.6" x14ac:dyDescent="0.3">
      <c r="A307" t="s">
        <v>108</v>
      </c>
      <c r="B307">
        <v>13.12</v>
      </c>
      <c r="C307">
        <v>310</v>
      </c>
      <c r="D307" t="s">
        <v>37</v>
      </c>
      <c r="E307">
        <v>29.6</v>
      </c>
      <c r="F307">
        <v>8334</v>
      </c>
      <c r="G307">
        <v>35.28</v>
      </c>
      <c r="H307">
        <v>1044.0999999999999</v>
      </c>
      <c r="I307">
        <f t="shared" si="11"/>
        <v>5.7465759984675797</v>
      </c>
      <c r="J307">
        <f t="shared" si="10"/>
        <v>5.745541459827173</v>
      </c>
      <c r="K307">
        <v>6.6624999999999996</v>
      </c>
      <c r="L307">
        <f>78.9*(5280/3600)</f>
        <v>115.72</v>
      </c>
      <c r="M307" s="2"/>
      <c r="N307" s="3"/>
      <c r="O307" s="2"/>
      <c r="P307" s="4"/>
    </row>
    <row r="308" spans="1:16" ht="15.6" x14ac:dyDescent="0.3">
      <c r="A308" t="s">
        <v>108</v>
      </c>
      <c r="B308">
        <v>13.12</v>
      </c>
      <c r="C308">
        <v>310</v>
      </c>
      <c r="D308" t="s">
        <v>39</v>
      </c>
      <c r="E308">
        <v>29.6</v>
      </c>
      <c r="F308">
        <v>8474</v>
      </c>
      <c r="G308">
        <v>30.45</v>
      </c>
      <c r="H308">
        <v>901.3</v>
      </c>
      <c r="I308">
        <f t="shared" si="11"/>
        <v>6.6570509264395872</v>
      </c>
      <c r="J308">
        <f t="shared" si="10"/>
        <v>6.6569032086273463</v>
      </c>
      <c r="K308">
        <v>8.32</v>
      </c>
      <c r="L308">
        <f>56.2*(5280/3600)</f>
        <v>82.426666666666662</v>
      </c>
      <c r="M308" s="2"/>
      <c r="N308" s="3"/>
      <c r="O308" s="2"/>
      <c r="P308" s="4"/>
    </row>
    <row r="309" spans="1:16" ht="15.6" x14ac:dyDescent="0.3">
      <c r="A309" t="s">
        <v>108</v>
      </c>
      <c r="B309">
        <v>13.12</v>
      </c>
      <c r="C309">
        <v>310</v>
      </c>
      <c r="D309" t="s">
        <v>40</v>
      </c>
      <c r="E309">
        <v>29.6</v>
      </c>
      <c r="F309">
        <v>8432</v>
      </c>
      <c r="G309">
        <v>31.68</v>
      </c>
      <c r="H309">
        <v>937.8</v>
      </c>
      <c r="I309">
        <f t="shared" si="11"/>
        <v>6.3979526551503527</v>
      </c>
      <c r="J309">
        <f t="shared" si="10"/>
        <v>6.3984438984438983</v>
      </c>
      <c r="K309">
        <v>8.4831249999999994</v>
      </c>
      <c r="L309">
        <f>67.9*(5280/3600)</f>
        <v>99.586666666666673</v>
      </c>
      <c r="M309" s="2"/>
      <c r="N309" s="3"/>
      <c r="O309" s="2"/>
      <c r="P309" s="4"/>
    </row>
    <row r="310" spans="1:16" ht="15.6" x14ac:dyDescent="0.3">
      <c r="A310" t="s">
        <v>108</v>
      </c>
      <c r="B310">
        <v>13.12</v>
      </c>
      <c r="C310">
        <v>310</v>
      </c>
      <c r="D310" t="s">
        <v>41</v>
      </c>
      <c r="E310">
        <v>29.6</v>
      </c>
      <c r="F310">
        <v>8435</v>
      </c>
      <c r="G310">
        <v>31.6</v>
      </c>
      <c r="H310">
        <v>935.2</v>
      </c>
      <c r="I310">
        <f t="shared" si="11"/>
        <v>6.41573994867408</v>
      </c>
      <c r="J310">
        <f t="shared" si="10"/>
        <v>6.4146424905918566</v>
      </c>
      <c r="K310">
        <v>8.3643750000000008</v>
      </c>
      <c r="L310">
        <f>79.9*(5280/3600)</f>
        <v>117.18666666666667</v>
      </c>
      <c r="M310" s="2"/>
      <c r="N310" s="3"/>
      <c r="O310" s="2"/>
      <c r="P310" s="4"/>
    </row>
    <row r="311" spans="1:16" ht="15.6" x14ac:dyDescent="0.3">
      <c r="A311" t="s">
        <v>108</v>
      </c>
      <c r="B311">
        <v>13.12</v>
      </c>
      <c r="C311">
        <v>310</v>
      </c>
      <c r="D311" t="s">
        <v>43</v>
      </c>
      <c r="E311">
        <v>29.6</v>
      </c>
      <c r="F311">
        <v>8445</v>
      </c>
      <c r="G311">
        <v>31.53</v>
      </c>
      <c r="H311">
        <v>933.3</v>
      </c>
      <c r="I311">
        <f t="shared" si="11"/>
        <v>6.4288010286081647</v>
      </c>
      <c r="J311">
        <f t="shared" si="10"/>
        <v>6.4288836886363043</v>
      </c>
      <c r="K311">
        <v>9.6912500000000001</v>
      </c>
      <c r="L311">
        <f>48*(5280/3600)</f>
        <v>70.399999999999991</v>
      </c>
      <c r="M311" s="2"/>
      <c r="N311" s="3"/>
      <c r="O311" s="2"/>
      <c r="P311" s="4"/>
    </row>
    <row r="312" spans="1:16" ht="15.6" x14ac:dyDescent="0.3">
      <c r="A312" t="s">
        <v>108</v>
      </c>
      <c r="B312">
        <v>13.12</v>
      </c>
      <c r="C312">
        <v>310</v>
      </c>
      <c r="D312" t="s">
        <v>44</v>
      </c>
      <c r="E312">
        <v>29.6</v>
      </c>
      <c r="F312">
        <v>8462</v>
      </c>
      <c r="G312">
        <v>30.95</v>
      </c>
      <c r="H312">
        <v>916.1</v>
      </c>
      <c r="I312">
        <f t="shared" si="11"/>
        <v>6.5495033293308591</v>
      </c>
      <c r="J312">
        <f t="shared" si="10"/>
        <v>6.5493603458062255</v>
      </c>
      <c r="K312">
        <v>9.6012500000000003</v>
      </c>
      <c r="L312">
        <f>56.1*(5280/3600)</f>
        <v>82.28</v>
      </c>
      <c r="M312" s="2"/>
      <c r="N312" s="3"/>
      <c r="O312" s="2"/>
      <c r="P312" s="4"/>
    </row>
    <row r="313" spans="1:16" ht="15.6" x14ac:dyDescent="0.3">
      <c r="A313" t="s">
        <v>108</v>
      </c>
      <c r="B313">
        <v>13.12</v>
      </c>
      <c r="C313">
        <v>310</v>
      </c>
      <c r="D313" t="s">
        <v>0</v>
      </c>
      <c r="E313">
        <v>29.6</v>
      </c>
      <c r="F313">
        <v>8370</v>
      </c>
      <c r="G313">
        <v>34.06</v>
      </c>
      <c r="H313">
        <v>1008.1</v>
      </c>
      <c r="I313">
        <f t="shared" si="11"/>
        <v>5.9517904969745059</v>
      </c>
      <c r="J313">
        <f t="shared" si="10"/>
        <v>5.9513418292044236</v>
      </c>
      <c r="K313">
        <v>9.6074999999999999</v>
      </c>
      <c r="L313">
        <f>63.4*(5280/3600)</f>
        <v>92.986666666666665</v>
      </c>
      <c r="M313" s="2"/>
      <c r="N313" s="3"/>
      <c r="O313" s="2"/>
      <c r="P313" s="4"/>
    </row>
    <row r="314" spans="1:16" ht="15.6" x14ac:dyDescent="0.3">
      <c r="A314" t="s">
        <v>108</v>
      </c>
      <c r="B314">
        <v>13.12</v>
      </c>
      <c r="C314">
        <v>310</v>
      </c>
      <c r="D314" t="s">
        <v>2</v>
      </c>
      <c r="E314">
        <v>29.6</v>
      </c>
      <c r="F314">
        <v>8012</v>
      </c>
      <c r="G314">
        <v>40.409999999999997</v>
      </c>
      <c r="H314">
        <v>1196.0999999999999</v>
      </c>
      <c r="I314">
        <f t="shared" si="11"/>
        <v>5.0163029847002765</v>
      </c>
      <c r="J314">
        <f t="shared" si="10"/>
        <v>5.0161520094704946</v>
      </c>
      <c r="K314">
        <v>11.874375000000001</v>
      </c>
      <c r="L314">
        <f>53.1*(5280/3600)</f>
        <v>77.88</v>
      </c>
      <c r="M314" s="2"/>
      <c r="N314" s="3"/>
      <c r="O314" s="2"/>
      <c r="P314" s="4"/>
    </row>
    <row r="315" spans="1:16" ht="15.6" x14ac:dyDescent="0.3">
      <c r="A315" t="s">
        <v>108</v>
      </c>
      <c r="B315">
        <v>13.12</v>
      </c>
      <c r="C315">
        <v>310</v>
      </c>
      <c r="D315" t="s">
        <v>46</v>
      </c>
      <c r="E315">
        <v>29.6</v>
      </c>
      <c r="F315">
        <v>8398</v>
      </c>
      <c r="G315">
        <v>33.99</v>
      </c>
      <c r="H315">
        <v>1006.2</v>
      </c>
      <c r="I315">
        <f t="shared" si="11"/>
        <v>5.9630292188431717</v>
      </c>
      <c r="J315">
        <f t="shared" si="10"/>
        <v>5.9635981966079044</v>
      </c>
      <c r="K315">
        <v>6.3106249999999999</v>
      </c>
      <c r="L315">
        <f>79.5*(5280/3600)</f>
        <v>116.6</v>
      </c>
      <c r="M315" s="2"/>
      <c r="N315" s="3"/>
      <c r="O315" s="2"/>
      <c r="P315" s="4"/>
    </row>
    <row r="316" spans="1:16" ht="15.6" x14ac:dyDescent="0.3">
      <c r="A316" t="s">
        <v>108</v>
      </c>
      <c r="B316">
        <v>13.12</v>
      </c>
      <c r="C316">
        <v>310</v>
      </c>
      <c r="D316" t="s">
        <v>48</v>
      </c>
      <c r="E316">
        <v>29.6</v>
      </c>
      <c r="F316">
        <v>8519</v>
      </c>
      <c r="G316">
        <v>29.55</v>
      </c>
      <c r="H316">
        <v>874.6</v>
      </c>
      <c r="I316">
        <f t="shared" si="11"/>
        <v>6.8602789846787102</v>
      </c>
      <c r="J316">
        <f t="shared" si="10"/>
        <v>6.8596515297022904</v>
      </c>
      <c r="K316">
        <v>8.2062500000000007</v>
      </c>
      <c r="L316">
        <f>64.5*(5280/3600)</f>
        <v>94.6</v>
      </c>
      <c r="M316" s="2"/>
      <c r="N316" s="3"/>
      <c r="O316" s="2"/>
      <c r="P316" s="4"/>
    </row>
    <row r="317" spans="1:16" ht="15.6" x14ac:dyDescent="0.3">
      <c r="A317" t="s">
        <v>108</v>
      </c>
      <c r="B317">
        <v>13.12</v>
      </c>
      <c r="C317">
        <v>310</v>
      </c>
      <c r="D317" t="s">
        <v>49</v>
      </c>
      <c r="E317">
        <v>29.6</v>
      </c>
      <c r="F317">
        <v>8091</v>
      </c>
      <c r="G317">
        <v>40.01</v>
      </c>
      <c r="H317">
        <v>1184.4000000000001</v>
      </c>
      <c r="I317">
        <f t="shared" si="11"/>
        <v>5.0658561296859164</v>
      </c>
      <c r="J317">
        <f t="shared" si="10"/>
        <v>5.0663009923194879</v>
      </c>
      <c r="K317">
        <v>8.4068749999999994</v>
      </c>
      <c r="L317">
        <f>76.6*(5280/3600)</f>
        <v>112.34666666666665</v>
      </c>
      <c r="M317" s="2"/>
      <c r="N317" s="3"/>
      <c r="O317" s="2"/>
      <c r="P317" s="4"/>
    </row>
    <row r="318" spans="1:16" ht="15.6" x14ac:dyDescent="0.3">
      <c r="A318" t="s">
        <v>108</v>
      </c>
      <c r="B318">
        <v>13.12</v>
      </c>
      <c r="C318">
        <v>310</v>
      </c>
      <c r="D318" t="s">
        <v>50</v>
      </c>
      <c r="E318">
        <v>29.6</v>
      </c>
      <c r="F318">
        <v>8445</v>
      </c>
      <c r="G318">
        <v>31.65</v>
      </c>
      <c r="H318">
        <v>936.9</v>
      </c>
      <c r="I318">
        <f t="shared" si="11"/>
        <v>6.4040986231187969</v>
      </c>
      <c r="J318">
        <f t="shared" si="10"/>
        <v>6.404508774177021</v>
      </c>
      <c r="K318">
        <v>9.3062500000000004</v>
      </c>
      <c r="L318">
        <f>48*(5280/3600)</f>
        <v>70.399999999999991</v>
      </c>
      <c r="M318" s="2"/>
      <c r="N318" s="3"/>
      <c r="O318" s="2"/>
      <c r="P318" s="4"/>
    </row>
    <row r="319" spans="1:16" ht="15.6" x14ac:dyDescent="0.3">
      <c r="A319" t="s">
        <v>108</v>
      </c>
      <c r="B319">
        <v>13.12</v>
      </c>
      <c r="C319">
        <v>310</v>
      </c>
      <c r="D319" t="s">
        <v>51</v>
      </c>
      <c r="E319">
        <v>29.6</v>
      </c>
      <c r="F319">
        <v>8410</v>
      </c>
      <c r="G319">
        <v>32.17</v>
      </c>
      <c r="H319">
        <v>952.1</v>
      </c>
      <c r="I319">
        <f t="shared" si="11"/>
        <v>6.3018590484192831</v>
      </c>
      <c r="J319">
        <f t="shared" si="10"/>
        <v>6.3009854741281526</v>
      </c>
      <c r="K319">
        <v>9.6418750000000006</v>
      </c>
      <c r="L319">
        <f>55.8*(5280/3600)</f>
        <v>81.839999999999989</v>
      </c>
      <c r="M319" s="2"/>
      <c r="N319" s="3"/>
      <c r="O319" s="2"/>
      <c r="P319" s="4"/>
    </row>
    <row r="320" spans="1:16" ht="15.6" x14ac:dyDescent="0.3">
      <c r="A320" t="s">
        <v>108</v>
      </c>
      <c r="B320">
        <v>13.12</v>
      </c>
      <c r="C320">
        <v>310</v>
      </c>
      <c r="D320" t="s">
        <v>16</v>
      </c>
      <c r="E320">
        <v>29.6</v>
      </c>
      <c r="F320">
        <v>8301</v>
      </c>
      <c r="G320">
        <v>35.65</v>
      </c>
      <c r="H320">
        <v>1055.3</v>
      </c>
      <c r="I320">
        <f t="shared" si="11"/>
        <v>5.6855870368615564</v>
      </c>
      <c r="J320">
        <f t="shared" si="10"/>
        <v>5.6859103142413092</v>
      </c>
      <c r="K320">
        <v>9.2612500000000004</v>
      </c>
      <c r="L320">
        <f>62.9*(5280/3600)</f>
        <v>92.25333333333333</v>
      </c>
      <c r="M320" s="2"/>
      <c r="N320" s="3"/>
      <c r="O320" s="2"/>
      <c r="P320" s="4"/>
    </row>
    <row r="321" spans="1:16" ht="15.6" x14ac:dyDescent="0.3">
      <c r="A321" t="s">
        <v>108</v>
      </c>
      <c r="B321">
        <v>13.12</v>
      </c>
      <c r="C321">
        <v>310</v>
      </c>
      <c r="D321" t="s">
        <v>52</v>
      </c>
      <c r="E321">
        <v>29.6</v>
      </c>
      <c r="F321">
        <v>8218</v>
      </c>
      <c r="G321">
        <v>35.54</v>
      </c>
      <c r="H321">
        <v>1051.9000000000001</v>
      </c>
      <c r="I321">
        <f t="shared" si="11"/>
        <v>5.7039642551573335</v>
      </c>
      <c r="J321">
        <f t="shared" si="10"/>
        <v>5.7035087986129067</v>
      </c>
      <c r="K321">
        <v>10.8125</v>
      </c>
      <c r="L321">
        <f>46.7*(5280/3600)</f>
        <v>68.493333333333339</v>
      </c>
      <c r="M321" s="2"/>
      <c r="N321" s="3"/>
      <c r="O321" s="2"/>
      <c r="P321" s="4"/>
    </row>
    <row r="322" spans="1:16" ht="15.6" x14ac:dyDescent="0.3">
      <c r="A322" t="s">
        <v>108</v>
      </c>
      <c r="B322">
        <v>13.12</v>
      </c>
      <c r="C322">
        <v>310</v>
      </c>
      <c r="D322" t="s">
        <v>18</v>
      </c>
      <c r="E322">
        <v>29.6</v>
      </c>
      <c r="F322">
        <v>8055</v>
      </c>
      <c r="G322">
        <v>39.21</v>
      </c>
      <c r="H322">
        <v>1160.5999999999999</v>
      </c>
      <c r="I322">
        <f t="shared" si="11"/>
        <v>5.1697397897639155</v>
      </c>
      <c r="J322">
        <f t="shared" si="10"/>
        <v>5.169668520854442</v>
      </c>
      <c r="K322">
        <v>11.148125</v>
      </c>
      <c r="L322">
        <f>53.4*(5280/3600)</f>
        <v>78.319999999999993</v>
      </c>
      <c r="M322" s="2"/>
      <c r="N322" s="3"/>
      <c r="O322" s="2"/>
      <c r="P322" s="4"/>
    </row>
    <row r="323" spans="1:16" ht="15.6" x14ac:dyDescent="0.3">
      <c r="A323" t="s">
        <v>108</v>
      </c>
      <c r="B323">
        <v>13.12</v>
      </c>
      <c r="C323">
        <v>310</v>
      </c>
      <c r="D323" t="s">
        <v>25</v>
      </c>
      <c r="E323">
        <v>29.6</v>
      </c>
      <c r="F323">
        <v>8523</v>
      </c>
      <c r="G323">
        <v>28.93</v>
      </c>
      <c r="H323">
        <v>856.4</v>
      </c>
      <c r="I323">
        <f t="shared" si="11"/>
        <v>7.0060719290051381</v>
      </c>
      <c r="J323">
        <f t="shared" ref="J323:J386" si="12">( ($N$1/E323)/G323)*60</f>
        <v>7.0066609990564359</v>
      </c>
      <c r="K323">
        <v>8.3268749999999994</v>
      </c>
      <c r="L323">
        <f>64.6*(5280/3600)</f>
        <v>94.746666666666655</v>
      </c>
      <c r="M323" s="5"/>
      <c r="N323" s="3"/>
      <c r="O323" s="5"/>
      <c r="P323" s="4"/>
    </row>
    <row r="324" spans="1:16" ht="15.6" x14ac:dyDescent="0.3">
      <c r="A324" t="s">
        <v>108</v>
      </c>
      <c r="B324">
        <v>13.12</v>
      </c>
      <c r="C324">
        <v>310</v>
      </c>
      <c r="D324" t="s">
        <v>26</v>
      </c>
      <c r="E324">
        <v>29.6</v>
      </c>
      <c r="F324">
        <v>8367</v>
      </c>
      <c r="G324">
        <v>34.19</v>
      </c>
      <c r="H324">
        <v>1012</v>
      </c>
      <c r="I324">
        <f t="shared" ref="I324:I387" si="13" xml:space="preserve"> ($N$1/H324)*60</f>
        <v>5.928853754940711</v>
      </c>
      <c r="J324">
        <f t="shared" si="12"/>
        <v>5.9287131530477541</v>
      </c>
      <c r="K324">
        <v>9.9206249999999994</v>
      </c>
      <c r="L324">
        <f>55.5*(5280/3600)</f>
        <v>81.399999999999991</v>
      </c>
      <c r="M324" s="5"/>
      <c r="N324" s="3"/>
      <c r="O324" s="5"/>
      <c r="P324" s="4"/>
    </row>
    <row r="325" spans="1:16" ht="15.6" x14ac:dyDescent="0.3">
      <c r="A325" t="s">
        <v>108</v>
      </c>
      <c r="B325">
        <v>13.12</v>
      </c>
      <c r="C325">
        <v>310</v>
      </c>
      <c r="D325" t="s">
        <v>27</v>
      </c>
      <c r="E325">
        <v>29.6</v>
      </c>
      <c r="F325">
        <v>8033</v>
      </c>
      <c r="G325">
        <v>39.42</v>
      </c>
      <c r="H325">
        <v>1166.8</v>
      </c>
      <c r="I325">
        <f t="shared" si="13"/>
        <v>5.1422694549194379</v>
      </c>
      <c r="J325">
        <f t="shared" si="12"/>
        <v>5.1421284297996621</v>
      </c>
      <c r="K325">
        <v>10.85125</v>
      </c>
      <c r="L325">
        <f>68.5*(5280/3600)</f>
        <v>100.46666666666665</v>
      </c>
      <c r="M325" s="5"/>
      <c r="N325" s="3"/>
      <c r="O325" s="5"/>
      <c r="P325" s="4"/>
    </row>
    <row r="326" spans="1:16" ht="15.6" x14ac:dyDescent="0.3">
      <c r="A326" t="s">
        <v>108</v>
      </c>
      <c r="B326">
        <v>13.12</v>
      </c>
      <c r="C326">
        <v>310</v>
      </c>
      <c r="D326" t="s">
        <v>32</v>
      </c>
      <c r="E326">
        <v>37</v>
      </c>
      <c r="F326">
        <v>10475</v>
      </c>
      <c r="G326">
        <v>29.72</v>
      </c>
      <c r="H326">
        <v>1099.8</v>
      </c>
      <c r="I326">
        <f t="shared" si="13"/>
        <v>5.4555373704309877</v>
      </c>
      <c r="J326">
        <f t="shared" si="12"/>
        <v>5.4563311629260483</v>
      </c>
      <c r="K326">
        <v>7.22</v>
      </c>
      <c r="L326">
        <f>79.4*(5280/3600)</f>
        <v>116.45333333333333</v>
      </c>
      <c r="M326" s="5"/>
      <c r="N326" s="3"/>
      <c r="O326" s="5"/>
      <c r="P326" s="4"/>
    </row>
    <row r="327" spans="1:16" ht="15.6" x14ac:dyDescent="0.3">
      <c r="A327" t="s">
        <v>108</v>
      </c>
      <c r="B327">
        <v>13.12</v>
      </c>
      <c r="C327">
        <v>310</v>
      </c>
      <c r="D327" t="s">
        <v>33</v>
      </c>
      <c r="E327">
        <v>37</v>
      </c>
      <c r="F327">
        <v>10230</v>
      </c>
      <c r="G327">
        <v>37.57</v>
      </c>
      <c r="H327">
        <v>1390.2</v>
      </c>
      <c r="I327">
        <f t="shared" si="13"/>
        <v>4.3159257660768233</v>
      </c>
      <c r="J327">
        <f t="shared" si="12"/>
        <v>4.3162672920458389</v>
      </c>
      <c r="K327">
        <v>7.6481250000000003</v>
      </c>
      <c r="L327">
        <f>96.9*(5280/3600)</f>
        <v>142.12</v>
      </c>
      <c r="M327" s="5"/>
      <c r="N327" s="3"/>
      <c r="O327" s="5"/>
      <c r="P327" s="4"/>
    </row>
    <row r="328" spans="1:16" ht="15.6" x14ac:dyDescent="0.3">
      <c r="A328" t="s">
        <v>108</v>
      </c>
      <c r="B328">
        <v>13.12</v>
      </c>
      <c r="C328">
        <v>310</v>
      </c>
      <c r="D328" t="s">
        <v>34</v>
      </c>
      <c r="E328">
        <v>37</v>
      </c>
      <c r="F328">
        <v>10314</v>
      </c>
      <c r="G328">
        <v>41.52</v>
      </c>
      <c r="H328">
        <v>1536.4</v>
      </c>
      <c r="I328">
        <f t="shared" si="13"/>
        <v>3.9052330122363963</v>
      </c>
      <c r="J328">
        <f t="shared" si="12"/>
        <v>3.9056397437900325</v>
      </c>
      <c r="K328">
        <v>7.4956250000000004</v>
      </c>
      <c r="L328">
        <f>117.2*(5280/3600)</f>
        <v>171.89333333333332</v>
      </c>
      <c r="M328" s="5"/>
      <c r="N328" s="3"/>
      <c r="O328" s="5"/>
      <c r="P328" s="4"/>
    </row>
    <row r="329" spans="1:16" ht="15.6" x14ac:dyDescent="0.3">
      <c r="A329" t="s">
        <v>108</v>
      </c>
      <c r="B329">
        <v>13.12</v>
      </c>
      <c r="C329">
        <v>310</v>
      </c>
      <c r="D329" t="s">
        <v>35</v>
      </c>
      <c r="E329">
        <v>37</v>
      </c>
      <c r="F329">
        <v>10416</v>
      </c>
      <c r="G329">
        <v>38.119999999999997</v>
      </c>
      <c r="H329">
        <v>1410.4</v>
      </c>
      <c r="I329">
        <f t="shared" si="13"/>
        <v>4.2541123085649453</v>
      </c>
      <c r="J329">
        <f t="shared" si="12"/>
        <v>4.2539916621763423</v>
      </c>
      <c r="K329">
        <v>9.484375</v>
      </c>
      <c r="L329">
        <f>64.1*(5280/3600)</f>
        <v>94.013333333333321</v>
      </c>
      <c r="M329" s="5"/>
      <c r="N329" s="3"/>
      <c r="O329" s="5"/>
      <c r="P329" s="4"/>
    </row>
    <row r="330" spans="1:16" ht="15.6" x14ac:dyDescent="0.3">
      <c r="A330" t="s">
        <v>108</v>
      </c>
      <c r="B330">
        <v>13.12</v>
      </c>
      <c r="C330">
        <v>310</v>
      </c>
      <c r="D330" t="s">
        <v>36</v>
      </c>
      <c r="E330">
        <v>37</v>
      </c>
      <c r="F330">
        <v>10343</v>
      </c>
      <c r="G330">
        <v>40.380000000000003</v>
      </c>
      <c r="H330">
        <v>1494.2</v>
      </c>
      <c r="I330">
        <f t="shared" si="13"/>
        <v>4.0155267032525765</v>
      </c>
      <c r="J330">
        <f t="shared" si="12"/>
        <v>4.0159029757841047</v>
      </c>
      <c r="K330">
        <v>10.2425</v>
      </c>
      <c r="L330">
        <f>78.4*(5280/3600)</f>
        <v>114.98666666666666</v>
      </c>
      <c r="M330" s="5"/>
      <c r="N330" s="3"/>
      <c r="O330" s="5"/>
      <c r="P330" s="4"/>
    </row>
    <row r="331" spans="1:16" ht="15.6" x14ac:dyDescent="0.3">
      <c r="A331" t="s">
        <v>108</v>
      </c>
      <c r="B331">
        <v>13.12</v>
      </c>
      <c r="C331">
        <v>310</v>
      </c>
      <c r="D331" t="s">
        <v>38</v>
      </c>
      <c r="E331">
        <v>37</v>
      </c>
      <c r="F331">
        <v>10590</v>
      </c>
      <c r="G331">
        <v>32.86</v>
      </c>
      <c r="H331">
        <v>1215.9000000000001</v>
      </c>
      <c r="I331">
        <f t="shared" si="13"/>
        <v>4.9346163335800632</v>
      </c>
      <c r="J331">
        <f t="shared" si="12"/>
        <v>4.9349410274547214</v>
      </c>
      <c r="K331">
        <v>11.045</v>
      </c>
      <c r="L331">
        <f>60.2*(5280/3600)</f>
        <v>88.293333333333337</v>
      </c>
      <c r="M331" s="5"/>
      <c r="N331" s="3"/>
      <c r="O331" s="5"/>
      <c r="P331" s="4"/>
    </row>
    <row r="332" spans="1:16" ht="15.6" x14ac:dyDescent="0.3">
      <c r="A332" t="s">
        <v>108</v>
      </c>
      <c r="B332">
        <v>13.12</v>
      </c>
      <c r="C332">
        <v>310</v>
      </c>
      <c r="D332" t="s">
        <v>60</v>
      </c>
      <c r="E332">
        <v>37</v>
      </c>
      <c r="F332">
        <v>10459</v>
      </c>
      <c r="G332">
        <v>36.909999999999997</v>
      </c>
      <c r="H332">
        <v>1365.7</v>
      </c>
      <c r="I332">
        <f t="shared" si="13"/>
        <v>4.3933513948890672</v>
      </c>
      <c r="J332">
        <f t="shared" si="12"/>
        <v>4.3934479046914703</v>
      </c>
      <c r="K332">
        <v>12.4825</v>
      </c>
      <c r="L332">
        <f>39.6*(5280/3600)</f>
        <v>58.08</v>
      </c>
      <c r="M332" s="5"/>
      <c r="N332" s="3"/>
      <c r="O332" s="5"/>
      <c r="P332" s="4"/>
    </row>
    <row r="333" spans="1:16" ht="15.6" x14ac:dyDescent="0.3">
      <c r="A333" t="s">
        <v>108</v>
      </c>
      <c r="B333">
        <v>13.12</v>
      </c>
      <c r="C333">
        <v>310</v>
      </c>
      <c r="D333" t="s">
        <v>64</v>
      </c>
      <c r="E333">
        <v>37</v>
      </c>
      <c r="F333">
        <v>10465</v>
      </c>
      <c r="G333">
        <v>29.99</v>
      </c>
      <c r="H333">
        <v>1109.4000000000001</v>
      </c>
      <c r="I333">
        <f t="shared" si="13"/>
        <v>5.408328826392645</v>
      </c>
      <c r="J333">
        <f t="shared" si="12"/>
        <v>5.4072078080080743</v>
      </c>
      <c r="K333">
        <v>6.4281249999999996</v>
      </c>
      <c r="L333">
        <f>79.3*(5280/3600)</f>
        <v>116.30666666666666</v>
      </c>
      <c r="M333" s="5"/>
      <c r="N333" s="3"/>
      <c r="O333" s="5"/>
      <c r="P333" s="4"/>
    </row>
    <row r="334" spans="1:16" ht="15.6" x14ac:dyDescent="0.3">
      <c r="A334" t="s">
        <v>108</v>
      </c>
      <c r="B334">
        <v>13.12</v>
      </c>
      <c r="C334">
        <v>310</v>
      </c>
      <c r="D334" t="s">
        <v>65</v>
      </c>
      <c r="E334">
        <v>37</v>
      </c>
      <c r="F334">
        <v>10811</v>
      </c>
      <c r="G334">
        <v>26.02</v>
      </c>
      <c r="H334">
        <v>962.8</v>
      </c>
      <c r="I334">
        <f t="shared" si="13"/>
        <v>6.2318238471125893</v>
      </c>
      <c r="J334">
        <f t="shared" si="12"/>
        <v>6.2322122276003906</v>
      </c>
      <c r="K334">
        <v>8.5581250000000004</v>
      </c>
      <c r="L334">
        <f>61.4*(5280/3600)</f>
        <v>90.053333333333327</v>
      </c>
      <c r="M334" s="5"/>
      <c r="N334" s="3"/>
      <c r="O334" s="5"/>
      <c r="P334" s="4"/>
    </row>
    <row r="335" spans="1:16" ht="15.6" x14ac:dyDescent="0.3">
      <c r="A335" t="s">
        <v>108</v>
      </c>
      <c r="B335">
        <v>13.12</v>
      </c>
      <c r="C335">
        <v>310</v>
      </c>
      <c r="D335" t="s">
        <v>45</v>
      </c>
      <c r="E335">
        <v>37</v>
      </c>
      <c r="F335">
        <v>10380</v>
      </c>
      <c r="G335">
        <v>39.409999999999997</v>
      </c>
      <c r="H335">
        <v>1458</v>
      </c>
      <c r="I335">
        <f t="shared" si="13"/>
        <v>4.1152263374485596</v>
      </c>
      <c r="J335">
        <f t="shared" si="12"/>
        <v>4.1147465659010951</v>
      </c>
      <c r="K335">
        <v>9.0418749999999992</v>
      </c>
      <c r="L335">
        <f>78.6*(5280/3600)</f>
        <v>115.27999999999999</v>
      </c>
      <c r="M335" s="5"/>
      <c r="N335" s="3"/>
      <c r="O335" s="5"/>
      <c r="P335" s="4"/>
    </row>
    <row r="336" spans="1:16" ht="15.6" x14ac:dyDescent="0.3">
      <c r="A336" t="s">
        <v>108</v>
      </c>
      <c r="B336">
        <v>13.12</v>
      </c>
      <c r="C336">
        <v>310</v>
      </c>
      <c r="D336" t="s">
        <v>47</v>
      </c>
      <c r="E336">
        <v>37</v>
      </c>
      <c r="F336">
        <v>10427</v>
      </c>
      <c r="G336">
        <v>36.58</v>
      </c>
      <c r="H336">
        <v>1353.5</v>
      </c>
      <c r="I336">
        <f t="shared" si="13"/>
        <v>4.4329516069449575</v>
      </c>
      <c r="J336">
        <f t="shared" si="12"/>
        <v>4.4330826178830556</v>
      </c>
      <c r="K336">
        <v>10.693125</v>
      </c>
      <c r="L336">
        <f>59.2*(5280/3600)</f>
        <v>86.826666666666668</v>
      </c>
      <c r="M336" s="5"/>
      <c r="N336" s="3"/>
      <c r="O336" s="5"/>
      <c r="P336" s="4"/>
    </row>
    <row r="337" spans="1:16" ht="15.6" x14ac:dyDescent="0.3">
      <c r="A337" t="s">
        <v>108</v>
      </c>
      <c r="B337">
        <v>13.12</v>
      </c>
      <c r="C337">
        <v>310</v>
      </c>
      <c r="D337" t="s">
        <v>54</v>
      </c>
      <c r="E337">
        <v>37</v>
      </c>
      <c r="F337">
        <v>10457</v>
      </c>
      <c r="G337">
        <v>36.92</v>
      </c>
      <c r="H337">
        <v>1366</v>
      </c>
      <c r="I337">
        <f t="shared" si="13"/>
        <v>4.3923865300146412</v>
      </c>
      <c r="J337">
        <f t="shared" si="12"/>
        <v>4.3922579133846735</v>
      </c>
      <c r="K337">
        <v>10.8225</v>
      </c>
      <c r="L337">
        <f>79.2*(5280/3600)</f>
        <v>116.16</v>
      </c>
      <c r="M337" s="5"/>
      <c r="N337" s="3"/>
      <c r="O337" s="5"/>
      <c r="P337" s="4"/>
    </row>
    <row r="338" spans="1:16" ht="15.6" x14ac:dyDescent="0.3">
      <c r="A338" t="s">
        <v>108</v>
      </c>
      <c r="B338">
        <v>13.12</v>
      </c>
      <c r="C338">
        <v>310</v>
      </c>
      <c r="D338" t="s">
        <v>25</v>
      </c>
      <c r="E338">
        <v>37</v>
      </c>
      <c r="F338">
        <v>10145</v>
      </c>
      <c r="G338">
        <v>40.15</v>
      </c>
      <c r="H338">
        <v>1485.7</v>
      </c>
      <c r="I338">
        <f t="shared" si="13"/>
        <v>4.0385003701958668</v>
      </c>
      <c r="J338">
        <f t="shared" si="12"/>
        <v>4.0389081484971898</v>
      </c>
      <c r="K338">
        <v>11.91625</v>
      </c>
      <c r="L338">
        <f>76.9*(5280/3600)</f>
        <v>112.78666666666666</v>
      </c>
      <c r="M338" s="5"/>
      <c r="N338" s="3"/>
      <c r="O338" s="5"/>
      <c r="P338" s="4"/>
    </row>
    <row r="339" spans="1:16" ht="15.6" x14ac:dyDescent="0.3">
      <c r="A339" t="s">
        <v>110</v>
      </c>
      <c r="B339">
        <v>13.33</v>
      </c>
      <c r="C339">
        <v>400</v>
      </c>
      <c r="D339" t="s">
        <v>42</v>
      </c>
      <c r="E339">
        <v>18.5</v>
      </c>
      <c r="F339">
        <v>6625</v>
      </c>
      <c r="G339">
        <v>40.22</v>
      </c>
      <c r="H339">
        <v>744</v>
      </c>
      <c r="I339">
        <f t="shared" si="13"/>
        <v>8.064516129032258</v>
      </c>
      <c r="J339">
        <f t="shared" si="12"/>
        <v>8.06375744217614</v>
      </c>
      <c r="K339">
        <v>5.2050000000000001</v>
      </c>
      <c r="L339">
        <f>75.3*(5280/3600)</f>
        <v>110.43999999999998</v>
      </c>
      <c r="M339" s="2"/>
      <c r="N339" s="3"/>
      <c r="O339" s="2"/>
      <c r="P339" s="4"/>
    </row>
    <row r="340" spans="1:16" ht="15.6" x14ac:dyDescent="0.3">
      <c r="A340" t="s">
        <v>110</v>
      </c>
      <c r="B340">
        <v>13.33</v>
      </c>
      <c r="C340">
        <v>400</v>
      </c>
      <c r="D340" t="s">
        <v>1</v>
      </c>
      <c r="E340">
        <v>18.5</v>
      </c>
      <c r="F340">
        <v>6634</v>
      </c>
      <c r="G340">
        <v>40.07</v>
      </c>
      <c r="H340">
        <v>741.3</v>
      </c>
      <c r="I340">
        <f t="shared" si="13"/>
        <v>8.0938891137191415</v>
      </c>
      <c r="J340">
        <f t="shared" si="12"/>
        <v>8.0939437066215216</v>
      </c>
      <c r="K340">
        <v>7.4293750000000003</v>
      </c>
      <c r="L340">
        <f>62.8*(5280/3600)</f>
        <v>92.106666666666655</v>
      </c>
      <c r="M340" s="2"/>
      <c r="N340" s="3"/>
      <c r="O340" s="2"/>
      <c r="P340" s="4"/>
    </row>
    <row r="341" spans="1:16" ht="15.6" x14ac:dyDescent="0.3">
      <c r="A341" t="s">
        <v>110</v>
      </c>
      <c r="B341">
        <v>13.33</v>
      </c>
      <c r="C341">
        <v>400</v>
      </c>
      <c r="D341" t="s">
        <v>2</v>
      </c>
      <c r="E341">
        <v>18.5</v>
      </c>
      <c r="F341">
        <v>6751</v>
      </c>
      <c r="G341">
        <v>34.93</v>
      </c>
      <c r="H341">
        <v>646.20000000000005</v>
      </c>
      <c r="I341">
        <f t="shared" si="13"/>
        <v>9.2850510677808717</v>
      </c>
      <c r="J341">
        <f t="shared" si="12"/>
        <v>9.2849792248589846</v>
      </c>
      <c r="K341">
        <v>8.0512499999999996</v>
      </c>
      <c r="L341">
        <f>44.8*(5280/3600)</f>
        <v>65.706666666666663</v>
      </c>
      <c r="M341" s="2"/>
      <c r="N341" s="3"/>
      <c r="O341" s="2"/>
      <c r="P341" s="4"/>
    </row>
    <row r="342" spans="1:16" ht="15.6" x14ac:dyDescent="0.3">
      <c r="A342" t="s">
        <v>110</v>
      </c>
      <c r="B342">
        <v>13.33</v>
      </c>
      <c r="C342">
        <v>400</v>
      </c>
      <c r="D342" t="s">
        <v>3</v>
      </c>
      <c r="E342">
        <v>18.5</v>
      </c>
      <c r="F342">
        <v>6568</v>
      </c>
      <c r="G342">
        <v>43.02</v>
      </c>
      <c r="H342">
        <v>795.8</v>
      </c>
      <c r="I342">
        <f t="shared" si="13"/>
        <v>7.5395828097511934</v>
      </c>
      <c r="J342">
        <f t="shared" si="12"/>
        <v>7.5389196728108852</v>
      </c>
      <c r="K342">
        <v>8.6512499999999992</v>
      </c>
      <c r="L342">
        <f>49.8*(5280/3600)</f>
        <v>73.039999999999992</v>
      </c>
      <c r="M342" s="2"/>
      <c r="N342" s="3"/>
      <c r="O342" s="2"/>
      <c r="P342" s="4"/>
    </row>
    <row r="343" spans="1:16" ht="15.6" x14ac:dyDescent="0.3">
      <c r="A343" t="s">
        <v>110</v>
      </c>
      <c r="B343">
        <v>13.33</v>
      </c>
      <c r="C343">
        <v>400</v>
      </c>
      <c r="D343" t="s">
        <v>4</v>
      </c>
      <c r="E343">
        <v>18.5</v>
      </c>
      <c r="F343">
        <v>6469</v>
      </c>
      <c r="G343">
        <v>47.8</v>
      </c>
      <c r="H343">
        <v>884.3</v>
      </c>
      <c r="I343">
        <f t="shared" si="13"/>
        <v>6.7850277055297985</v>
      </c>
      <c r="J343">
        <f t="shared" si="12"/>
        <v>6.7850277055297976</v>
      </c>
      <c r="K343">
        <v>8.8650000000000002</v>
      </c>
      <c r="L343">
        <f>61.3*(5280/3600)</f>
        <v>89.906666666666652</v>
      </c>
      <c r="M343" s="2"/>
      <c r="N343" s="3"/>
      <c r="O343" s="2"/>
      <c r="P343" s="4"/>
    </row>
    <row r="344" spans="1:16" ht="15.6" x14ac:dyDescent="0.3">
      <c r="A344" t="s">
        <v>110</v>
      </c>
      <c r="B344">
        <v>13.33</v>
      </c>
      <c r="C344">
        <v>400</v>
      </c>
      <c r="D344" t="s">
        <v>6</v>
      </c>
      <c r="E344">
        <v>18.5</v>
      </c>
      <c r="F344">
        <v>6663</v>
      </c>
      <c r="G344">
        <v>38.700000000000003</v>
      </c>
      <c r="H344">
        <v>716</v>
      </c>
      <c r="I344">
        <f t="shared" si="13"/>
        <v>8.3798882681564244</v>
      </c>
      <c r="J344">
        <f t="shared" si="12"/>
        <v>8.3804734967525665</v>
      </c>
      <c r="K344">
        <v>8.9993750000000006</v>
      </c>
      <c r="L344">
        <f>44.2*(5280/3600)</f>
        <v>64.826666666666668</v>
      </c>
      <c r="M344" s="2"/>
      <c r="N344" s="3"/>
      <c r="O344" s="2"/>
      <c r="P344" s="4"/>
    </row>
    <row r="345" spans="1:16" ht="15.6" x14ac:dyDescent="0.3">
      <c r="A345" t="s">
        <v>110</v>
      </c>
      <c r="B345">
        <v>13.33</v>
      </c>
      <c r="C345">
        <v>400</v>
      </c>
      <c r="D345" t="s">
        <v>7</v>
      </c>
      <c r="E345">
        <v>18.5</v>
      </c>
      <c r="F345">
        <v>6479</v>
      </c>
      <c r="G345">
        <v>47.52</v>
      </c>
      <c r="H345">
        <v>879.1</v>
      </c>
      <c r="I345">
        <f t="shared" si="13"/>
        <v>6.8251620975998177</v>
      </c>
      <c r="J345">
        <f t="shared" si="12"/>
        <v>6.8250068250068239</v>
      </c>
      <c r="K345">
        <v>9.7706250000000008</v>
      </c>
      <c r="L345">
        <f>49.1*(5280/3600)</f>
        <v>72.013333333333335</v>
      </c>
      <c r="M345" s="2"/>
      <c r="N345" s="3"/>
      <c r="O345" s="2"/>
      <c r="P345" s="4"/>
    </row>
    <row r="346" spans="1:16" ht="15.6" x14ac:dyDescent="0.3">
      <c r="A346" t="s">
        <v>110</v>
      </c>
      <c r="B346">
        <v>13.33</v>
      </c>
      <c r="C346">
        <v>400</v>
      </c>
      <c r="D346" t="s">
        <v>10</v>
      </c>
      <c r="E346">
        <v>18.5</v>
      </c>
      <c r="F346">
        <v>6384</v>
      </c>
      <c r="G346">
        <v>51.35</v>
      </c>
      <c r="H346">
        <v>949.9</v>
      </c>
      <c r="I346">
        <f t="shared" si="13"/>
        <v>6.3164543636172228</v>
      </c>
      <c r="J346">
        <f t="shared" si="12"/>
        <v>6.3159556830442902</v>
      </c>
      <c r="K346">
        <v>11.109375</v>
      </c>
      <c r="L346">
        <f>48.4*(5280/3600)</f>
        <v>70.986666666666665</v>
      </c>
      <c r="M346" s="2"/>
      <c r="N346" s="3"/>
      <c r="O346" s="2"/>
      <c r="P346" s="4"/>
    </row>
    <row r="347" spans="1:16" ht="15.6" x14ac:dyDescent="0.3">
      <c r="A347" t="s">
        <v>110</v>
      </c>
      <c r="B347">
        <v>13.33</v>
      </c>
      <c r="C347">
        <v>400</v>
      </c>
      <c r="D347" t="s">
        <v>17</v>
      </c>
      <c r="E347">
        <v>18.5</v>
      </c>
      <c r="F347">
        <v>6642</v>
      </c>
      <c r="G347">
        <v>39.96</v>
      </c>
      <c r="H347">
        <v>739.3</v>
      </c>
      <c r="I347">
        <f t="shared" si="13"/>
        <v>8.1157852022183157</v>
      </c>
      <c r="J347">
        <f t="shared" si="12"/>
        <v>8.116224332440547</v>
      </c>
      <c r="K347">
        <v>6.6725000000000003</v>
      </c>
      <c r="L347">
        <f>62.9*(5280/3600)</f>
        <v>92.25333333333333</v>
      </c>
      <c r="M347" s="2"/>
      <c r="N347" s="3"/>
      <c r="O347" s="2"/>
      <c r="P347" s="4"/>
    </row>
    <row r="348" spans="1:16" ht="15.6" x14ac:dyDescent="0.3">
      <c r="A348" t="s">
        <v>110</v>
      </c>
      <c r="B348">
        <v>13.33</v>
      </c>
      <c r="C348">
        <v>400</v>
      </c>
      <c r="D348" t="s">
        <v>19</v>
      </c>
      <c r="E348">
        <v>18.5</v>
      </c>
      <c r="F348">
        <v>6687</v>
      </c>
      <c r="G348">
        <v>39.97</v>
      </c>
      <c r="H348">
        <v>739.4</v>
      </c>
      <c r="I348">
        <f t="shared" si="13"/>
        <v>8.1146875845279958</v>
      </c>
      <c r="J348">
        <f t="shared" si="12"/>
        <v>8.1141937534231765</v>
      </c>
      <c r="K348">
        <v>8.1306250000000002</v>
      </c>
      <c r="L348">
        <f>50.7*(5280/3600)</f>
        <v>74.36</v>
      </c>
      <c r="M348" s="2"/>
      <c r="N348" s="3"/>
      <c r="O348" s="2"/>
      <c r="P348" s="4"/>
    </row>
    <row r="349" spans="1:16" ht="15.6" x14ac:dyDescent="0.3">
      <c r="A349" t="s">
        <v>110</v>
      </c>
      <c r="B349">
        <v>13.33</v>
      </c>
      <c r="C349">
        <v>400</v>
      </c>
      <c r="D349" t="s">
        <v>20</v>
      </c>
      <c r="E349">
        <v>18.5</v>
      </c>
      <c r="F349">
        <v>6579</v>
      </c>
      <c r="G349">
        <v>45.21</v>
      </c>
      <c r="H349">
        <v>836.5</v>
      </c>
      <c r="I349">
        <f t="shared" si="13"/>
        <v>7.1727435744172148</v>
      </c>
      <c r="J349">
        <f t="shared" si="12"/>
        <v>7.1737298014670277</v>
      </c>
      <c r="K349">
        <v>8.8256250000000005</v>
      </c>
      <c r="L349">
        <f>62.3*(5280/3600)</f>
        <v>91.373333333333321</v>
      </c>
      <c r="M349" s="2"/>
      <c r="N349" s="3"/>
      <c r="O349" s="2"/>
      <c r="P349" s="4"/>
    </row>
    <row r="350" spans="1:16" ht="15.6" x14ac:dyDescent="0.3">
      <c r="A350" t="s">
        <v>110</v>
      </c>
      <c r="B350">
        <v>13.33</v>
      </c>
      <c r="C350">
        <v>400</v>
      </c>
      <c r="D350" t="s">
        <v>21</v>
      </c>
      <c r="E350">
        <v>18.5</v>
      </c>
      <c r="F350">
        <v>6616</v>
      </c>
      <c r="G350">
        <v>39.92</v>
      </c>
      <c r="H350">
        <v>738.5</v>
      </c>
      <c r="I350">
        <f t="shared" si="13"/>
        <v>8.1245768449559908</v>
      </c>
      <c r="J350">
        <f t="shared" si="12"/>
        <v>8.1243568217516113</v>
      </c>
      <c r="K350">
        <v>8.4856250000000006</v>
      </c>
      <c r="L350">
        <f>37.6*(5280/3600)</f>
        <v>55.146666666666668</v>
      </c>
      <c r="M350" s="2"/>
      <c r="N350" s="3"/>
      <c r="O350" s="2"/>
      <c r="P350" s="4"/>
    </row>
    <row r="351" spans="1:16" ht="15.6" x14ac:dyDescent="0.3">
      <c r="A351" t="s">
        <v>110</v>
      </c>
      <c r="B351">
        <v>13.33</v>
      </c>
      <c r="C351">
        <v>400</v>
      </c>
      <c r="D351" t="s">
        <v>22</v>
      </c>
      <c r="E351">
        <v>18.5</v>
      </c>
      <c r="F351">
        <v>6563</v>
      </c>
      <c r="G351">
        <v>45.63</v>
      </c>
      <c r="H351">
        <v>844.2</v>
      </c>
      <c r="I351">
        <f t="shared" si="13"/>
        <v>7.1073205401563611</v>
      </c>
      <c r="J351">
        <f t="shared" si="12"/>
        <v>7.107699415391723</v>
      </c>
      <c r="K351">
        <v>9.59</v>
      </c>
      <c r="L351">
        <f>49.7*(5280/3600)</f>
        <v>72.893333333333331</v>
      </c>
      <c r="M351" s="2"/>
      <c r="N351" s="3"/>
      <c r="O351" s="2"/>
      <c r="P351" s="4"/>
    </row>
    <row r="352" spans="1:16" ht="15.6" x14ac:dyDescent="0.3">
      <c r="A352" t="s">
        <v>110</v>
      </c>
      <c r="B352">
        <v>13.33</v>
      </c>
      <c r="C352">
        <v>400</v>
      </c>
      <c r="D352" t="s">
        <v>24</v>
      </c>
      <c r="E352">
        <v>18.5</v>
      </c>
      <c r="F352">
        <v>6403</v>
      </c>
      <c r="G352">
        <v>51.81</v>
      </c>
      <c r="H352">
        <v>958.5</v>
      </c>
      <c r="I352">
        <f t="shared" si="13"/>
        <v>6.2597809076682314</v>
      </c>
      <c r="J352">
        <f t="shared" si="12"/>
        <v>6.2598788713438385</v>
      </c>
      <c r="K352">
        <v>10.71875</v>
      </c>
      <c r="L352">
        <f>48.5*(5280/3600)</f>
        <v>71.133333333333326</v>
      </c>
      <c r="M352" s="2"/>
      <c r="N352" s="3"/>
      <c r="O352" s="2"/>
      <c r="P352" s="4"/>
    </row>
    <row r="353" spans="1:16" ht="15.6" x14ac:dyDescent="0.3">
      <c r="A353" t="s">
        <v>110</v>
      </c>
      <c r="B353">
        <v>13.33</v>
      </c>
      <c r="C353">
        <v>400</v>
      </c>
      <c r="D353" t="s">
        <v>27</v>
      </c>
      <c r="E353">
        <v>18.5</v>
      </c>
      <c r="F353">
        <v>6729</v>
      </c>
      <c r="G353">
        <v>36.24</v>
      </c>
      <c r="H353">
        <v>670.4</v>
      </c>
      <c r="I353">
        <f t="shared" si="13"/>
        <v>8.949880668257757</v>
      </c>
      <c r="J353">
        <f t="shared" si="12"/>
        <v>8.9493466976910678</v>
      </c>
      <c r="K353">
        <v>7.5949999999999998</v>
      </c>
      <c r="L353">
        <f>57.3*(5280/3600)</f>
        <v>84.039999999999992</v>
      </c>
      <c r="M353" s="2"/>
      <c r="N353" s="3"/>
      <c r="O353" s="2"/>
      <c r="P353" s="4"/>
    </row>
    <row r="354" spans="1:16" ht="15.6" x14ac:dyDescent="0.3">
      <c r="A354" t="s">
        <v>110</v>
      </c>
      <c r="B354">
        <v>13.33</v>
      </c>
      <c r="C354">
        <v>400</v>
      </c>
      <c r="D354" t="s">
        <v>28</v>
      </c>
      <c r="E354">
        <v>18.5</v>
      </c>
      <c r="F354">
        <v>6682</v>
      </c>
      <c r="G354">
        <v>38.200000000000003</v>
      </c>
      <c r="H354">
        <v>706.7</v>
      </c>
      <c r="I354">
        <f t="shared" si="13"/>
        <v>8.4901655582283837</v>
      </c>
      <c r="J354">
        <f t="shared" si="12"/>
        <v>8.4901655582283837</v>
      </c>
      <c r="K354">
        <v>8.2100000000000009</v>
      </c>
      <c r="L354">
        <f>44.3*(5280/3600)</f>
        <v>64.973333333333329</v>
      </c>
      <c r="M354" s="2"/>
      <c r="N354" s="3"/>
      <c r="O354" s="2"/>
      <c r="P354" s="4"/>
    </row>
    <row r="355" spans="1:16" ht="15.6" x14ac:dyDescent="0.3">
      <c r="A355" t="s">
        <v>110</v>
      </c>
      <c r="B355">
        <v>13.33</v>
      </c>
      <c r="C355">
        <v>400</v>
      </c>
      <c r="D355" t="s">
        <v>29</v>
      </c>
      <c r="E355">
        <v>18.5</v>
      </c>
      <c r="F355">
        <v>6533</v>
      </c>
      <c r="G355">
        <v>44.77</v>
      </c>
      <c r="H355">
        <v>828.2</v>
      </c>
      <c r="I355">
        <f t="shared" si="13"/>
        <v>7.244626901714561</v>
      </c>
      <c r="J355">
        <f t="shared" si="12"/>
        <v>7.2442332884593323</v>
      </c>
      <c r="K355">
        <v>9.4162499999999998</v>
      </c>
      <c r="L355">
        <f>49.5*(5280/3600)</f>
        <v>72.599999999999994</v>
      </c>
      <c r="M355" s="2"/>
      <c r="N355" s="3"/>
      <c r="O355" s="2"/>
      <c r="P355" s="4"/>
    </row>
    <row r="356" spans="1:16" ht="15.6" x14ac:dyDescent="0.3">
      <c r="A356" t="s">
        <v>110</v>
      </c>
      <c r="B356">
        <v>13.33</v>
      </c>
      <c r="C356">
        <v>400</v>
      </c>
      <c r="D356" t="s">
        <v>37</v>
      </c>
      <c r="E356">
        <v>22.2</v>
      </c>
      <c r="F356">
        <v>8021</v>
      </c>
      <c r="G356">
        <v>40.11</v>
      </c>
      <c r="H356">
        <v>890.3</v>
      </c>
      <c r="I356">
        <f t="shared" si="13"/>
        <v>6.7393013590924413</v>
      </c>
      <c r="J356">
        <f t="shared" si="12"/>
        <v>6.7382266335145928</v>
      </c>
      <c r="K356">
        <v>6.1818749999999998</v>
      </c>
      <c r="L356">
        <f>76*(5280/3600)</f>
        <v>111.46666666666665</v>
      </c>
      <c r="M356" s="2"/>
      <c r="N356" s="3"/>
      <c r="O356" s="2"/>
      <c r="P356" s="4"/>
    </row>
    <row r="357" spans="1:16" ht="15.6" x14ac:dyDescent="0.3">
      <c r="A357" t="s">
        <v>110</v>
      </c>
      <c r="B357">
        <v>13.33</v>
      </c>
      <c r="C357">
        <v>400</v>
      </c>
      <c r="D357" t="s">
        <v>39</v>
      </c>
      <c r="E357">
        <v>22.2</v>
      </c>
      <c r="F357">
        <v>8155</v>
      </c>
      <c r="G357">
        <v>34.520000000000003</v>
      </c>
      <c r="H357">
        <v>766.2</v>
      </c>
      <c r="I357">
        <f t="shared" si="13"/>
        <v>7.83085356303837</v>
      </c>
      <c r="J357">
        <f t="shared" si="12"/>
        <v>7.8293821051642603</v>
      </c>
      <c r="K357">
        <v>7.69625</v>
      </c>
      <c r="L357">
        <f>54.1*(5280/3600)</f>
        <v>79.346666666666664</v>
      </c>
      <c r="M357" s="2"/>
      <c r="N357" s="3"/>
      <c r="O357" s="2"/>
      <c r="P357" s="4"/>
    </row>
    <row r="358" spans="1:16" ht="15.6" x14ac:dyDescent="0.3">
      <c r="A358" t="s">
        <v>110</v>
      </c>
      <c r="B358">
        <v>13.33</v>
      </c>
      <c r="C358">
        <v>400</v>
      </c>
      <c r="D358" t="s">
        <v>40</v>
      </c>
      <c r="E358">
        <v>22.2</v>
      </c>
      <c r="F358">
        <v>8110</v>
      </c>
      <c r="G358">
        <v>36.270000000000003</v>
      </c>
      <c r="H358">
        <v>805.1</v>
      </c>
      <c r="I358">
        <f t="shared" si="13"/>
        <v>7.4524903738666</v>
      </c>
      <c r="J358">
        <f t="shared" si="12"/>
        <v>7.4516203548461615</v>
      </c>
      <c r="K358">
        <v>7.8949999999999996</v>
      </c>
      <c r="L358">
        <f>65.3*(5280/3600)</f>
        <v>95.773333333333326</v>
      </c>
      <c r="M358" s="2"/>
      <c r="N358" s="3"/>
      <c r="O358" s="2"/>
      <c r="P358" s="4"/>
    </row>
    <row r="359" spans="1:16" ht="15.6" x14ac:dyDescent="0.3">
      <c r="A359" t="s">
        <v>110</v>
      </c>
      <c r="B359">
        <v>13.33</v>
      </c>
      <c r="C359">
        <v>400</v>
      </c>
      <c r="D359" t="s">
        <v>41</v>
      </c>
      <c r="E359">
        <v>22.2</v>
      </c>
      <c r="F359">
        <v>8095</v>
      </c>
      <c r="G359">
        <v>35.67</v>
      </c>
      <c r="H359">
        <v>791.8</v>
      </c>
      <c r="I359">
        <f t="shared" si="13"/>
        <v>7.577671129072999</v>
      </c>
      <c r="J359">
        <f t="shared" si="12"/>
        <v>7.5769630016896627</v>
      </c>
      <c r="K359">
        <v>7.8306250000000004</v>
      </c>
      <c r="L359">
        <f>76.7*(5280/3600)</f>
        <v>112.49333333333333</v>
      </c>
      <c r="M359" s="2"/>
      <c r="N359" s="3"/>
      <c r="O359" s="2"/>
      <c r="P359" s="4"/>
    </row>
    <row r="360" spans="1:16" ht="15.6" x14ac:dyDescent="0.3">
      <c r="A360" t="s">
        <v>110</v>
      </c>
      <c r="B360">
        <v>13.33</v>
      </c>
      <c r="C360">
        <v>400</v>
      </c>
      <c r="D360" t="s">
        <v>43</v>
      </c>
      <c r="E360">
        <v>22.2</v>
      </c>
      <c r="F360">
        <v>8112</v>
      </c>
      <c r="G360">
        <v>35.99</v>
      </c>
      <c r="H360">
        <v>798.9</v>
      </c>
      <c r="I360">
        <f t="shared" si="13"/>
        <v>7.5103266992114159</v>
      </c>
      <c r="J360">
        <f t="shared" si="12"/>
        <v>7.5095935057035357</v>
      </c>
      <c r="K360">
        <v>8.8781250000000007</v>
      </c>
      <c r="L360">
        <f>46.1*(5280/3600)</f>
        <v>67.61333333333333</v>
      </c>
      <c r="M360" s="2"/>
      <c r="N360" s="3"/>
      <c r="O360" s="2"/>
      <c r="P360" s="4"/>
    </row>
    <row r="361" spans="1:16" ht="15.6" x14ac:dyDescent="0.3">
      <c r="A361" t="s">
        <v>110</v>
      </c>
      <c r="B361">
        <v>13.33</v>
      </c>
      <c r="C361">
        <v>400</v>
      </c>
      <c r="D361" t="s">
        <v>44</v>
      </c>
      <c r="E361">
        <v>22.2</v>
      </c>
      <c r="F361">
        <v>8117</v>
      </c>
      <c r="G361">
        <v>35.72</v>
      </c>
      <c r="H361">
        <v>792.9</v>
      </c>
      <c r="I361">
        <f t="shared" si="13"/>
        <v>7.5671585319712449</v>
      </c>
      <c r="J361">
        <f t="shared" si="12"/>
        <v>7.5663569504554946</v>
      </c>
      <c r="K361">
        <v>8.8381249999999998</v>
      </c>
      <c r="L361">
        <f>53.8*(5280/3600)</f>
        <v>78.906666666666652</v>
      </c>
      <c r="M361" s="2"/>
      <c r="N361" s="3"/>
      <c r="O361" s="2"/>
      <c r="P361" s="4"/>
    </row>
    <row r="362" spans="1:16" ht="15.6" x14ac:dyDescent="0.3">
      <c r="A362" t="s">
        <v>110</v>
      </c>
      <c r="B362">
        <v>13.33</v>
      </c>
      <c r="C362">
        <v>400</v>
      </c>
      <c r="D362" t="s">
        <v>0</v>
      </c>
      <c r="E362">
        <v>22.2</v>
      </c>
      <c r="F362">
        <v>8040</v>
      </c>
      <c r="G362">
        <v>39.340000000000003</v>
      </c>
      <c r="H362">
        <v>873.4</v>
      </c>
      <c r="I362">
        <f t="shared" si="13"/>
        <v>6.8697046027020834</v>
      </c>
      <c r="J362">
        <f t="shared" si="12"/>
        <v>6.8701136316794678</v>
      </c>
      <c r="K362">
        <v>8.8118750000000006</v>
      </c>
      <c r="L362">
        <f>60.9*(5280/3600)</f>
        <v>89.32</v>
      </c>
      <c r="M362" s="2"/>
      <c r="N362" s="3"/>
      <c r="O362" s="2"/>
      <c r="P362" s="4"/>
    </row>
    <row r="363" spans="1:16" ht="15.6" x14ac:dyDescent="0.3">
      <c r="A363" t="s">
        <v>110</v>
      </c>
      <c r="B363">
        <v>13.33</v>
      </c>
      <c r="C363">
        <v>400</v>
      </c>
      <c r="D363" t="s">
        <v>2</v>
      </c>
      <c r="E363">
        <v>22.2</v>
      </c>
      <c r="F363">
        <v>7847</v>
      </c>
      <c r="G363">
        <v>49.42</v>
      </c>
      <c r="H363">
        <v>1097.0999999999999</v>
      </c>
      <c r="I363">
        <f t="shared" si="13"/>
        <v>5.4689636313918513</v>
      </c>
      <c r="J363">
        <f t="shared" si="12"/>
        <v>5.4688439957561776</v>
      </c>
      <c r="K363">
        <v>11.272500000000001</v>
      </c>
      <c r="L363">
        <f>52*(5280/3600)</f>
        <v>76.266666666666666</v>
      </c>
      <c r="M363" s="2"/>
      <c r="N363" s="3"/>
      <c r="O363" s="2"/>
      <c r="P363" s="4"/>
    </row>
    <row r="364" spans="1:16" ht="15.6" x14ac:dyDescent="0.3">
      <c r="A364" t="s">
        <v>110</v>
      </c>
      <c r="B364">
        <v>13.33</v>
      </c>
      <c r="C364">
        <v>400</v>
      </c>
      <c r="D364" t="s">
        <v>6</v>
      </c>
      <c r="E364">
        <v>22.2</v>
      </c>
      <c r="F364">
        <v>7790</v>
      </c>
      <c r="G364">
        <v>53.97</v>
      </c>
      <c r="H364">
        <v>1198.2</v>
      </c>
      <c r="I364">
        <f t="shared" si="13"/>
        <v>5.0075112669003499</v>
      </c>
      <c r="J364">
        <f t="shared" si="12"/>
        <v>5.0077871089544237</v>
      </c>
      <c r="K364">
        <v>12.546250000000001</v>
      </c>
      <c r="L364">
        <f>51.6*(5280/3600)</f>
        <v>75.679999999999993</v>
      </c>
      <c r="M364" s="2"/>
      <c r="N364" s="3"/>
      <c r="O364" s="2"/>
      <c r="P364" s="4"/>
    </row>
    <row r="365" spans="1:16" ht="15.6" x14ac:dyDescent="0.3">
      <c r="A365" t="s">
        <v>110</v>
      </c>
      <c r="B365">
        <v>13.33</v>
      </c>
      <c r="C365">
        <v>400</v>
      </c>
      <c r="D365" t="s">
        <v>46</v>
      </c>
      <c r="E365">
        <v>22.2</v>
      </c>
      <c r="F365">
        <v>8083</v>
      </c>
      <c r="G365">
        <v>38.65</v>
      </c>
      <c r="H365">
        <v>858</v>
      </c>
      <c r="I365">
        <f t="shared" si="13"/>
        <v>6.9930069930069925</v>
      </c>
      <c r="J365">
        <f t="shared" si="12"/>
        <v>6.9927624908219999</v>
      </c>
      <c r="K365">
        <v>5.8556249999999999</v>
      </c>
      <c r="L365">
        <f>76.5*(5280/3600)</f>
        <v>112.19999999999999</v>
      </c>
      <c r="M365" s="2"/>
      <c r="N365" s="3"/>
      <c r="O365" s="2"/>
      <c r="P365" s="4"/>
    </row>
    <row r="366" spans="1:16" ht="15.6" x14ac:dyDescent="0.3">
      <c r="A366" t="s">
        <v>110</v>
      </c>
      <c r="B366">
        <v>13.33</v>
      </c>
      <c r="C366">
        <v>400</v>
      </c>
      <c r="D366" t="s">
        <v>49</v>
      </c>
      <c r="E366">
        <v>22.2</v>
      </c>
      <c r="F366">
        <v>7765</v>
      </c>
      <c r="G366">
        <v>45.17</v>
      </c>
      <c r="H366">
        <v>1002.7</v>
      </c>
      <c r="I366">
        <f t="shared" si="13"/>
        <v>5.9838436222200055</v>
      </c>
      <c r="J366">
        <f t="shared" si="12"/>
        <v>5.9834020427334575</v>
      </c>
      <c r="K366">
        <v>7.8706250000000004</v>
      </c>
      <c r="L366">
        <f>73.5*(5280/3600)</f>
        <v>107.8</v>
      </c>
      <c r="M366" s="2"/>
      <c r="N366" s="3"/>
      <c r="O366" s="2"/>
      <c r="P366" s="4"/>
    </row>
    <row r="367" spans="1:16" ht="15.6" x14ac:dyDescent="0.3">
      <c r="A367" t="s">
        <v>110</v>
      </c>
      <c r="B367">
        <v>13.33</v>
      </c>
      <c r="C367">
        <v>400</v>
      </c>
      <c r="D367" t="s">
        <v>50</v>
      </c>
      <c r="E367">
        <v>22.2</v>
      </c>
      <c r="F367">
        <v>8112</v>
      </c>
      <c r="G367">
        <v>36.119999999999997</v>
      </c>
      <c r="H367">
        <v>801.9</v>
      </c>
      <c r="I367">
        <f t="shared" si="13"/>
        <v>7.4822297044519264</v>
      </c>
      <c r="J367">
        <f t="shared" si="12"/>
        <v>7.4825656221005064</v>
      </c>
      <c r="K367">
        <v>8.5250000000000004</v>
      </c>
      <c r="L367">
        <f>46.1*(5280/3600)</f>
        <v>67.61333333333333</v>
      </c>
      <c r="M367" s="2"/>
      <c r="N367" s="3"/>
      <c r="O367" s="2"/>
      <c r="P367" s="4"/>
    </row>
    <row r="368" spans="1:16" ht="15.6" x14ac:dyDescent="0.3">
      <c r="A368" t="s">
        <v>110</v>
      </c>
      <c r="B368">
        <v>13.33</v>
      </c>
      <c r="C368">
        <v>400</v>
      </c>
      <c r="D368" t="s">
        <v>51</v>
      </c>
      <c r="E368">
        <v>22.2</v>
      </c>
      <c r="F368">
        <v>8068</v>
      </c>
      <c r="G368">
        <v>37.119999999999997</v>
      </c>
      <c r="H368">
        <v>824</v>
      </c>
      <c r="I368">
        <f t="shared" si="13"/>
        <v>7.2815533980582527</v>
      </c>
      <c r="J368">
        <f t="shared" si="12"/>
        <v>7.2809878844361613</v>
      </c>
      <c r="K368">
        <v>8.8756249999999994</v>
      </c>
      <c r="L368">
        <f>53.5*(5280/3600)</f>
        <v>78.466666666666654</v>
      </c>
      <c r="M368" s="2"/>
      <c r="N368" s="3"/>
      <c r="O368" s="2"/>
      <c r="P368" s="4"/>
    </row>
    <row r="369" spans="1:16" ht="15.6" x14ac:dyDescent="0.3">
      <c r="A369" t="s">
        <v>110</v>
      </c>
      <c r="B369">
        <v>13.33</v>
      </c>
      <c r="C369">
        <v>400</v>
      </c>
      <c r="D369" t="s">
        <v>16</v>
      </c>
      <c r="E369">
        <v>22.2</v>
      </c>
      <c r="F369">
        <v>7973</v>
      </c>
      <c r="G369">
        <v>41.18</v>
      </c>
      <c r="H369">
        <v>914.3</v>
      </c>
      <c r="I369">
        <f t="shared" si="13"/>
        <v>6.5623974625396482</v>
      </c>
      <c r="J369">
        <f t="shared" si="12"/>
        <v>6.5631440085058355</v>
      </c>
      <c r="K369">
        <v>8.4937500000000004</v>
      </c>
      <c r="L369">
        <f>60.4*(5280/3600)</f>
        <v>88.586666666666659</v>
      </c>
      <c r="M369" s="2"/>
      <c r="N369" s="3"/>
      <c r="O369" s="2"/>
      <c r="P369" s="4"/>
    </row>
    <row r="370" spans="1:16" ht="15.6" x14ac:dyDescent="0.3">
      <c r="A370" t="s">
        <v>110</v>
      </c>
      <c r="B370">
        <v>13.33</v>
      </c>
      <c r="C370">
        <v>400</v>
      </c>
      <c r="D370" t="s">
        <v>52</v>
      </c>
      <c r="E370">
        <v>22.2</v>
      </c>
      <c r="F370">
        <v>8048</v>
      </c>
      <c r="G370">
        <v>43.46</v>
      </c>
      <c r="H370">
        <v>964.8</v>
      </c>
      <c r="I370">
        <f t="shared" si="13"/>
        <v>6.2189054726368163</v>
      </c>
      <c r="J370">
        <f t="shared" si="12"/>
        <v>6.2188281240283088</v>
      </c>
      <c r="K370">
        <v>10.264374999999999</v>
      </c>
      <c r="L370">
        <f>45.7*(5280/3600)</f>
        <v>67.026666666666671</v>
      </c>
      <c r="M370" s="2"/>
      <c r="N370" s="3"/>
      <c r="O370" s="2"/>
      <c r="P370" s="4"/>
    </row>
    <row r="371" spans="1:16" ht="15.6" x14ac:dyDescent="0.3">
      <c r="A371" t="s">
        <v>110</v>
      </c>
      <c r="B371">
        <v>13.33</v>
      </c>
      <c r="C371">
        <v>400</v>
      </c>
      <c r="D371" t="s">
        <v>18</v>
      </c>
      <c r="E371">
        <v>22.2</v>
      </c>
      <c r="F371">
        <v>7890</v>
      </c>
      <c r="G371">
        <v>47.95</v>
      </c>
      <c r="H371">
        <v>1064.5</v>
      </c>
      <c r="I371">
        <f t="shared" si="13"/>
        <v>5.6364490371066225</v>
      </c>
      <c r="J371">
        <f t="shared" si="12"/>
        <v>5.6365019868669508</v>
      </c>
      <c r="K371">
        <v>10.583125000000001</v>
      </c>
      <c r="L371">
        <f>52.3*(5280/3600)</f>
        <v>76.706666666666663</v>
      </c>
      <c r="M371" s="2"/>
      <c r="N371" s="3"/>
      <c r="O371" s="2"/>
      <c r="P371" s="4"/>
    </row>
    <row r="372" spans="1:16" ht="15.6" x14ac:dyDescent="0.3">
      <c r="A372" t="s">
        <v>110</v>
      </c>
      <c r="B372">
        <v>13.33</v>
      </c>
      <c r="C372">
        <v>400</v>
      </c>
      <c r="D372" t="s">
        <v>26</v>
      </c>
      <c r="E372">
        <v>22.2</v>
      </c>
      <c r="F372">
        <v>8023</v>
      </c>
      <c r="G372">
        <v>40.19</v>
      </c>
      <c r="H372">
        <v>892.2</v>
      </c>
      <c r="I372">
        <f t="shared" si="13"/>
        <v>6.7249495628782778</v>
      </c>
      <c r="J372">
        <f t="shared" si="12"/>
        <v>6.7248138907755735</v>
      </c>
      <c r="K372">
        <v>9.1956249999999997</v>
      </c>
      <c r="L372">
        <f>53.2*(5280/3600)</f>
        <v>78.026666666666671</v>
      </c>
      <c r="M372" s="5"/>
      <c r="N372" s="3"/>
      <c r="O372" s="5"/>
      <c r="P372" s="4"/>
    </row>
    <row r="373" spans="1:16" ht="15.6" x14ac:dyDescent="0.3">
      <c r="A373" t="s">
        <v>110</v>
      </c>
      <c r="B373">
        <v>13.33</v>
      </c>
      <c r="C373">
        <v>400</v>
      </c>
      <c r="D373" t="s">
        <v>27</v>
      </c>
      <c r="E373">
        <v>22.2</v>
      </c>
      <c r="F373">
        <v>7860</v>
      </c>
      <c r="G373">
        <v>49.34</v>
      </c>
      <c r="H373">
        <v>1095.3</v>
      </c>
      <c r="I373">
        <f t="shared" si="13"/>
        <v>5.4779512462339088</v>
      </c>
      <c r="J373">
        <f t="shared" si="12"/>
        <v>5.4777111931550522</v>
      </c>
      <c r="K373">
        <v>10.500624999999999</v>
      </c>
      <c r="L373">
        <f>67*(5280/3600)</f>
        <v>98.266666666666666</v>
      </c>
      <c r="M373" s="5"/>
      <c r="N373" s="3"/>
      <c r="O373" s="5"/>
      <c r="P373" s="4"/>
    </row>
    <row r="374" spans="1:16" ht="15.6" x14ac:dyDescent="0.3">
      <c r="A374" t="s">
        <v>110</v>
      </c>
      <c r="B374">
        <v>13.33</v>
      </c>
      <c r="C374">
        <v>400</v>
      </c>
      <c r="D374" t="s">
        <v>28</v>
      </c>
      <c r="E374">
        <v>22.2</v>
      </c>
      <c r="F374">
        <v>7794</v>
      </c>
      <c r="G374">
        <v>51.81</v>
      </c>
      <c r="H374">
        <v>1150.2</v>
      </c>
      <c r="I374">
        <f t="shared" si="13"/>
        <v>5.2164840897235258</v>
      </c>
      <c r="J374">
        <f t="shared" si="12"/>
        <v>5.2165657261198657</v>
      </c>
      <c r="K374">
        <v>11.305</v>
      </c>
      <c r="L374">
        <f>51.7*(5280/3600)</f>
        <v>75.826666666666668</v>
      </c>
      <c r="M374" s="5"/>
      <c r="N374" s="3"/>
      <c r="O374" s="5"/>
      <c r="P374" s="4"/>
    </row>
    <row r="375" spans="1:16" ht="15.6" x14ac:dyDescent="0.3">
      <c r="A375" t="s">
        <v>110</v>
      </c>
      <c r="B375">
        <v>13.33</v>
      </c>
      <c r="C375">
        <v>400</v>
      </c>
      <c r="D375" t="s">
        <v>32</v>
      </c>
      <c r="E375">
        <v>29.6</v>
      </c>
      <c r="F375">
        <v>10840</v>
      </c>
      <c r="G375">
        <v>41.27</v>
      </c>
      <c r="H375">
        <v>1221.5999999999999</v>
      </c>
      <c r="I375">
        <f t="shared" si="13"/>
        <v>4.9115913555992137</v>
      </c>
      <c r="J375">
        <f t="shared" si="12"/>
        <v>4.9116235207827161</v>
      </c>
      <c r="K375">
        <v>7.76</v>
      </c>
      <c r="L375">
        <f>82.1*(5280/3600)</f>
        <v>120.41333333333331</v>
      </c>
      <c r="M375" s="5"/>
      <c r="N375" s="3"/>
      <c r="O375" s="5"/>
      <c r="P375" s="4"/>
    </row>
    <row r="376" spans="1:16" ht="15.6" x14ac:dyDescent="0.3">
      <c r="A376" t="s">
        <v>110</v>
      </c>
      <c r="B376">
        <v>13.33</v>
      </c>
      <c r="C376">
        <v>400</v>
      </c>
      <c r="D376" t="s">
        <v>33</v>
      </c>
      <c r="E376">
        <v>29.6</v>
      </c>
      <c r="F376">
        <v>10562</v>
      </c>
      <c r="G376">
        <v>51.96</v>
      </c>
      <c r="H376">
        <v>1538</v>
      </c>
      <c r="I376">
        <f t="shared" si="13"/>
        <v>3.9011703511053319</v>
      </c>
      <c r="J376">
        <f t="shared" si="12"/>
        <v>3.9011297671805751</v>
      </c>
      <c r="K376">
        <v>8.1837499999999999</v>
      </c>
      <c r="L376">
        <f>100*(5280/3600)</f>
        <v>146.66666666666666</v>
      </c>
      <c r="M376" s="5"/>
      <c r="N376" s="3"/>
      <c r="O376" s="5"/>
      <c r="P376" s="4"/>
    </row>
    <row r="377" spans="1:16" ht="15.6" x14ac:dyDescent="0.3">
      <c r="A377" t="s">
        <v>110</v>
      </c>
      <c r="B377">
        <v>13.33</v>
      </c>
      <c r="C377">
        <v>400</v>
      </c>
      <c r="D377" t="s">
        <v>59</v>
      </c>
      <c r="E377">
        <v>29.6</v>
      </c>
      <c r="F377">
        <v>11016</v>
      </c>
      <c r="G377">
        <v>34.56</v>
      </c>
      <c r="H377">
        <v>1022.9</v>
      </c>
      <c r="I377">
        <f t="shared" si="13"/>
        <v>5.8656760191612083</v>
      </c>
      <c r="J377">
        <f t="shared" si="12"/>
        <v>5.8652402402402393</v>
      </c>
      <c r="K377">
        <v>9.3981250000000003</v>
      </c>
      <c r="L377">
        <f>57.4*(5280/3600)</f>
        <v>84.186666666666653</v>
      </c>
      <c r="M377" s="5"/>
      <c r="N377" s="3"/>
      <c r="O377" s="5"/>
      <c r="P377" s="4"/>
    </row>
    <row r="378" spans="1:16" ht="15.6" x14ac:dyDescent="0.3">
      <c r="A378" t="s">
        <v>110</v>
      </c>
      <c r="B378">
        <v>13.33</v>
      </c>
      <c r="C378">
        <v>400</v>
      </c>
      <c r="D378" t="s">
        <v>35</v>
      </c>
      <c r="E378">
        <v>29.6</v>
      </c>
      <c r="F378">
        <v>10605</v>
      </c>
      <c r="G378">
        <v>50.61</v>
      </c>
      <c r="H378">
        <v>1498</v>
      </c>
      <c r="I378">
        <f t="shared" si="13"/>
        <v>4.0053404539385848</v>
      </c>
      <c r="J378">
        <f t="shared" si="12"/>
        <v>4.0051907271824279</v>
      </c>
      <c r="K378">
        <v>9.8743750000000006</v>
      </c>
      <c r="L378">
        <f>65.3*(5280/3600)</f>
        <v>95.773333333333326</v>
      </c>
      <c r="M378" s="5"/>
      <c r="N378" s="3"/>
      <c r="O378" s="5"/>
      <c r="P378" s="4"/>
    </row>
    <row r="379" spans="1:16" ht="15.6" x14ac:dyDescent="0.3">
      <c r="A379" t="s">
        <v>110</v>
      </c>
      <c r="B379">
        <v>13.33</v>
      </c>
      <c r="C379">
        <v>400</v>
      </c>
      <c r="D379" t="s">
        <v>36</v>
      </c>
      <c r="E379">
        <v>29.6</v>
      </c>
      <c r="F379">
        <v>10538</v>
      </c>
      <c r="G379">
        <v>53.24</v>
      </c>
      <c r="H379">
        <v>1576</v>
      </c>
      <c r="I379">
        <f t="shared" si="13"/>
        <v>3.8071065989847712</v>
      </c>
      <c r="J379">
        <f t="shared" si="12"/>
        <v>3.8073385180823194</v>
      </c>
      <c r="K379">
        <v>10.654999999999999</v>
      </c>
      <c r="L379">
        <f>79.8*(5280/3600)</f>
        <v>117.03999999999999</v>
      </c>
      <c r="M379" s="5"/>
      <c r="N379" s="3"/>
      <c r="O379" s="5"/>
      <c r="P379" s="4"/>
    </row>
    <row r="380" spans="1:16" ht="15.6" x14ac:dyDescent="0.3">
      <c r="A380" t="s">
        <v>110</v>
      </c>
      <c r="B380">
        <v>13.33</v>
      </c>
      <c r="C380">
        <v>400</v>
      </c>
      <c r="D380" t="s">
        <v>38</v>
      </c>
      <c r="E380">
        <v>29.6</v>
      </c>
      <c r="F380">
        <v>10789</v>
      </c>
      <c r="G380">
        <v>43.23</v>
      </c>
      <c r="H380">
        <v>1279.5999999999999</v>
      </c>
      <c r="I380">
        <f t="shared" si="13"/>
        <v>4.6889653016567676</v>
      </c>
      <c r="J380">
        <f t="shared" si="12"/>
        <v>4.6889359866459097</v>
      </c>
      <c r="K380">
        <v>11.483750000000001</v>
      </c>
      <c r="L380">
        <f>61.3*(5280/3600)</f>
        <v>89.906666666666652</v>
      </c>
      <c r="M380" s="5"/>
      <c r="N380" s="3"/>
      <c r="O380" s="5"/>
      <c r="P380" s="4"/>
    </row>
    <row r="381" spans="1:16" ht="15.6" x14ac:dyDescent="0.3">
      <c r="A381" t="s">
        <v>110</v>
      </c>
      <c r="B381">
        <v>13.33</v>
      </c>
      <c r="C381">
        <v>400</v>
      </c>
      <c r="D381" t="s">
        <v>60</v>
      </c>
      <c r="E381">
        <v>29.6</v>
      </c>
      <c r="F381">
        <v>10653</v>
      </c>
      <c r="G381">
        <v>49.03</v>
      </c>
      <c r="H381">
        <v>1451.2</v>
      </c>
      <c r="I381">
        <f t="shared" si="13"/>
        <v>4.1345093715545751</v>
      </c>
      <c r="J381">
        <f t="shared" si="12"/>
        <v>4.1342586722966077</v>
      </c>
      <c r="K381">
        <v>13.05125</v>
      </c>
      <c r="L381">
        <f>40.4*(5280/3600)</f>
        <v>59.25333333333333</v>
      </c>
      <c r="M381" s="5"/>
      <c r="N381" s="3"/>
      <c r="O381" s="5"/>
      <c r="P381" s="4"/>
    </row>
    <row r="382" spans="1:16" ht="15.6" x14ac:dyDescent="0.3">
      <c r="A382" t="s">
        <v>110</v>
      </c>
      <c r="B382">
        <v>13.33</v>
      </c>
      <c r="C382">
        <v>400</v>
      </c>
      <c r="D382" t="s">
        <v>62</v>
      </c>
      <c r="E382">
        <v>29.6</v>
      </c>
      <c r="F382">
        <v>11299</v>
      </c>
      <c r="G382">
        <v>28.04</v>
      </c>
      <c r="H382">
        <v>830</v>
      </c>
      <c r="I382">
        <f t="shared" si="13"/>
        <v>7.2289156626506026</v>
      </c>
      <c r="J382">
        <f t="shared" si="12"/>
        <v>7.2290550179280562</v>
      </c>
      <c r="K382">
        <v>6.9862500000000001</v>
      </c>
      <c r="L382">
        <f>64.2*(5280/3600)</f>
        <v>94.16</v>
      </c>
      <c r="M382" s="5"/>
      <c r="N382" s="3"/>
      <c r="O382" s="5"/>
      <c r="P382" s="4"/>
    </row>
    <row r="383" spans="1:16" ht="15.6" x14ac:dyDescent="0.3">
      <c r="A383" t="s">
        <v>110</v>
      </c>
      <c r="B383">
        <v>13.33</v>
      </c>
      <c r="C383">
        <v>400</v>
      </c>
      <c r="D383" t="s">
        <v>63</v>
      </c>
      <c r="E383">
        <v>29.6</v>
      </c>
      <c r="F383">
        <v>11020</v>
      </c>
      <c r="G383">
        <v>34.04</v>
      </c>
      <c r="H383">
        <v>1007.7</v>
      </c>
      <c r="I383">
        <f t="shared" si="13"/>
        <v>5.9541530217326581</v>
      </c>
      <c r="J383">
        <f t="shared" si="12"/>
        <v>5.9548385047797501</v>
      </c>
      <c r="K383">
        <v>7.53</v>
      </c>
      <c r="L383">
        <f>73*(5280/3600)</f>
        <v>107.06666666666666</v>
      </c>
      <c r="M383" s="5"/>
      <c r="N383" s="3"/>
      <c r="O383" s="5"/>
      <c r="P383" s="4"/>
    </row>
    <row r="384" spans="1:16" ht="15.6" x14ac:dyDescent="0.3">
      <c r="A384" t="s">
        <v>110</v>
      </c>
      <c r="B384">
        <v>13.33</v>
      </c>
      <c r="C384">
        <v>400</v>
      </c>
      <c r="D384" t="s">
        <v>64</v>
      </c>
      <c r="E384">
        <v>29.6</v>
      </c>
      <c r="F384">
        <v>10829</v>
      </c>
      <c r="G384">
        <v>41.63</v>
      </c>
      <c r="H384">
        <v>1232.3</v>
      </c>
      <c r="I384">
        <f t="shared" si="13"/>
        <v>4.8689442505883314</v>
      </c>
      <c r="J384">
        <f t="shared" si="12"/>
        <v>4.8691497166154862</v>
      </c>
      <c r="K384">
        <v>6.9087500000000004</v>
      </c>
      <c r="L384">
        <f>82*(5280/3600)</f>
        <v>120.26666666666665</v>
      </c>
      <c r="M384" s="5"/>
      <c r="N384" s="3"/>
      <c r="O384" s="5"/>
      <c r="P384" s="4"/>
    </row>
    <row r="385" spans="1:16" ht="15.6" x14ac:dyDescent="0.3">
      <c r="A385" t="s">
        <v>110</v>
      </c>
      <c r="B385">
        <v>13.33</v>
      </c>
      <c r="C385">
        <v>400</v>
      </c>
      <c r="D385" t="s">
        <v>65</v>
      </c>
      <c r="E385">
        <v>29.6</v>
      </c>
      <c r="F385">
        <v>11031</v>
      </c>
      <c r="G385">
        <v>34.6</v>
      </c>
      <c r="H385">
        <v>1024.3</v>
      </c>
      <c r="I385">
        <f t="shared" si="13"/>
        <v>5.8576588889973644</v>
      </c>
      <c r="J385">
        <f t="shared" si="12"/>
        <v>5.8584596156850486</v>
      </c>
      <c r="K385">
        <v>8.9425000000000008</v>
      </c>
      <c r="L385">
        <f>62.7*(5280/3600)</f>
        <v>91.96</v>
      </c>
      <c r="M385" s="5"/>
      <c r="N385" s="3"/>
      <c r="O385" s="5"/>
      <c r="P385" s="4"/>
    </row>
    <row r="386" spans="1:16" ht="15.6" x14ac:dyDescent="0.3">
      <c r="A386" t="s">
        <v>110</v>
      </c>
      <c r="B386">
        <v>13.33</v>
      </c>
      <c r="C386">
        <v>400</v>
      </c>
      <c r="D386" t="s">
        <v>45</v>
      </c>
      <c r="E386">
        <v>29.6</v>
      </c>
      <c r="F386">
        <v>10576</v>
      </c>
      <c r="G386">
        <v>51.95</v>
      </c>
      <c r="H386">
        <v>1537.8</v>
      </c>
      <c r="I386">
        <f t="shared" si="13"/>
        <v>3.901677721420211</v>
      </c>
      <c r="J386">
        <f t="shared" si="12"/>
        <v>3.901880706500533</v>
      </c>
      <c r="K386">
        <v>9.4056250000000006</v>
      </c>
      <c r="L386">
        <f>80.1*(5280/3600)</f>
        <v>117.47999999999999</v>
      </c>
      <c r="M386" s="5"/>
      <c r="N386" s="3"/>
      <c r="O386" s="5"/>
      <c r="P386" s="4"/>
    </row>
    <row r="387" spans="1:16" ht="15.6" x14ac:dyDescent="0.3">
      <c r="A387" t="s">
        <v>110</v>
      </c>
      <c r="B387">
        <v>13.33</v>
      </c>
      <c r="C387">
        <v>400</v>
      </c>
      <c r="D387" t="s">
        <v>47</v>
      </c>
      <c r="E387">
        <v>29.6</v>
      </c>
      <c r="F387">
        <v>10623</v>
      </c>
      <c r="G387">
        <v>48.12</v>
      </c>
      <c r="H387">
        <v>1424.4</v>
      </c>
      <c r="I387">
        <f t="shared" si="13"/>
        <v>4.2122999157540013</v>
      </c>
      <c r="J387">
        <f t="shared" ref="J387:J450" si="14">( ($N$1/E387)/G387)*60</f>
        <v>4.2124418683022169</v>
      </c>
      <c r="K387">
        <v>11.118124999999999</v>
      </c>
      <c r="L387">
        <f>60.4*(5280/3600)</f>
        <v>88.586666666666659</v>
      </c>
      <c r="M387" s="5"/>
      <c r="N387" s="3"/>
      <c r="O387" s="5"/>
      <c r="P387" s="4"/>
    </row>
    <row r="388" spans="1:16" ht="15.6" x14ac:dyDescent="0.3">
      <c r="A388" t="s">
        <v>110</v>
      </c>
      <c r="B388">
        <v>13.33</v>
      </c>
      <c r="C388">
        <v>400</v>
      </c>
      <c r="D388" t="s">
        <v>53</v>
      </c>
      <c r="E388">
        <v>29.6</v>
      </c>
      <c r="F388">
        <v>11038</v>
      </c>
      <c r="G388">
        <v>34.11</v>
      </c>
      <c r="H388">
        <v>1009.6</v>
      </c>
      <c r="I388">
        <f t="shared" ref="I388:I451" si="15" xml:space="preserve"> ($N$1/H388)*60</f>
        <v>5.9429477020602217</v>
      </c>
      <c r="J388">
        <f t="shared" si="14"/>
        <v>5.942618079821246</v>
      </c>
      <c r="K388">
        <v>8.8093749999999993</v>
      </c>
      <c r="L388">
        <f>62.7*(5280/3600)</f>
        <v>91.96</v>
      </c>
      <c r="M388" s="5"/>
      <c r="N388" s="3"/>
      <c r="O388" s="5"/>
      <c r="P388" s="4"/>
    </row>
    <row r="389" spans="1:16" ht="15.6" x14ac:dyDescent="0.3">
      <c r="A389" t="s">
        <v>110</v>
      </c>
      <c r="B389">
        <v>13.33</v>
      </c>
      <c r="C389">
        <v>400</v>
      </c>
      <c r="D389" t="s">
        <v>54</v>
      </c>
      <c r="E389">
        <v>29.6</v>
      </c>
      <c r="F389">
        <v>10622</v>
      </c>
      <c r="G389">
        <v>49.5</v>
      </c>
      <c r="H389">
        <v>1465.1</v>
      </c>
      <c r="I389">
        <f t="shared" si="15"/>
        <v>4.0952835983891882</v>
      </c>
      <c r="J389">
        <f t="shared" si="14"/>
        <v>4.0950040950040947</v>
      </c>
      <c r="K389">
        <v>11.426875000000001</v>
      </c>
      <c r="L389">
        <f>80.5*(5280/3600)</f>
        <v>118.06666666666666</v>
      </c>
      <c r="M389" s="5"/>
      <c r="N389" s="3"/>
      <c r="O389" s="5"/>
      <c r="P389" s="4"/>
    </row>
    <row r="390" spans="1:16" ht="15.6" x14ac:dyDescent="0.3">
      <c r="A390" t="s">
        <v>111</v>
      </c>
      <c r="B390">
        <v>13.47</v>
      </c>
      <c r="C390">
        <v>460</v>
      </c>
      <c r="D390" t="s">
        <v>42</v>
      </c>
      <c r="E390">
        <v>14.8</v>
      </c>
      <c r="F390">
        <v>6205</v>
      </c>
      <c r="G390">
        <v>40.32</v>
      </c>
      <c r="H390">
        <v>596.79999999999995</v>
      </c>
      <c r="I390">
        <f t="shared" si="15"/>
        <v>10.053619302949063</v>
      </c>
      <c r="J390">
        <f t="shared" si="14"/>
        <v>10.054697554697555</v>
      </c>
      <c r="K390">
        <v>4.50875</v>
      </c>
      <c r="L390">
        <f>70.5*(5280/3600)</f>
        <v>103.39999999999999</v>
      </c>
      <c r="M390" s="2"/>
      <c r="N390" s="3"/>
      <c r="O390" s="2"/>
      <c r="P390" s="4"/>
    </row>
    <row r="391" spans="1:16" ht="15.6" x14ac:dyDescent="0.3">
      <c r="A391" t="s">
        <v>111</v>
      </c>
      <c r="B391">
        <v>13.47</v>
      </c>
      <c r="C391">
        <v>460</v>
      </c>
      <c r="D391" t="s">
        <v>1</v>
      </c>
      <c r="E391">
        <v>14.8</v>
      </c>
      <c r="F391">
        <v>6200</v>
      </c>
      <c r="G391">
        <v>39.590000000000003</v>
      </c>
      <c r="H391">
        <v>585.9</v>
      </c>
      <c r="I391">
        <f t="shared" si="15"/>
        <v>10.240655401945725</v>
      </c>
      <c r="J391">
        <f t="shared" si="14"/>
        <v>10.240096120368914</v>
      </c>
      <c r="K391">
        <v>6.3406250000000002</v>
      </c>
      <c r="L391">
        <f>58.7*(5280/3600)</f>
        <v>86.093333333333334</v>
      </c>
      <c r="M391" s="2"/>
      <c r="N391" s="3"/>
      <c r="O391" s="2"/>
      <c r="P391" s="4"/>
    </row>
    <row r="392" spans="1:16" ht="15.6" x14ac:dyDescent="0.3">
      <c r="A392" t="s">
        <v>111</v>
      </c>
      <c r="B392">
        <v>13.47</v>
      </c>
      <c r="C392">
        <v>460</v>
      </c>
      <c r="D392" t="s">
        <v>3</v>
      </c>
      <c r="E392">
        <v>14.8</v>
      </c>
      <c r="F392">
        <v>6156</v>
      </c>
      <c r="G392">
        <v>42.49</v>
      </c>
      <c r="H392">
        <v>628.79999999999995</v>
      </c>
      <c r="I392">
        <f t="shared" si="15"/>
        <v>9.5419847328244281</v>
      </c>
      <c r="J392">
        <f t="shared" si="14"/>
        <v>9.5411957026454548</v>
      </c>
      <c r="K392">
        <v>7.4187500000000002</v>
      </c>
      <c r="L392">
        <f>46.6*(5280/3600)</f>
        <v>68.346666666666664</v>
      </c>
      <c r="M392" s="2"/>
      <c r="N392" s="3"/>
      <c r="O392" s="2"/>
      <c r="P392" s="4"/>
    </row>
    <row r="393" spans="1:16" ht="15.6" x14ac:dyDescent="0.3">
      <c r="A393" t="s">
        <v>111</v>
      </c>
      <c r="B393">
        <v>13.47</v>
      </c>
      <c r="C393">
        <v>460</v>
      </c>
      <c r="D393" t="s">
        <v>4</v>
      </c>
      <c r="E393">
        <v>14.8</v>
      </c>
      <c r="F393">
        <v>6061</v>
      </c>
      <c r="G393">
        <v>47.89</v>
      </c>
      <c r="H393">
        <v>708.7</v>
      </c>
      <c r="I393">
        <f t="shared" si="15"/>
        <v>8.4662057287992099</v>
      </c>
      <c r="J393">
        <f t="shared" si="14"/>
        <v>8.4653456965004263</v>
      </c>
      <c r="K393">
        <v>7.6150000000000002</v>
      </c>
      <c r="L393">
        <f>57.4*(5280/3600)</f>
        <v>84.186666666666653</v>
      </c>
      <c r="M393" s="2"/>
      <c r="N393" s="3"/>
      <c r="O393" s="2"/>
      <c r="P393" s="4"/>
    </row>
    <row r="394" spans="1:16" ht="15.6" x14ac:dyDescent="0.3">
      <c r="A394" t="s">
        <v>111</v>
      </c>
      <c r="B394">
        <v>13.47</v>
      </c>
      <c r="C394">
        <v>460</v>
      </c>
      <c r="D394" t="s">
        <v>5</v>
      </c>
      <c r="E394">
        <v>14.8</v>
      </c>
      <c r="F394">
        <v>5832</v>
      </c>
      <c r="G394">
        <v>60.01</v>
      </c>
      <c r="H394">
        <v>888.2</v>
      </c>
      <c r="I394">
        <f t="shared" si="15"/>
        <v>6.7552353073632068</v>
      </c>
      <c r="J394">
        <f t="shared" si="14"/>
        <v>6.7556308182870417</v>
      </c>
      <c r="K394">
        <v>6.756875</v>
      </c>
      <c r="L394">
        <f>66.3*(5280/3600)</f>
        <v>97.24</v>
      </c>
      <c r="M394" s="2"/>
      <c r="N394" s="3"/>
      <c r="O394" s="2"/>
      <c r="P394" s="4"/>
    </row>
    <row r="395" spans="1:16" ht="15.6" x14ac:dyDescent="0.3">
      <c r="A395" t="s">
        <v>111</v>
      </c>
      <c r="B395">
        <v>13.47</v>
      </c>
      <c r="C395">
        <v>460</v>
      </c>
      <c r="D395" t="s">
        <v>6</v>
      </c>
      <c r="E395">
        <v>14.8</v>
      </c>
      <c r="F395">
        <v>6234</v>
      </c>
      <c r="G395">
        <v>39.14</v>
      </c>
      <c r="H395">
        <v>579.20000000000005</v>
      </c>
      <c r="I395">
        <f t="shared" si="15"/>
        <v>10.359116022099446</v>
      </c>
      <c r="J395">
        <f t="shared" si="14"/>
        <v>10.357828446740045</v>
      </c>
      <c r="K395">
        <v>7.6387499999999999</v>
      </c>
      <c r="L395">
        <f>41.3*(5280/3600)</f>
        <v>60.573333333333323</v>
      </c>
      <c r="M395" s="2"/>
      <c r="N395" s="3"/>
      <c r="O395" s="2"/>
      <c r="P395" s="4"/>
    </row>
    <row r="396" spans="1:16" ht="15.6" x14ac:dyDescent="0.3">
      <c r="A396" t="s">
        <v>111</v>
      </c>
      <c r="B396">
        <v>13.47</v>
      </c>
      <c r="C396">
        <v>460</v>
      </c>
      <c r="D396" t="s">
        <v>7</v>
      </c>
      <c r="E396">
        <v>14.8</v>
      </c>
      <c r="F396">
        <v>6066</v>
      </c>
      <c r="G396">
        <v>47.49</v>
      </c>
      <c r="H396">
        <v>702.9</v>
      </c>
      <c r="I396">
        <f t="shared" si="15"/>
        <v>8.5360648740930429</v>
      </c>
      <c r="J396">
        <f t="shared" si="14"/>
        <v>8.5366478291304553</v>
      </c>
      <c r="K396">
        <v>8.3931249999999995</v>
      </c>
      <c r="L396">
        <f>46*(5280/3600)</f>
        <v>67.466666666666669</v>
      </c>
      <c r="M396" s="2"/>
      <c r="N396" s="3"/>
      <c r="O396" s="2"/>
      <c r="P396" s="4"/>
    </row>
    <row r="397" spans="1:16" ht="15.6" x14ac:dyDescent="0.3">
      <c r="A397" t="s">
        <v>111</v>
      </c>
      <c r="B397">
        <v>13.47</v>
      </c>
      <c r="C397">
        <v>460</v>
      </c>
      <c r="D397" t="s">
        <v>8</v>
      </c>
      <c r="E397">
        <v>14.8</v>
      </c>
      <c r="F397">
        <v>5865</v>
      </c>
      <c r="G397">
        <v>57.76</v>
      </c>
      <c r="H397">
        <v>854.9</v>
      </c>
      <c r="I397">
        <f t="shared" si="15"/>
        <v>7.0183647210200029</v>
      </c>
      <c r="J397">
        <f t="shared" si="14"/>
        <v>7.0187916448304257</v>
      </c>
      <c r="K397">
        <v>8.7125000000000004</v>
      </c>
      <c r="L397">
        <f>55.5*(5280/3600)</f>
        <v>81.399999999999991</v>
      </c>
      <c r="M397" s="2"/>
      <c r="N397" s="3"/>
      <c r="O397" s="2"/>
      <c r="P397" s="4"/>
    </row>
    <row r="398" spans="1:16" ht="15.6" x14ac:dyDescent="0.3">
      <c r="A398" t="s">
        <v>111</v>
      </c>
      <c r="B398">
        <v>13.47</v>
      </c>
      <c r="C398">
        <v>460</v>
      </c>
      <c r="D398" t="s">
        <v>10</v>
      </c>
      <c r="E398">
        <v>14.8</v>
      </c>
      <c r="F398">
        <v>5996</v>
      </c>
      <c r="G398">
        <v>53.43</v>
      </c>
      <c r="H398">
        <v>790.7</v>
      </c>
      <c r="I398">
        <f t="shared" si="15"/>
        <v>7.588212975844189</v>
      </c>
      <c r="J398">
        <f t="shared" si="14"/>
        <v>7.5875988284747411</v>
      </c>
      <c r="K398">
        <v>9.4931249999999991</v>
      </c>
      <c r="L398">
        <f>45.4*(5280/3600)</f>
        <v>66.586666666666659</v>
      </c>
      <c r="M398" s="2"/>
      <c r="N398" s="3"/>
      <c r="O398" s="2"/>
      <c r="P398" s="4"/>
    </row>
    <row r="399" spans="1:16" ht="15.6" x14ac:dyDescent="0.3">
      <c r="A399" t="s">
        <v>111</v>
      </c>
      <c r="B399">
        <v>13.47</v>
      </c>
      <c r="C399">
        <v>460</v>
      </c>
      <c r="D399" t="s">
        <v>11</v>
      </c>
      <c r="E399">
        <v>14.8</v>
      </c>
      <c r="F399">
        <v>5829</v>
      </c>
      <c r="G399">
        <v>59.94</v>
      </c>
      <c r="H399">
        <v>887</v>
      </c>
      <c r="I399">
        <f t="shared" si="15"/>
        <v>6.7643742953776771</v>
      </c>
      <c r="J399">
        <f t="shared" si="14"/>
        <v>6.7635202770337894</v>
      </c>
      <c r="K399">
        <v>9.9474999999999998</v>
      </c>
      <c r="L399">
        <f>55.2*(5280/3600)</f>
        <v>80.959999999999994</v>
      </c>
      <c r="M399" s="2"/>
      <c r="N399" s="3"/>
      <c r="O399" s="2"/>
      <c r="P399" s="4"/>
    </row>
    <row r="400" spans="1:16" ht="15.6" x14ac:dyDescent="0.3">
      <c r="A400" t="s">
        <v>111</v>
      </c>
      <c r="B400">
        <v>13.47</v>
      </c>
      <c r="C400">
        <v>460</v>
      </c>
      <c r="D400" t="s">
        <v>17</v>
      </c>
      <c r="E400">
        <v>14.8</v>
      </c>
      <c r="F400">
        <v>6207</v>
      </c>
      <c r="G400">
        <v>39.479999999999997</v>
      </c>
      <c r="H400">
        <v>584.4</v>
      </c>
      <c r="I400">
        <f t="shared" si="15"/>
        <v>10.266940451745381</v>
      </c>
      <c r="J400">
        <f t="shared" si="14"/>
        <v>10.268627289903886</v>
      </c>
      <c r="K400">
        <v>5.694375</v>
      </c>
      <c r="L400">
        <f>58.8*(5280/3600)</f>
        <v>86.24</v>
      </c>
      <c r="M400" s="2"/>
      <c r="N400" s="3"/>
      <c r="O400" s="2"/>
      <c r="P400" s="4"/>
    </row>
    <row r="401" spans="1:16" ht="15.6" x14ac:dyDescent="0.3">
      <c r="A401" t="s">
        <v>111</v>
      </c>
      <c r="B401">
        <v>13.47</v>
      </c>
      <c r="C401">
        <v>460</v>
      </c>
      <c r="D401" t="s">
        <v>19</v>
      </c>
      <c r="E401">
        <v>14.8</v>
      </c>
      <c r="F401">
        <v>6267</v>
      </c>
      <c r="G401">
        <v>39.47</v>
      </c>
      <c r="H401">
        <v>584.20000000000005</v>
      </c>
      <c r="I401">
        <f t="shared" si="15"/>
        <v>10.270455323519341</v>
      </c>
      <c r="J401">
        <f t="shared" si="14"/>
        <v>10.271228918302645</v>
      </c>
      <c r="K401">
        <v>6.9725000000000001</v>
      </c>
      <c r="L401">
        <f>47.5*(5280/3600)</f>
        <v>69.666666666666657</v>
      </c>
      <c r="M401" s="2"/>
      <c r="N401" s="3"/>
      <c r="O401" s="2"/>
      <c r="P401" s="4"/>
    </row>
    <row r="402" spans="1:16" ht="15.6" x14ac:dyDescent="0.3">
      <c r="A402" t="s">
        <v>111</v>
      </c>
      <c r="B402">
        <v>13.47</v>
      </c>
      <c r="C402">
        <v>460</v>
      </c>
      <c r="D402" t="s">
        <v>20</v>
      </c>
      <c r="E402">
        <v>14.8</v>
      </c>
      <c r="F402">
        <v>6164</v>
      </c>
      <c r="G402">
        <v>45.3</v>
      </c>
      <c r="H402">
        <v>670.4</v>
      </c>
      <c r="I402">
        <f t="shared" si="15"/>
        <v>8.949880668257757</v>
      </c>
      <c r="J402">
        <f t="shared" si="14"/>
        <v>8.9493466976910678</v>
      </c>
      <c r="K402">
        <v>7.5812499999999998</v>
      </c>
      <c r="L402">
        <f>58.4*(5280/3600)</f>
        <v>85.653333333333322</v>
      </c>
      <c r="M402" s="2"/>
      <c r="N402" s="3"/>
      <c r="O402" s="2"/>
      <c r="P402" s="4"/>
    </row>
    <row r="403" spans="1:16" ht="15.6" x14ac:dyDescent="0.3">
      <c r="A403" t="s">
        <v>111</v>
      </c>
      <c r="B403">
        <v>13.47</v>
      </c>
      <c r="C403">
        <v>460</v>
      </c>
      <c r="D403" t="s">
        <v>21</v>
      </c>
      <c r="E403">
        <v>14.8</v>
      </c>
      <c r="F403">
        <v>6190</v>
      </c>
      <c r="G403">
        <v>40.369999999999997</v>
      </c>
      <c r="H403">
        <v>597.5</v>
      </c>
      <c r="I403">
        <f t="shared" si="15"/>
        <v>10.0418410041841</v>
      </c>
      <c r="J403">
        <f t="shared" si="14"/>
        <v>10.042244374669442</v>
      </c>
      <c r="K403">
        <v>7.203125</v>
      </c>
      <c r="L403">
        <f>35.2*(5280/3600)</f>
        <v>51.626666666666665</v>
      </c>
      <c r="M403" s="2"/>
      <c r="N403" s="3"/>
      <c r="O403" s="2"/>
      <c r="P403" s="4"/>
    </row>
    <row r="404" spans="1:16" ht="15.6" x14ac:dyDescent="0.3">
      <c r="A404" t="s">
        <v>111</v>
      </c>
      <c r="B404">
        <v>13.47</v>
      </c>
      <c r="C404">
        <v>460</v>
      </c>
      <c r="D404" t="s">
        <v>22</v>
      </c>
      <c r="E404">
        <v>14.8</v>
      </c>
      <c r="F404">
        <v>6145</v>
      </c>
      <c r="G404">
        <v>45.61</v>
      </c>
      <c r="H404">
        <v>675</v>
      </c>
      <c r="I404">
        <f t="shared" si="15"/>
        <v>8.8888888888888893</v>
      </c>
      <c r="J404">
        <f t="shared" si="14"/>
        <v>8.8885201799036491</v>
      </c>
      <c r="K404">
        <v>8.2375000000000007</v>
      </c>
      <c r="L404">
        <f>46.6*(5280/3600)</f>
        <v>68.346666666666664</v>
      </c>
      <c r="M404" s="2"/>
      <c r="N404" s="3"/>
      <c r="O404" s="2"/>
      <c r="P404" s="4"/>
    </row>
    <row r="405" spans="1:16" ht="15.6" x14ac:dyDescent="0.3">
      <c r="A405" t="s">
        <v>111</v>
      </c>
      <c r="B405">
        <v>13.47</v>
      </c>
      <c r="C405">
        <v>460</v>
      </c>
      <c r="D405" t="s">
        <v>23</v>
      </c>
      <c r="E405">
        <v>14.8</v>
      </c>
      <c r="F405">
        <v>5899</v>
      </c>
      <c r="G405">
        <v>56.52</v>
      </c>
      <c r="H405">
        <v>836.5</v>
      </c>
      <c r="I405">
        <f t="shared" si="15"/>
        <v>7.1727435744172148</v>
      </c>
      <c r="J405">
        <f t="shared" si="14"/>
        <v>7.1727778734148151</v>
      </c>
      <c r="K405">
        <v>8.8681249999999991</v>
      </c>
      <c r="L405">
        <f>55.9*(5280/3600)</f>
        <v>81.986666666666665</v>
      </c>
      <c r="M405" s="2"/>
      <c r="N405" s="3"/>
      <c r="O405" s="2"/>
      <c r="P405" s="4"/>
    </row>
    <row r="406" spans="1:16" ht="15.6" x14ac:dyDescent="0.3">
      <c r="A406" t="s">
        <v>111</v>
      </c>
      <c r="B406">
        <v>13.47</v>
      </c>
      <c r="C406">
        <v>460</v>
      </c>
      <c r="D406" t="s">
        <v>24</v>
      </c>
      <c r="E406">
        <v>14.8</v>
      </c>
      <c r="F406">
        <v>6014</v>
      </c>
      <c r="G406">
        <v>53.91</v>
      </c>
      <c r="H406">
        <v>797.8</v>
      </c>
      <c r="I406">
        <f t="shared" si="15"/>
        <v>7.5206818751566811</v>
      </c>
      <c r="J406">
        <f t="shared" si="14"/>
        <v>7.520040909022546</v>
      </c>
      <c r="K406">
        <v>9.1593750000000007</v>
      </c>
      <c r="L406">
        <f>45.6*(5280/3600)</f>
        <v>66.88</v>
      </c>
      <c r="M406" s="2"/>
      <c r="N406" s="3"/>
      <c r="O406" s="2"/>
      <c r="P406" s="4"/>
    </row>
    <row r="407" spans="1:16" ht="15.6" x14ac:dyDescent="0.3">
      <c r="A407" t="s">
        <v>111</v>
      </c>
      <c r="B407">
        <v>13.47</v>
      </c>
      <c r="C407">
        <v>460</v>
      </c>
      <c r="D407" t="s">
        <v>28</v>
      </c>
      <c r="E407">
        <v>14.8</v>
      </c>
      <c r="F407">
        <v>6243</v>
      </c>
      <c r="G407">
        <v>39.01</v>
      </c>
      <c r="H407">
        <v>577.29999999999995</v>
      </c>
      <c r="I407">
        <f t="shared" si="15"/>
        <v>10.393209769617185</v>
      </c>
      <c r="J407">
        <f t="shared" si="14"/>
        <v>10.392345690987064</v>
      </c>
      <c r="K407">
        <v>7.0018750000000001</v>
      </c>
      <c r="L407">
        <f>41.4*(5280/3600)</f>
        <v>60.719999999999992</v>
      </c>
      <c r="M407" s="2"/>
      <c r="N407" s="3"/>
      <c r="O407" s="2"/>
      <c r="P407" s="4"/>
    </row>
    <row r="408" spans="1:16" ht="15.6" x14ac:dyDescent="0.3">
      <c r="A408" t="s">
        <v>111</v>
      </c>
      <c r="B408">
        <v>13.47</v>
      </c>
      <c r="C408">
        <v>460</v>
      </c>
      <c r="D408" t="s">
        <v>29</v>
      </c>
      <c r="E408">
        <v>14.8</v>
      </c>
      <c r="F408">
        <v>6094</v>
      </c>
      <c r="G408">
        <v>45.75</v>
      </c>
      <c r="H408">
        <v>677</v>
      </c>
      <c r="I408">
        <f t="shared" si="15"/>
        <v>8.862629246676514</v>
      </c>
      <c r="J408">
        <f t="shared" si="14"/>
        <v>8.8613203367301718</v>
      </c>
      <c r="K408">
        <v>8.0625</v>
      </c>
      <c r="L408">
        <f>46.2*(5280/3600)</f>
        <v>67.760000000000005</v>
      </c>
      <c r="M408" s="2"/>
      <c r="N408" s="3"/>
      <c r="O408" s="2"/>
      <c r="P408" s="4"/>
    </row>
    <row r="409" spans="1:16" ht="15.6" x14ac:dyDescent="0.3">
      <c r="A409" t="s">
        <v>111</v>
      </c>
      <c r="B409">
        <v>13.47</v>
      </c>
      <c r="C409">
        <v>460</v>
      </c>
      <c r="D409" t="s">
        <v>30</v>
      </c>
      <c r="E409">
        <v>14.8</v>
      </c>
      <c r="F409">
        <v>5854</v>
      </c>
      <c r="G409">
        <v>58.82</v>
      </c>
      <c r="H409">
        <v>870.5</v>
      </c>
      <c r="I409">
        <f t="shared" si="15"/>
        <v>6.8925904652498566</v>
      </c>
      <c r="J409">
        <f t="shared" si="14"/>
        <v>6.8923054302177045</v>
      </c>
      <c r="K409">
        <v>9.3831249999999997</v>
      </c>
      <c r="L409">
        <f>55.4*(5280/3600)</f>
        <v>81.25333333333333</v>
      </c>
      <c r="M409" s="2"/>
      <c r="N409" s="3"/>
      <c r="O409" s="2"/>
      <c r="P409" s="4"/>
    </row>
    <row r="410" spans="1:16" ht="15.6" x14ac:dyDescent="0.3">
      <c r="A410" t="s">
        <v>111</v>
      </c>
      <c r="B410">
        <v>13.47</v>
      </c>
      <c r="C410">
        <v>460</v>
      </c>
      <c r="D410" t="s">
        <v>37</v>
      </c>
      <c r="E410">
        <v>18.5</v>
      </c>
      <c r="F410">
        <v>7756</v>
      </c>
      <c r="G410">
        <v>42.52</v>
      </c>
      <c r="H410">
        <v>786.7</v>
      </c>
      <c r="I410">
        <f t="shared" si="15"/>
        <v>7.6267954747680173</v>
      </c>
      <c r="J410">
        <f t="shared" si="14"/>
        <v>7.6275711271007598</v>
      </c>
      <c r="K410">
        <v>5.7493749999999997</v>
      </c>
      <c r="L410">
        <f>73.4*(5280/3600)</f>
        <v>107.65333333333334</v>
      </c>
      <c r="M410" s="2"/>
      <c r="N410" s="3"/>
      <c r="O410" s="2"/>
      <c r="P410" s="4"/>
    </row>
    <row r="411" spans="1:16" ht="15.6" x14ac:dyDescent="0.3">
      <c r="A411" t="s">
        <v>111</v>
      </c>
      <c r="B411">
        <v>13.47</v>
      </c>
      <c r="C411">
        <v>460</v>
      </c>
      <c r="D411" t="s">
        <v>112</v>
      </c>
      <c r="E411">
        <v>18.5</v>
      </c>
      <c r="F411">
        <v>7755</v>
      </c>
      <c r="G411">
        <v>43.06</v>
      </c>
      <c r="H411">
        <v>796.7</v>
      </c>
      <c r="I411">
        <f t="shared" si="15"/>
        <v>7.5310656457888783</v>
      </c>
      <c r="J411">
        <f t="shared" si="14"/>
        <v>7.5319164961524452</v>
      </c>
      <c r="K411">
        <v>7.7381250000000001</v>
      </c>
      <c r="L411">
        <f>73.4*(5280/3600)</f>
        <v>107.65333333333334</v>
      </c>
      <c r="M411" s="2"/>
      <c r="N411" s="3"/>
      <c r="O411" s="2"/>
      <c r="P411" s="4"/>
    </row>
    <row r="412" spans="1:16" ht="15.6" x14ac:dyDescent="0.3">
      <c r="A412" t="s">
        <v>111</v>
      </c>
      <c r="B412">
        <v>13.47</v>
      </c>
      <c r="C412">
        <v>460</v>
      </c>
      <c r="D412" t="s">
        <v>42</v>
      </c>
      <c r="E412">
        <v>18.5</v>
      </c>
      <c r="F412">
        <v>7416</v>
      </c>
      <c r="G412">
        <v>59.07</v>
      </c>
      <c r="H412">
        <v>1092.7</v>
      </c>
      <c r="I412">
        <f t="shared" si="15"/>
        <v>5.49098563192093</v>
      </c>
      <c r="J412">
        <f t="shared" si="14"/>
        <v>5.4905082838043731</v>
      </c>
      <c r="K412">
        <v>6.5143750000000002</v>
      </c>
      <c r="L412">
        <f>84.3*(5280/3600)</f>
        <v>123.63999999999999</v>
      </c>
      <c r="M412" s="2"/>
      <c r="N412" s="3"/>
      <c r="O412" s="2"/>
      <c r="P412" s="4"/>
    </row>
    <row r="413" spans="1:16" ht="15.6" x14ac:dyDescent="0.3">
      <c r="A413" t="s">
        <v>111</v>
      </c>
      <c r="B413">
        <v>13.47</v>
      </c>
      <c r="C413">
        <v>460</v>
      </c>
      <c r="D413" t="s">
        <v>0</v>
      </c>
      <c r="E413">
        <v>18.5</v>
      </c>
      <c r="F413">
        <v>7764</v>
      </c>
      <c r="G413">
        <v>42.19</v>
      </c>
      <c r="H413">
        <v>780.4</v>
      </c>
      <c r="I413">
        <f t="shared" si="15"/>
        <v>7.6883649410558688</v>
      </c>
      <c r="J413">
        <f t="shared" si="14"/>
        <v>7.6872321480048438</v>
      </c>
      <c r="K413">
        <v>8.21875</v>
      </c>
      <c r="L413">
        <f>58.8*(5280/3600)</f>
        <v>86.24</v>
      </c>
      <c r="M413" s="2"/>
      <c r="N413" s="3"/>
      <c r="O413" s="2"/>
      <c r="P413" s="4"/>
    </row>
    <row r="414" spans="1:16" ht="15.6" x14ac:dyDescent="0.3">
      <c r="A414" t="s">
        <v>111</v>
      </c>
      <c r="B414">
        <v>13.47</v>
      </c>
      <c r="C414">
        <v>460</v>
      </c>
      <c r="D414" t="s">
        <v>1</v>
      </c>
      <c r="E414">
        <v>18.5</v>
      </c>
      <c r="F414">
        <v>7395</v>
      </c>
      <c r="G414">
        <v>60.99</v>
      </c>
      <c r="H414">
        <v>1128.3</v>
      </c>
      <c r="I414">
        <f t="shared" si="15"/>
        <v>5.3177346450412131</v>
      </c>
      <c r="J414">
        <f t="shared" si="14"/>
        <v>5.3176639502266649</v>
      </c>
      <c r="K414">
        <v>9.0431249999999999</v>
      </c>
      <c r="L414">
        <f>70*(5280/3600)</f>
        <v>102.66666666666666</v>
      </c>
      <c r="M414" s="2"/>
      <c r="N414" s="3"/>
      <c r="O414" s="2"/>
      <c r="P414" s="4"/>
    </row>
    <row r="415" spans="1:16" ht="15.6" x14ac:dyDescent="0.3">
      <c r="A415" t="s">
        <v>111</v>
      </c>
      <c r="B415">
        <v>13.47</v>
      </c>
      <c r="C415">
        <v>460</v>
      </c>
      <c r="D415" t="s">
        <v>113</v>
      </c>
      <c r="E415">
        <v>18.5</v>
      </c>
      <c r="F415">
        <v>7500</v>
      </c>
      <c r="G415">
        <v>54.86</v>
      </c>
      <c r="H415">
        <v>1014.9</v>
      </c>
      <c r="I415">
        <f t="shared" si="15"/>
        <v>5.9119125036949454</v>
      </c>
      <c r="J415">
        <f t="shared" si="14"/>
        <v>5.9118542530864806</v>
      </c>
      <c r="K415">
        <v>9.7287499999999998</v>
      </c>
      <c r="L415">
        <f>85.2*(5280/3600)</f>
        <v>124.96</v>
      </c>
      <c r="M415" s="2"/>
      <c r="N415" s="3"/>
      <c r="O415" s="2"/>
      <c r="P415" s="4"/>
    </row>
    <row r="416" spans="1:16" ht="15.6" x14ac:dyDescent="0.3">
      <c r="A416" t="s">
        <v>111</v>
      </c>
      <c r="B416">
        <v>13.47</v>
      </c>
      <c r="C416">
        <v>460</v>
      </c>
      <c r="D416" t="s">
        <v>2</v>
      </c>
      <c r="E416">
        <v>18.5</v>
      </c>
      <c r="F416">
        <v>7560</v>
      </c>
      <c r="G416">
        <v>51.93</v>
      </c>
      <c r="H416">
        <v>960.6</v>
      </c>
      <c r="I416">
        <f t="shared" si="15"/>
        <v>6.2460961898813245</v>
      </c>
      <c r="J416">
        <f t="shared" si="14"/>
        <v>6.2454135244429869</v>
      </c>
      <c r="K416">
        <v>10.200625</v>
      </c>
      <c r="L416">
        <f>50.1*(5280/3600)</f>
        <v>73.48</v>
      </c>
      <c r="M416" s="2"/>
      <c r="N416" s="3"/>
      <c r="O416" s="2"/>
      <c r="P416" s="4"/>
    </row>
    <row r="417" spans="1:16" ht="15.6" x14ac:dyDescent="0.3">
      <c r="A417" t="s">
        <v>111</v>
      </c>
      <c r="B417">
        <v>13.47</v>
      </c>
      <c r="C417">
        <v>460</v>
      </c>
      <c r="D417" t="s">
        <v>6</v>
      </c>
      <c r="E417">
        <v>18.5</v>
      </c>
      <c r="F417">
        <v>7469</v>
      </c>
      <c r="G417">
        <v>56.62</v>
      </c>
      <c r="H417">
        <v>1047.5</v>
      </c>
      <c r="I417">
        <f t="shared" si="15"/>
        <v>5.7279236276849641</v>
      </c>
      <c r="J417">
        <f t="shared" si="14"/>
        <v>5.7280876779287233</v>
      </c>
      <c r="K417">
        <v>11.276875</v>
      </c>
      <c r="L417">
        <f>49.5*(5280/3600)</f>
        <v>72.599999999999994</v>
      </c>
      <c r="M417" s="2"/>
      <c r="N417" s="3"/>
      <c r="O417" s="2"/>
      <c r="P417" s="4"/>
    </row>
    <row r="418" spans="1:16" ht="15.6" x14ac:dyDescent="0.3">
      <c r="A418" t="s">
        <v>111</v>
      </c>
      <c r="B418">
        <v>13.47</v>
      </c>
      <c r="C418">
        <v>460</v>
      </c>
      <c r="D418" t="s">
        <v>46</v>
      </c>
      <c r="E418">
        <v>18.5</v>
      </c>
      <c r="F418">
        <v>7816</v>
      </c>
      <c r="G418">
        <v>40.98</v>
      </c>
      <c r="H418">
        <v>758.1</v>
      </c>
      <c r="I418">
        <f t="shared" si="15"/>
        <v>7.914523149980214</v>
      </c>
      <c r="J418">
        <f t="shared" si="14"/>
        <v>7.9142099639903449</v>
      </c>
      <c r="K418">
        <v>5.44625</v>
      </c>
      <c r="L418">
        <f>74*(5280/3600)</f>
        <v>108.53333333333333</v>
      </c>
      <c r="M418" s="2"/>
      <c r="N418" s="3"/>
      <c r="O418" s="2"/>
      <c r="P418" s="4"/>
    </row>
    <row r="419" spans="1:16" ht="15.6" x14ac:dyDescent="0.3">
      <c r="A419" t="s">
        <v>111</v>
      </c>
      <c r="B419">
        <v>13.47</v>
      </c>
      <c r="C419">
        <v>460</v>
      </c>
      <c r="D419" t="s">
        <v>49</v>
      </c>
      <c r="E419">
        <v>18.5</v>
      </c>
      <c r="F419">
        <v>7511</v>
      </c>
      <c r="G419">
        <v>49.22</v>
      </c>
      <c r="H419">
        <v>910.5</v>
      </c>
      <c r="I419">
        <f t="shared" si="15"/>
        <v>6.5897858319604614</v>
      </c>
      <c r="J419">
        <f t="shared" si="14"/>
        <v>6.5892792426721725</v>
      </c>
      <c r="K419">
        <v>7.296875</v>
      </c>
      <c r="L419">
        <f>71.1*(5280/3600)</f>
        <v>104.27999999999999</v>
      </c>
      <c r="M419" s="2"/>
      <c r="N419" s="3"/>
      <c r="O419" s="2"/>
      <c r="P419" s="4"/>
    </row>
    <row r="420" spans="1:16" ht="15.6" x14ac:dyDescent="0.3">
      <c r="A420" t="s">
        <v>111</v>
      </c>
      <c r="B420">
        <v>13.47</v>
      </c>
      <c r="C420">
        <v>460</v>
      </c>
      <c r="D420" t="s">
        <v>51</v>
      </c>
      <c r="E420">
        <v>18.5</v>
      </c>
      <c r="F420">
        <v>7797</v>
      </c>
      <c r="G420">
        <v>39.99</v>
      </c>
      <c r="H420">
        <v>739.9</v>
      </c>
      <c r="I420">
        <f t="shared" si="15"/>
        <v>8.1092039464792549</v>
      </c>
      <c r="J420">
        <f t="shared" si="14"/>
        <v>8.1101356420186121</v>
      </c>
      <c r="K420">
        <v>8.1006250000000009</v>
      </c>
      <c r="L420">
        <f>51.7*(5280/3600)</f>
        <v>75.826666666666668</v>
      </c>
      <c r="M420" s="2"/>
      <c r="N420" s="3"/>
      <c r="O420" s="2"/>
      <c r="P420" s="4"/>
    </row>
    <row r="421" spans="1:16" ht="15.6" x14ac:dyDescent="0.3">
      <c r="A421" t="s">
        <v>111</v>
      </c>
      <c r="B421">
        <v>13.47</v>
      </c>
      <c r="C421">
        <v>460</v>
      </c>
      <c r="D421" t="s">
        <v>16</v>
      </c>
      <c r="E421">
        <v>18.5</v>
      </c>
      <c r="F421">
        <v>7700</v>
      </c>
      <c r="G421">
        <v>44.16</v>
      </c>
      <c r="H421">
        <v>816.9</v>
      </c>
      <c r="I421">
        <f t="shared" si="15"/>
        <v>7.3448402497245695</v>
      </c>
      <c r="J421">
        <f t="shared" si="14"/>
        <v>7.3443008225616921</v>
      </c>
      <c r="K421">
        <v>7.9225000000000003</v>
      </c>
      <c r="L421">
        <f>58.3*(5280/3600)</f>
        <v>85.506666666666661</v>
      </c>
      <c r="M421" s="2"/>
      <c r="N421" s="3"/>
      <c r="O421" s="2"/>
      <c r="P421" s="4"/>
    </row>
    <row r="422" spans="1:16" ht="15.6" x14ac:dyDescent="0.3">
      <c r="A422" t="s">
        <v>111</v>
      </c>
      <c r="B422">
        <v>13.47</v>
      </c>
      <c r="C422">
        <v>460</v>
      </c>
      <c r="D422" t="s">
        <v>17</v>
      </c>
      <c r="E422">
        <v>18.5</v>
      </c>
      <c r="F422">
        <v>7403</v>
      </c>
      <c r="G422">
        <v>60.83</v>
      </c>
      <c r="H422">
        <v>1125.4000000000001</v>
      </c>
      <c r="I422">
        <f t="shared" si="15"/>
        <v>5.3314377110360756</v>
      </c>
      <c r="J422">
        <f t="shared" si="14"/>
        <v>5.3316509012711544</v>
      </c>
      <c r="K422">
        <v>8.1218749999999993</v>
      </c>
      <c r="L422">
        <f>70.1*(5280/3600)</f>
        <v>102.81333333333332</v>
      </c>
      <c r="M422" s="2"/>
      <c r="N422" s="3"/>
      <c r="O422" s="2"/>
      <c r="P422" s="4"/>
    </row>
    <row r="423" spans="1:16" ht="15.6" x14ac:dyDescent="0.3">
      <c r="A423" t="s">
        <v>111</v>
      </c>
      <c r="B423">
        <v>13.47</v>
      </c>
      <c r="C423">
        <v>460</v>
      </c>
      <c r="D423" t="s">
        <v>52</v>
      </c>
      <c r="E423">
        <v>18.5</v>
      </c>
      <c r="F423">
        <v>7754</v>
      </c>
      <c r="G423">
        <v>45.66</v>
      </c>
      <c r="H423">
        <v>844.8</v>
      </c>
      <c r="I423">
        <f t="shared" si="15"/>
        <v>7.1022727272727275</v>
      </c>
      <c r="J423">
        <f t="shared" si="14"/>
        <v>7.1030294420570375</v>
      </c>
      <c r="K423">
        <v>9.2887500000000003</v>
      </c>
      <c r="L423">
        <f>44.1*(5280/3600)</f>
        <v>64.679999999999993</v>
      </c>
      <c r="M423" s="2"/>
      <c r="N423" s="3"/>
      <c r="O423" s="2"/>
      <c r="P423" s="4"/>
    </row>
    <row r="424" spans="1:16" ht="15.6" x14ac:dyDescent="0.3">
      <c r="A424" t="s">
        <v>111</v>
      </c>
      <c r="B424">
        <v>13.47</v>
      </c>
      <c r="C424">
        <v>460</v>
      </c>
      <c r="D424" t="s">
        <v>18</v>
      </c>
      <c r="E424">
        <v>18.5</v>
      </c>
      <c r="F424">
        <v>7601</v>
      </c>
      <c r="G424">
        <v>50.38</v>
      </c>
      <c r="H424">
        <v>932.1</v>
      </c>
      <c r="I424">
        <f t="shared" si="15"/>
        <v>6.43707756678468</v>
      </c>
      <c r="J424">
        <f t="shared" si="14"/>
        <v>6.4375610227138607</v>
      </c>
      <c r="K424">
        <v>9.5768749999999994</v>
      </c>
      <c r="L424">
        <f>50.4*(5280/3600)</f>
        <v>73.919999999999987</v>
      </c>
      <c r="M424" s="2"/>
      <c r="N424" s="3"/>
      <c r="O424" s="2"/>
      <c r="P424" s="4"/>
    </row>
    <row r="425" spans="1:16" ht="15.6" x14ac:dyDescent="0.3">
      <c r="A425" t="s">
        <v>111</v>
      </c>
      <c r="B425">
        <v>13.47</v>
      </c>
      <c r="C425">
        <v>460</v>
      </c>
      <c r="D425" t="s">
        <v>19</v>
      </c>
      <c r="E425">
        <v>18.5</v>
      </c>
      <c r="F425">
        <v>7417</v>
      </c>
      <c r="G425">
        <v>61.38</v>
      </c>
      <c r="H425">
        <v>1135.5</v>
      </c>
      <c r="I425">
        <f t="shared" si="15"/>
        <v>5.2840158520475562</v>
      </c>
      <c r="J425">
        <f t="shared" si="14"/>
        <v>5.283876251618187</v>
      </c>
      <c r="K425">
        <v>10.06</v>
      </c>
      <c r="L425">
        <f>56.2*(5280/3600)</f>
        <v>82.426666666666662</v>
      </c>
      <c r="M425" s="2"/>
      <c r="N425" s="3"/>
      <c r="O425" s="2"/>
      <c r="P425" s="4"/>
    </row>
    <row r="426" spans="1:16" ht="15.6" x14ac:dyDescent="0.3">
      <c r="A426" t="s">
        <v>111</v>
      </c>
      <c r="B426">
        <v>13.47</v>
      </c>
      <c r="C426">
        <v>460</v>
      </c>
      <c r="D426" t="s">
        <v>21</v>
      </c>
      <c r="E426">
        <v>18.5</v>
      </c>
      <c r="F426">
        <v>7416</v>
      </c>
      <c r="G426">
        <v>58.4</v>
      </c>
      <c r="H426">
        <v>1080.5</v>
      </c>
      <c r="I426">
        <f t="shared" si="15"/>
        <v>5.5529847292919952</v>
      </c>
      <c r="J426">
        <f t="shared" si="14"/>
        <v>5.5534987041836352</v>
      </c>
      <c r="K426">
        <v>10.633125</v>
      </c>
      <c r="L426">
        <f>42.1*(5280/3600)</f>
        <v>61.746666666666663</v>
      </c>
      <c r="M426" s="2"/>
      <c r="N426" s="3"/>
      <c r="O426" s="2"/>
      <c r="P426" s="4"/>
    </row>
    <row r="427" spans="1:16" ht="15.6" x14ac:dyDescent="0.3">
      <c r="A427" t="s">
        <v>111</v>
      </c>
      <c r="B427">
        <v>13.47</v>
      </c>
      <c r="C427">
        <v>460</v>
      </c>
      <c r="D427" t="s">
        <v>26</v>
      </c>
      <c r="E427">
        <v>18.5</v>
      </c>
      <c r="F427">
        <v>7753</v>
      </c>
      <c r="G427">
        <v>43.68</v>
      </c>
      <c r="H427">
        <v>808</v>
      </c>
      <c r="I427">
        <f t="shared" si="15"/>
        <v>7.4257425742574252</v>
      </c>
      <c r="J427">
        <f t="shared" si="14"/>
        <v>7.4250074250074247</v>
      </c>
      <c r="K427">
        <v>8.3818750000000009</v>
      </c>
      <c r="L427">
        <f>51.4*(5280/3600)</f>
        <v>75.386666666666656</v>
      </c>
      <c r="M427" s="2"/>
      <c r="N427" s="3"/>
      <c r="O427" s="2"/>
      <c r="P427" s="4"/>
    </row>
    <row r="428" spans="1:16" ht="15.6" x14ac:dyDescent="0.3">
      <c r="A428" t="s">
        <v>111</v>
      </c>
      <c r="B428">
        <v>13.47</v>
      </c>
      <c r="C428">
        <v>460</v>
      </c>
      <c r="D428" t="s">
        <v>27</v>
      </c>
      <c r="E428">
        <v>18.5</v>
      </c>
      <c r="F428">
        <v>7540</v>
      </c>
      <c r="G428">
        <v>52.98</v>
      </c>
      <c r="H428">
        <v>980.1</v>
      </c>
      <c r="I428">
        <f t="shared" si="15"/>
        <v>6.1218243036424846</v>
      </c>
      <c r="J428">
        <f t="shared" si="14"/>
        <v>6.1216369257139363</v>
      </c>
      <c r="K428">
        <v>9.453125</v>
      </c>
      <c r="L428">
        <f>64.3*(5280/3600)</f>
        <v>94.306666666666658</v>
      </c>
      <c r="M428" s="2"/>
      <c r="N428" s="3"/>
      <c r="O428" s="2"/>
      <c r="P428" s="4"/>
    </row>
    <row r="429" spans="1:16" ht="15.6" x14ac:dyDescent="0.3">
      <c r="A429" t="s">
        <v>111</v>
      </c>
      <c r="B429">
        <v>13.47</v>
      </c>
      <c r="C429">
        <v>460</v>
      </c>
      <c r="D429" t="s">
        <v>28</v>
      </c>
      <c r="E429">
        <v>18.5</v>
      </c>
      <c r="F429">
        <v>7495</v>
      </c>
      <c r="G429">
        <v>54.97</v>
      </c>
      <c r="H429">
        <v>1016.9</v>
      </c>
      <c r="I429">
        <f t="shared" si="15"/>
        <v>5.9002851804503882</v>
      </c>
      <c r="J429">
        <f t="shared" si="14"/>
        <v>5.9000240917650411</v>
      </c>
      <c r="K429">
        <v>10.249375000000001</v>
      </c>
      <c r="L429">
        <f>49.7*(5280/3600)</f>
        <v>72.893333333333331</v>
      </c>
      <c r="M429" s="2"/>
      <c r="N429" s="3"/>
      <c r="O429" s="2"/>
      <c r="P429" s="4"/>
    </row>
    <row r="430" spans="1:16" ht="15.6" x14ac:dyDescent="0.3">
      <c r="A430" t="s">
        <v>111</v>
      </c>
      <c r="B430">
        <v>13.47</v>
      </c>
      <c r="C430">
        <v>460</v>
      </c>
      <c r="D430" t="s">
        <v>35</v>
      </c>
      <c r="E430">
        <v>22.2</v>
      </c>
      <c r="F430">
        <v>9380</v>
      </c>
      <c r="G430">
        <v>39.53</v>
      </c>
      <c r="H430">
        <v>877.5</v>
      </c>
      <c r="I430">
        <f t="shared" si="15"/>
        <v>6.8376068376068382</v>
      </c>
      <c r="J430">
        <f t="shared" si="14"/>
        <v>6.8370925947450107</v>
      </c>
      <c r="K430">
        <v>7.97</v>
      </c>
      <c r="L430">
        <f>57.7*(5280/3600)</f>
        <v>84.626666666666665</v>
      </c>
      <c r="M430" s="2"/>
      <c r="N430" s="3"/>
      <c r="O430" s="2"/>
      <c r="P430" s="4"/>
    </row>
    <row r="431" spans="1:16" ht="15.6" x14ac:dyDescent="0.3">
      <c r="A431" t="s">
        <v>111</v>
      </c>
      <c r="B431">
        <v>13.47</v>
      </c>
      <c r="C431">
        <v>460</v>
      </c>
      <c r="D431" t="s">
        <v>36</v>
      </c>
      <c r="E431">
        <v>22.2</v>
      </c>
      <c r="F431">
        <v>9285</v>
      </c>
      <c r="G431">
        <v>44.33</v>
      </c>
      <c r="H431">
        <v>984.1</v>
      </c>
      <c r="I431">
        <f t="shared" si="15"/>
        <v>6.0969413677471804</v>
      </c>
      <c r="J431">
        <f t="shared" si="14"/>
        <v>6.0967802903286783</v>
      </c>
      <c r="K431">
        <v>8.1374999999999993</v>
      </c>
      <c r="L431">
        <f>70.3*(5280/3600)</f>
        <v>103.10666666666665</v>
      </c>
      <c r="M431" s="2"/>
      <c r="N431" s="3"/>
      <c r="O431" s="2"/>
      <c r="P431" s="4"/>
    </row>
    <row r="432" spans="1:16" ht="15.6" x14ac:dyDescent="0.3">
      <c r="A432" t="s">
        <v>111</v>
      </c>
      <c r="B432">
        <v>13.47</v>
      </c>
      <c r="C432">
        <v>460</v>
      </c>
      <c r="D432" t="s">
        <v>37</v>
      </c>
      <c r="E432">
        <v>22.2</v>
      </c>
      <c r="F432">
        <v>8953</v>
      </c>
      <c r="G432">
        <v>60.26</v>
      </c>
      <c r="H432">
        <v>1337.9</v>
      </c>
      <c r="I432">
        <f t="shared" si="15"/>
        <v>4.4846401076313622</v>
      </c>
      <c r="J432">
        <f t="shared" si="14"/>
        <v>4.4850692046178278</v>
      </c>
      <c r="K432">
        <v>7.6987500000000004</v>
      </c>
      <c r="L432">
        <f>84.8*(5280/3600)</f>
        <v>124.37333333333332</v>
      </c>
      <c r="M432" s="2"/>
      <c r="N432" s="3"/>
      <c r="O432" s="2"/>
      <c r="P432" s="4"/>
    </row>
    <row r="433" spans="1:16" ht="15.6" x14ac:dyDescent="0.3">
      <c r="A433" t="s">
        <v>111</v>
      </c>
      <c r="B433">
        <v>13.47</v>
      </c>
      <c r="C433">
        <v>460</v>
      </c>
      <c r="D433" t="s">
        <v>39</v>
      </c>
      <c r="E433">
        <v>22.2</v>
      </c>
      <c r="F433">
        <v>9136</v>
      </c>
      <c r="G433">
        <v>51.78</v>
      </c>
      <c r="H433">
        <v>1149.5</v>
      </c>
      <c r="I433">
        <f t="shared" si="15"/>
        <v>5.2196607220530673</v>
      </c>
      <c r="J433">
        <f t="shared" si="14"/>
        <v>5.2195880701095074</v>
      </c>
      <c r="K433">
        <v>9.4731249999999996</v>
      </c>
      <c r="L433">
        <f>60.6*(5280/3600)</f>
        <v>88.88</v>
      </c>
      <c r="M433" s="2"/>
      <c r="N433" s="3"/>
      <c r="O433" s="2"/>
      <c r="P433" s="4"/>
    </row>
    <row r="434" spans="1:16" ht="15.6" x14ac:dyDescent="0.3">
      <c r="A434" t="s">
        <v>111</v>
      </c>
      <c r="B434">
        <v>13.47</v>
      </c>
      <c r="C434">
        <v>460</v>
      </c>
      <c r="D434" t="s">
        <v>40</v>
      </c>
      <c r="E434">
        <v>22.2</v>
      </c>
      <c r="F434">
        <v>9081</v>
      </c>
      <c r="G434">
        <v>54.62</v>
      </c>
      <c r="H434">
        <v>1212.5</v>
      </c>
      <c r="I434">
        <f t="shared" si="15"/>
        <v>4.9484536082474229</v>
      </c>
      <c r="J434">
        <f t="shared" si="14"/>
        <v>4.9481924253070355</v>
      </c>
      <c r="K434">
        <v>9.6518750000000004</v>
      </c>
      <c r="L434">
        <f>73.1*(5280/3600)</f>
        <v>107.21333333333332</v>
      </c>
      <c r="M434" s="2"/>
      <c r="N434" s="3"/>
      <c r="O434" s="2"/>
      <c r="P434" s="4"/>
    </row>
    <row r="435" spans="1:16" ht="15.6" x14ac:dyDescent="0.3">
      <c r="A435" t="s">
        <v>111</v>
      </c>
      <c r="B435">
        <v>13.47</v>
      </c>
      <c r="C435">
        <v>460</v>
      </c>
      <c r="D435" t="s">
        <v>41</v>
      </c>
      <c r="E435">
        <v>22.2</v>
      </c>
      <c r="F435">
        <v>9050</v>
      </c>
      <c r="G435">
        <v>54.83</v>
      </c>
      <c r="H435">
        <v>1217.2</v>
      </c>
      <c r="I435">
        <f t="shared" si="15"/>
        <v>4.9293460400920139</v>
      </c>
      <c r="J435">
        <f t="shared" si="14"/>
        <v>4.9292407490474242</v>
      </c>
      <c r="K435">
        <v>9.5856250000000003</v>
      </c>
      <c r="L435">
        <f>85.7*(5280/3600)</f>
        <v>125.69333333333333</v>
      </c>
      <c r="M435" s="2"/>
      <c r="N435" s="3"/>
      <c r="O435" s="2"/>
      <c r="P435" s="4"/>
    </row>
    <row r="436" spans="1:16" ht="15.6" x14ac:dyDescent="0.3">
      <c r="A436" t="s">
        <v>111</v>
      </c>
      <c r="B436">
        <v>13.47</v>
      </c>
      <c r="C436">
        <v>460</v>
      </c>
      <c r="D436" t="s">
        <v>60</v>
      </c>
      <c r="E436">
        <v>22.2</v>
      </c>
      <c r="F436">
        <v>9392</v>
      </c>
      <c r="G436">
        <v>39.659999999999997</v>
      </c>
      <c r="H436">
        <v>880.4</v>
      </c>
      <c r="I436">
        <f t="shared" si="15"/>
        <v>6.815084052703317</v>
      </c>
      <c r="J436">
        <f t="shared" si="14"/>
        <v>6.8146815499311728</v>
      </c>
      <c r="K436">
        <v>9.4137500000000003</v>
      </c>
      <c r="L436">
        <f>35.6*(5280/3600)</f>
        <v>52.213333333333331</v>
      </c>
      <c r="M436" s="2"/>
      <c r="N436" s="3"/>
      <c r="O436" s="2"/>
      <c r="P436" s="4"/>
    </row>
    <row r="437" spans="1:16" ht="15.6" x14ac:dyDescent="0.3">
      <c r="A437" t="s">
        <v>111</v>
      </c>
      <c r="B437">
        <v>13.47</v>
      </c>
      <c r="C437">
        <v>460</v>
      </c>
      <c r="D437" t="s">
        <v>43</v>
      </c>
      <c r="E437">
        <v>22.2</v>
      </c>
      <c r="F437">
        <v>9070</v>
      </c>
      <c r="G437">
        <v>54.45</v>
      </c>
      <c r="H437">
        <v>1208.9000000000001</v>
      </c>
      <c r="I437">
        <f t="shared" si="15"/>
        <v>4.9631896765654719</v>
      </c>
      <c r="J437">
        <f t="shared" si="14"/>
        <v>4.9636413272776911</v>
      </c>
      <c r="K437">
        <v>11.173125000000001</v>
      </c>
      <c r="L437">
        <f>51.5*(5280/3600)</f>
        <v>75.533333333333331</v>
      </c>
      <c r="M437" s="2"/>
      <c r="N437" s="3"/>
      <c r="O437" s="2"/>
      <c r="P437" s="4"/>
    </row>
    <row r="438" spans="1:16" ht="15.6" x14ac:dyDescent="0.3">
      <c r="A438" t="s">
        <v>111</v>
      </c>
      <c r="B438">
        <v>13.47</v>
      </c>
      <c r="C438">
        <v>460</v>
      </c>
      <c r="D438" t="s">
        <v>44</v>
      </c>
      <c r="E438">
        <v>22.2</v>
      </c>
      <c r="F438">
        <v>9114</v>
      </c>
      <c r="G438">
        <v>52.83</v>
      </c>
      <c r="H438">
        <v>1172.9000000000001</v>
      </c>
      <c r="I438">
        <f t="shared" si="15"/>
        <v>5.1155256202574808</v>
      </c>
      <c r="J438">
        <f t="shared" si="14"/>
        <v>5.1158483867172118</v>
      </c>
      <c r="K438">
        <v>11.155625000000001</v>
      </c>
      <c r="L438">
        <f>60.4*(5280/3600)</f>
        <v>88.586666666666659</v>
      </c>
      <c r="M438" s="2"/>
      <c r="N438" s="3"/>
      <c r="O438" s="2"/>
      <c r="P438" s="4"/>
    </row>
    <row r="439" spans="1:16" ht="15.6" x14ac:dyDescent="0.3">
      <c r="A439" t="s">
        <v>111</v>
      </c>
      <c r="B439">
        <v>13.47</v>
      </c>
      <c r="C439">
        <v>460</v>
      </c>
      <c r="D439" t="s">
        <v>0</v>
      </c>
      <c r="E439">
        <v>22.2</v>
      </c>
      <c r="F439">
        <v>8974</v>
      </c>
      <c r="G439">
        <v>59.22</v>
      </c>
      <c r="H439">
        <v>1314.6</v>
      </c>
      <c r="I439">
        <f t="shared" si="15"/>
        <v>4.5641259698767689</v>
      </c>
      <c r="J439">
        <f t="shared" si="14"/>
        <v>4.5638343510683939</v>
      </c>
      <c r="K439">
        <v>11.086874999999999</v>
      </c>
      <c r="L439">
        <f>68*(5280/3600)</f>
        <v>99.73333333333332</v>
      </c>
      <c r="M439" s="2"/>
      <c r="N439" s="3"/>
      <c r="O439" s="2"/>
      <c r="P439" s="4"/>
    </row>
    <row r="440" spans="1:16" ht="15.6" x14ac:dyDescent="0.3">
      <c r="A440" t="s">
        <v>111</v>
      </c>
      <c r="B440">
        <v>13.47</v>
      </c>
      <c r="C440">
        <v>460</v>
      </c>
      <c r="D440" t="s">
        <v>45</v>
      </c>
      <c r="E440">
        <v>22.2</v>
      </c>
      <c r="F440">
        <v>9319</v>
      </c>
      <c r="G440">
        <v>43.26</v>
      </c>
      <c r="H440">
        <v>960.3</v>
      </c>
      <c r="I440">
        <f t="shared" si="15"/>
        <v>6.2480474851608871</v>
      </c>
      <c r="J440">
        <f t="shared" si="14"/>
        <v>6.2475790631130446</v>
      </c>
      <c r="K440">
        <v>7.1831250000000004</v>
      </c>
      <c r="L440">
        <f>70.6*(5280/3600)</f>
        <v>103.54666666666665</v>
      </c>
      <c r="M440" s="2"/>
      <c r="N440" s="3"/>
      <c r="O440" s="2"/>
      <c r="P440" s="4"/>
    </row>
    <row r="441" spans="1:16" ht="15.6" x14ac:dyDescent="0.3">
      <c r="A441" t="s">
        <v>111</v>
      </c>
      <c r="B441">
        <v>13.47</v>
      </c>
      <c r="C441">
        <v>460</v>
      </c>
      <c r="D441" t="s">
        <v>46</v>
      </c>
      <c r="E441">
        <v>22.2</v>
      </c>
      <c r="F441">
        <v>9022</v>
      </c>
      <c r="G441">
        <v>58.08</v>
      </c>
      <c r="H441">
        <v>1289.3</v>
      </c>
      <c r="I441">
        <f t="shared" si="15"/>
        <v>4.6536880477778642</v>
      </c>
      <c r="J441">
        <f t="shared" si="14"/>
        <v>4.6534137443228358</v>
      </c>
      <c r="K441">
        <v>7.2918750000000001</v>
      </c>
      <c r="L441">
        <f>85.4*(5280/3600)</f>
        <v>125.25333333333333</v>
      </c>
      <c r="M441" s="2"/>
      <c r="N441" s="3"/>
      <c r="O441" s="2"/>
      <c r="P441" s="4"/>
    </row>
    <row r="442" spans="1:16" ht="15.6" x14ac:dyDescent="0.3">
      <c r="A442" t="s">
        <v>111</v>
      </c>
      <c r="B442">
        <v>13.47</v>
      </c>
      <c r="C442">
        <v>460</v>
      </c>
      <c r="D442" t="s">
        <v>47</v>
      </c>
      <c r="E442">
        <v>22.2</v>
      </c>
      <c r="F442">
        <v>9325</v>
      </c>
      <c r="G442">
        <v>40.06</v>
      </c>
      <c r="H442">
        <v>889.3</v>
      </c>
      <c r="I442">
        <f t="shared" si="15"/>
        <v>6.7468795681997085</v>
      </c>
      <c r="J442">
        <f t="shared" si="14"/>
        <v>6.7466368015544251</v>
      </c>
      <c r="K442">
        <v>8.1468749999999996</v>
      </c>
      <c r="L442">
        <f>53*(5280/3600)</f>
        <v>77.733333333333334</v>
      </c>
      <c r="M442" s="2"/>
      <c r="N442" s="3"/>
      <c r="O442" s="2"/>
      <c r="P442" s="4"/>
    </row>
    <row r="443" spans="1:16" ht="15.6" x14ac:dyDescent="0.3">
      <c r="A443" t="s">
        <v>111</v>
      </c>
      <c r="B443">
        <v>13.47</v>
      </c>
      <c r="C443">
        <v>460</v>
      </c>
      <c r="D443" t="s">
        <v>48</v>
      </c>
      <c r="E443">
        <v>22.2</v>
      </c>
      <c r="F443">
        <v>9175</v>
      </c>
      <c r="G443">
        <v>50.93</v>
      </c>
      <c r="H443">
        <v>1130.7</v>
      </c>
      <c r="I443">
        <f t="shared" si="15"/>
        <v>5.3064473335102154</v>
      </c>
      <c r="J443">
        <f t="shared" si="14"/>
        <v>5.306700771063622</v>
      </c>
      <c r="K443">
        <v>9.3362499999999997</v>
      </c>
      <c r="L443">
        <f>69.5*(5280/3600)</f>
        <v>101.93333333333332</v>
      </c>
      <c r="M443" s="2"/>
      <c r="N443" s="3"/>
      <c r="O443" s="2"/>
      <c r="P443" s="4"/>
    </row>
    <row r="444" spans="1:16" ht="15.6" x14ac:dyDescent="0.3">
      <c r="A444" t="s">
        <v>111</v>
      </c>
      <c r="B444">
        <v>13.47</v>
      </c>
      <c r="C444">
        <v>460</v>
      </c>
      <c r="D444" t="s">
        <v>50</v>
      </c>
      <c r="E444">
        <v>22.2</v>
      </c>
      <c r="F444">
        <v>9070</v>
      </c>
      <c r="G444">
        <v>54.66</v>
      </c>
      <c r="H444">
        <v>1213.5</v>
      </c>
      <c r="I444">
        <f t="shared" si="15"/>
        <v>4.9443757725587147</v>
      </c>
      <c r="J444">
        <f t="shared" si="14"/>
        <v>4.9445713551092263</v>
      </c>
      <c r="K444">
        <v>10.72875</v>
      </c>
      <c r="L444">
        <f>51.5*(5280/3600)</f>
        <v>75.533333333333331</v>
      </c>
      <c r="M444" s="2"/>
      <c r="N444" s="3"/>
      <c r="O444" s="2"/>
      <c r="P444" s="4"/>
    </row>
    <row r="445" spans="1:16" ht="15.6" x14ac:dyDescent="0.3">
      <c r="A445" t="s">
        <v>111</v>
      </c>
      <c r="B445">
        <v>13.47</v>
      </c>
      <c r="C445">
        <v>460</v>
      </c>
      <c r="D445" t="s">
        <v>51</v>
      </c>
      <c r="E445">
        <v>22.2</v>
      </c>
      <c r="F445">
        <v>9058</v>
      </c>
      <c r="G445">
        <v>54.91</v>
      </c>
      <c r="H445">
        <v>1218.9000000000001</v>
      </c>
      <c r="I445">
        <f t="shared" si="15"/>
        <v>4.9224710804824019</v>
      </c>
      <c r="J445">
        <f t="shared" si="14"/>
        <v>4.9220591926838519</v>
      </c>
      <c r="K445">
        <v>11.202500000000001</v>
      </c>
      <c r="L445">
        <f>60*(5280/3600)</f>
        <v>88</v>
      </c>
      <c r="M445" s="2"/>
      <c r="N445" s="3"/>
      <c r="O445" s="2"/>
      <c r="P445" s="4"/>
    </row>
    <row r="446" spans="1:16" ht="15.6" x14ac:dyDescent="0.3">
      <c r="A446" t="s">
        <v>111</v>
      </c>
      <c r="B446">
        <v>13.47</v>
      </c>
      <c r="C446">
        <v>460</v>
      </c>
      <c r="D446" t="s">
        <v>16</v>
      </c>
      <c r="E446">
        <v>22.2</v>
      </c>
      <c r="F446">
        <v>8899</v>
      </c>
      <c r="G446">
        <v>61.99</v>
      </c>
      <c r="H446">
        <v>1376.1</v>
      </c>
      <c r="I446">
        <f t="shared" si="15"/>
        <v>4.3601482450403317</v>
      </c>
      <c r="J446">
        <f t="shared" si="14"/>
        <v>4.3599011174426563</v>
      </c>
      <c r="K446">
        <v>10.686875000000001</v>
      </c>
      <c r="L446">
        <f>67.4*(5280/3600)</f>
        <v>98.853333333333339</v>
      </c>
      <c r="M446" s="2"/>
      <c r="N446" s="3"/>
      <c r="O446" s="2"/>
      <c r="P446" s="4"/>
    </row>
    <row r="447" spans="1:16" ht="15.6" x14ac:dyDescent="0.3">
      <c r="A447" t="s">
        <v>111</v>
      </c>
      <c r="B447">
        <v>13.47</v>
      </c>
      <c r="C447">
        <v>460</v>
      </c>
      <c r="D447" t="s">
        <v>54</v>
      </c>
      <c r="E447">
        <v>22.2</v>
      </c>
      <c r="F447">
        <v>9323</v>
      </c>
      <c r="G447">
        <v>43.43</v>
      </c>
      <c r="H447">
        <v>964.1</v>
      </c>
      <c r="I447">
        <f t="shared" si="15"/>
        <v>6.223420806970231</v>
      </c>
      <c r="J447">
        <f t="shared" si="14"/>
        <v>6.223123883727153</v>
      </c>
      <c r="K447">
        <v>8.5231250000000003</v>
      </c>
      <c r="L447">
        <f>70.6*(5280/3600)</f>
        <v>103.54666666666665</v>
      </c>
      <c r="M447" s="5"/>
      <c r="N447" s="3"/>
      <c r="O447" s="5"/>
      <c r="P447" s="4"/>
    </row>
    <row r="448" spans="1:16" ht="15.6" x14ac:dyDescent="0.3">
      <c r="A448" t="s">
        <v>111</v>
      </c>
      <c r="B448">
        <v>13.47</v>
      </c>
      <c r="C448">
        <v>460</v>
      </c>
      <c r="D448" t="s">
        <v>25</v>
      </c>
      <c r="E448">
        <v>22.2</v>
      </c>
      <c r="F448">
        <v>9203</v>
      </c>
      <c r="G448">
        <v>49.33</v>
      </c>
      <c r="H448">
        <v>1095</v>
      </c>
      <c r="I448">
        <f t="shared" si="15"/>
        <v>5.4794520547945202</v>
      </c>
      <c r="J448">
        <f t="shared" si="14"/>
        <v>5.4788216150470364</v>
      </c>
      <c r="K448">
        <v>9.59</v>
      </c>
      <c r="L448">
        <f>69.7*(5280/3600)</f>
        <v>102.22666666666666</v>
      </c>
      <c r="M448" s="5"/>
      <c r="N448" s="3"/>
      <c r="O448" s="5"/>
      <c r="P448" s="4"/>
    </row>
    <row r="449" spans="1:16" ht="15.6" x14ac:dyDescent="0.3">
      <c r="A449" t="s">
        <v>111</v>
      </c>
      <c r="B449">
        <v>13.47</v>
      </c>
      <c r="C449">
        <v>460</v>
      </c>
      <c r="D449" t="s">
        <v>26</v>
      </c>
      <c r="E449">
        <v>22.2</v>
      </c>
      <c r="F449">
        <v>8995</v>
      </c>
      <c r="G449">
        <v>58.5</v>
      </c>
      <c r="H449">
        <v>1298.5999999999999</v>
      </c>
      <c r="I449">
        <f t="shared" si="15"/>
        <v>4.6203603881102726</v>
      </c>
      <c r="J449">
        <f t="shared" si="14"/>
        <v>4.6200046200046208</v>
      </c>
      <c r="K449">
        <v>11.488125</v>
      </c>
      <c r="L449">
        <f>59.6*(5280/3600)</f>
        <v>87.413333333333327</v>
      </c>
      <c r="M449" s="5"/>
      <c r="N449" s="3"/>
      <c r="O449" s="5"/>
      <c r="P449" s="4"/>
    </row>
    <row r="450" spans="1:16" ht="15.6" x14ac:dyDescent="0.3">
      <c r="A450" t="s">
        <v>111</v>
      </c>
      <c r="B450">
        <v>13.47</v>
      </c>
      <c r="C450">
        <v>460</v>
      </c>
      <c r="D450" t="s">
        <v>71</v>
      </c>
      <c r="E450">
        <v>29.6</v>
      </c>
      <c r="F450">
        <v>12480</v>
      </c>
      <c r="G450">
        <v>43</v>
      </c>
      <c r="H450">
        <v>1272.7</v>
      </c>
      <c r="I450">
        <f t="shared" si="15"/>
        <v>4.7143867368586472</v>
      </c>
      <c r="J450">
        <f t="shared" si="14"/>
        <v>4.7140163419233181</v>
      </c>
      <c r="K450">
        <v>8.3268749999999994</v>
      </c>
      <c r="L450">
        <f>82.7*(5280/3600)</f>
        <v>121.29333333333332</v>
      </c>
      <c r="M450" s="5"/>
      <c r="N450" s="3"/>
      <c r="O450" s="5"/>
      <c r="P450" s="4"/>
    </row>
    <row r="451" spans="1:16" ht="15.6" x14ac:dyDescent="0.3">
      <c r="A451" t="s">
        <v>111</v>
      </c>
      <c r="B451">
        <v>13.47</v>
      </c>
      <c r="C451">
        <v>460</v>
      </c>
      <c r="D451" t="s">
        <v>72</v>
      </c>
      <c r="E451">
        <v>29.6</v>
      </c>
      <c r="F451">
        <v>12367</v>
      </c>
      <c r="G451">
        <v>47.97</v>
      </c>
      <c r="H451">
        <v>1419.8</v>
      </c>
      <c r="I451">
        <f t="shared" si="15"/>
        <v>4.2259473165234533</v>
      </c>
      <c r="J451">
        <f t="shared" ref="J451:J514" si="16">( ($N$1/E451)/G451)*60</f>
        <v>4.2256139817115423</v>
      </c>
      <c r="K451">
        <v>7.9606250000000003</v>
      </c>
      <c r="L451">
        <f>93.7*(5280/3600)</f>
        <v>137.42666666666665</v>
      </c>
      <c r="M451" s="5"/>
      <c r="N451" s="3"/>
      <c r="O451" s="5"/>
      <c r="P451" s="4"/>
    </row>
    <row r="452" spans="1:16" ht="15.6" x14ac:dyDescent="0.3">
      <c r="A452" t="s">
        <v>111</v>
      </c>
      <c r="B452">
        <v>13.47</v>
      </c>
      <c r="C452">
        <v>460</v>
      </c>
      <c r="D452" t="s">
        <v>56</v>
      </c>
      <c r="E452">
        <v>29.6</v>
      </c>
      <c r="F452">
        <v>12270</v>
      </c>
      <c r="G452">
        <v>51.95</v>
      </c>
      <c r="H452">
        <v>1537.7</v>
      </c>
      <c r="I452">
        <f t="shared" ref="I452:I515" si="17" xml:space="preserve"> ($N$1/H452)*60</f>
        <v>3.9019314560707548</v>
      </c>
      <c r="J452">
        <f t="shared" si="16"/>
        <v>3.901880706500533</v>
      </c>
      <c r="K452">
        <v>8.3243749999999999</v>
      </c>
      <c r="L452">
        <f>98.8*(5280/3600)</f>
        <v>144.90666666666667</v>
      </c>
      <c r="M452" s="5"/>
      <c r="N452" s="3"/>
      <c r="O452" s="5"/>
      <c r="P452" s="4"/>
    </row>
    <row r="453" spans="1:16" ht="15.6" x14ac:dyDescent="0.3">
      <c r="A453" t="s">
        <v>111</v>
      </c>
      <c r="B453">
        <v>13.47</v>
      </c>
      <c r="C453">
        <v>460</v>
      </c>
      <c r="D453" t="s">
        <v>57</v>
      </c>
      <c r="E453">
        <v>29.6</v>
      </c>
      <c r="F453">
        <v>12105</v>
      </c>
      <c r="G453">
        <v>60.91</v>
      </c>
      <c r="H453">
        <v>1803</v>
      </c>
      <c r="I453">
        <f t="shared" si="17"/>
        <v>3.3277870216306158</v>
      </c>
      <c r="J453">
        <f t="shared" si="16"/>
        <v>3.3279051502660102</v>
      </c>
      <c r="K453">
        <v>7.7275</v>
      </c>
      <c r="L453">
        <f>114.6*(5280/3600)</f>
        <v>168.07999999999998</v>
      </c>
      <c r="M453" s="5"/>
      <c r="N453" s="3"/>
      <c r="O453" s="5"/>
      <c r="P453" s="4"/>
    </row>
    <row r="454" spans="1:16" ht="15.6" x14ac:dyDescent="0.3">
      <c r="A454" t="s">
        <v>111</v>
      </c>
      <c r="B454">
        <v>13.47</v>
      </c>
      <c r="C454">
        <v>460</v>
      </c>
      <c r="D454" t="s">
        <v>58</v>
      </c>
      <c r="E454">
        <v>29.6</v>
      </c>
      <c r="F454">
        <v>12170</v>
      </c>
      <c r="G454">
        <v>47.12</v>
      </c>
      <c r="H454">
        <v>1394.8</v>
      </c>
      <c r="I454">
        <f t="shared" si="17"/>
        <v>4.3016919988528821</v>
      </c>
      <c r="J454">
        <f t="shared" si="16"/>
        <v>4.3018400403799388</v>
      </c>
      <c r="K454">
        <v>9.91</v>
      </c>
      <c r="L454">
        <f>69.1*(5280/3600)</f>
        <v>101.34666666666665</v>
      </c>
      <c r="M454" s="5"/>
      <c r="N454" s="3"/>
      <c r="O454" s="5"/>
      <c r="P454" s="4"/>
    </row>
    <row r="455" spans="1:16" ht="15.6" x14ac:dyDescent="0.3">
      <c r="A455" t="s">
        <v>111</v>
      </c>
      <c r="B455">
        <v>13.47</v>
      </c>
      <c r="C455">
        <v>460</v>
      </c>
      <c r="D455" t="s">
        <v>32</v>
      </c>
      <c r="E455">
        <v>29.6</v>
      </c>
      <c r="F455">
        <v>12064</v>
      </c>
      <c r="G455">
        <v>61.75</v>
      </c>
      <c r="H455">
        <v>1827.8</v>
      </c>
      <c r="I455">
        <f t="shared" si="17"/>
        <v>3.2826348615822303</v>
      </c>
      <c r="J455">
        <f t="shared" si="16"/>
        <v>3.2826348615822298</v>
      </c>
      <c r="K455">
        <v>9.4581250000000008</v>
      </c>
      <c r="L455">
        <f>91.4*(5280/3600)</f>
        <v>134.05333333333334</v>
      </c>
      <c r="M455" s="5"/>
      <c r="N455" s="3"/>
      <c r="O455" s="5"/>
      <c r="P455" s="4"/>
    </row>
    <row r="456" spans="1:16" ht="15.6" x14ac:dyDescent="0.3">
      <c r="A456" t="s">
        <v>111</v>
      </c>
      <c r="B456">
        <v>13.47</v>
      </c>
      <c r="C456">
        <v>460</v>
      </c>
      <c r="D456" t="s">
        <v>59</v>
      </c>
      <c r="E456">
        <v>29.6</v>
      </c>
      <c r="F456">
        <v>12304</v>
      </c>
      <c r="G456">
        <v>51.08</v>
      </c>
      <c r="H456">
        <v>1512</v>
      </c>
      <c r="I456">
        <f t="shared" si="17"/>
        <v>3.9682539682539679</v>
      </c>
      <c r="J456">
        <f t="shared" si="16"/>
        <v>3.9683379542424175</v>
      </c>
      <c r="K456">
        <v>11.790625</v>
      </c>
      <c r="L456">
        <f>64.1*(5280/3600)</f>
        <v>94.013333333333321</v>
      </c>
      <c r="M456" s="5"/>
      <c r="N456" s="3"/>
      <c r="O456" s="5"/>
      <c r="P456" s="4"/>
    </row>
    <row r="457" spans="1:16" ht="15.6" x14ac:dyDescent="0.3">
      <c r="A457" t="s">
        <v>111</v>
      </c>
      <c r="B457">
        <v>13.47</v>
      </c>
      <c r="C457">
        <v>460</v>
      </c>
      <c r="D457" t="s">
        <v>61</v>
      </c>
      <c r="E457">
        <v>29.6</v>
      </c>
      <c r="F457">
        <v>12552</v>
      </c>
      <c r="G457">
        <v>43.43</v>
      </c>
      <c r="H457">
        <v>1285.5</v>
      </c>
      <c r="I457">
        <f t="shared" si="17"/>
        <v>4.6674445740956827</v>
      </c>
      <c r="J457">
        <f t="shared" si="16"/>
        <v>4.6673429127953643</v>
      </c>
      <c r="K457">
        <v>6.5668749999999996</v>
      </c>
      <c r="L457">
        <f>95.1*(5280/3600)</f>
        <v>139.47999999999999</v>
      </c>
      <c r="M457" s="5"/>
      <c r="N457" s="3"/>
      <c r="O457" s="5"/>
      <c r="P457" s="4"/>
    </row>
    <row r="458" spans="1:16" ht="15.6" x14ac:dyDescent="0.3">
      <c r="A458" t="s">
        <v>111</v>
      </c>
      <c r="B458">
        <v>13.47</v>
      </c>
      <c r="C458">
        <v>460</v>
      </c>
      <c r="D458" t="s">
        <v>62</v>
      </c>
      <c r="E458">
        <v>29.6</v>
      </c>
      <c r="F458">
        <v>12429</v>
      </c>
      <c r="G458">
        <v>40.299999999999997</v>
      </c>
      <c r="H458">
        <v>1192.8</v>
      </c>
      <c r="I458">
        <f t="shared" si="17"/>
        <v>5.0301810865191143</v>
      </c>
      <c r="J458">
        <f t="shared" si="16"/>
        <v>5.0298437395211586</v>
      </c>
      <c r="K458">
        <v>8.3012499999999996</v>
      </c>
      <c r="L458">
        <f>70.6*(5280/3600)</f>
        <v>103.54666666666665</v>
      </c>
      <c r="M458" s="5"/>
      <c r="N458" s="3"/>
      <c r="O458" s="5"/>
      <c r="P458" s="4"/>
    </row>
    <row r="459" spans="1:16" ht="15.6" x14ac:dyDescent="0.3">
      <c r="A459" t="s">
        <v>111</v>
      </c>
      <c r="B459">
        <v>13.47</v>
      </c>
      <c r="C459">
        <v>460</v>
      </c>
      <c r="D459" t="s">
        <v>63</v>
      </c>
      <c r="E459">
        <v>29.6</v>
      </c>
      <c r="F459">
        <v>12122</v>
      </c>
      <c r="G459">
        <v>48.93</v>
      </c>
      <c r="H459">
        <v>1448.3</v>
      </c>
      <c r="I459">
        <f t="shared" si="17"/>
        <v>4.1427880963888706</v>
      </c>
      <c r="J459">
        <f t="shared" si="16"/>
        <v>4.1427080053689487</v>
      </c>
      <c r="K459">
        <v>8.9474999999999998</v>
      </c>
      <c r="L459">
        <f>80.4*(5280/3600)</f>
        <v>117.92</v>
      </c>
      <c r="M459" s="5"/>
      <c r="N459" s="3"/>
      <c r="O459" s="5"/>
      <c r="P459" s="4"/>
    </row>
    <row r="460" spans="1:16" ht="15.6" x14ac:dyDescent="0.3">
      <c r="A460" t="s">
        <v>111</v>
      </c>
      <c r="B460">
        <v>13.47</v>
      </c>
      <c r="C460">
        <v>460</v>
      </c>
      <c r="D460" t="s">
        <v>64</v>
      </c>
      <c r="E460">
        <v>29.6</v>
      </c>
      <c r="F460">
        <v>12052</v>
      </c>
      <c r="G460">
        <v>62.29</v>
      </c>
      <c r="H460">
        <v>1843.8</v>
      </c>
      <c r="I460">
        <f t="shared" si="17"/>
        <v>3.2541490400260331</v>
      </c>
      <c r="J460">
        <f t="shared" si="16"/>
        <v>3.254177278900348</v>
      </c>
      <c r="K460">
        <v>8.42</v>
      </c>
      <c r="L460">
        <f>91.3*(5280/3600)</f>
        <v>133.90666666666667</v>
      </c>
      <c r="M460" s="5"/>
      <c r="N460" s="3"/>
      <c r="O460" s="5"/>
      <c r="P460" s="4"/>
    </row>
    <row r="461" spans="1:16" ht="15.6" x14ac:dyDescent="0.3">
      <c r="A461" t="s">
        <v>111</v>
      </c>
      <c r="B461">
        <v>13.47</v>
      </c>
      <c r="C461">
        <v>460</v>
      </c>
      <c r="D461" t="s">
        <v>65</v>
      </c>
      <c r="E461">
        <v>29.6</v>
      </c>
      <c r="F461">
        <v>12321</v>
      </c>
      <c r="G461">
        <v>51.15</v>
      </c>
      <c r="H461">
        <v>1513.9</v>
      </c>
      <c r="I461">
        <f t="shared" si="17"/>
        <v>3.9632736640465023</v>
      </c>
      <c r="J461">
        <f t="shared" si="16"/>
        <v>3.9629071887136402</v>
      </c>
      <c r="K461">
        <v>11.218125000000001</v>
      </c>
      <c r="L461">
        <f>70*(5280/3600)</f>
        <v>102.66666666666666</v>
      </c>
      <c r="M461" s="5"/>
      <c r="N461" s="3"/>
      <c r="O461" s="5"/>
      <c r="P461" s="4"/>
    </row>
    <row r="462" spans="1:16" ht="15.6" x14ac:dyDescent="0.3">
      <c r="A462" t="s">
        <v>111</v>
      </c>
      <c r="B462">
        <v>13.47</v>
      </c>
      <c r="C462">
        <v>460</v>
      </c>
      <c r="D462" t="s">
        <v>81</v>
      </c>
      <c r="E462">
        <v>29.6</v>
      </c>
      <c r="F462">
        <v>12540</v>
      </c>
      <c r="G462">
        <v>41.78</v>
      </c>
      <c r="H462">
        <v>1236.8</v>
      </c>
      <c r="I462">
        <f t="shared" si="17"/>
        <v>4.8512289780077626</v>
      </c>
      <c r="J462">
        <f t="shared" si="16"/>
        <v>4.851668327015382</v>
      </c>
      <c r="K462">
        <v>9.1624999999999996</v>
      </c>
      <c r="L462">
        <f>83.1*(5280/3600)</f>
        <v>121.87999999999998</v>
      </c>
      <c r="M462" s="5"/>
      <c r="N462" s="3"/>
      <c r="O462" s="5"/>
      <c r="P462" s="4"/>
    </row>
    <row r="463" spans="1:16" ht="15.6" x14ac:dyDescent="0.3">
      <c r="A463" t="s">
        <v>111</v>
      </c>
      <c r="B463">
        <v>13.47</v>
      </c>
      <c r="C463">
        <v>460</v>
      </c>
      <c r="D463" t="s">
        <v>66</v>
      </c>
      <c r="E463">
        <v>29.6</v>
      </c>
      <c r="F463">
        <v>12230</v>
      </c>
      <c r="G463">
        <v>44.62</v>
      </c>
      <c r="H463">
        <v>1320.8</v>
      </c>
      <c r="I463">
        <f t="shared" si="17"/>
        <v>4.5427013930950944</v>
      </c>
      <c r="J463">
        <f t="shared" si="16"/>
        <v>4.5428664881824901</v>
      </c>
      <c r="K463">
        <v>9.0893750000000004</v>
      </c>
      <c r="L463">
        <f>92.7*(5280/3600)</f>
        <v>135.96</v>
      </c>
      <c r="M463" s="5"/>
      <c r="N463" s="3"/>
      <c r="O463" s="5"/>
      <c r="P463" s="4"/>
    </row>
    <row r="464" spans="1:16" ht="15.6" x14ac:dyDescent="0.3">
      <c r="A464" t="s">
        <v>111</v>
      </c>
      <c r="B464">
        <v>13.47</v>
      </c>
      <c r="C464">
        <v>460</v>
      </c>
      <c r="D464" t="s">
        <v>53</v>
      </c>
      <c r="E464">
        <v>29.6</v>
      </c>
      <c r="F464">
        <v>12370</v>
      </c>
      <c r="G464">
        <v>48.45</v>
      </c>
      <c r="H464">
        <v>1434.2</v>
      </c>
      <c r="I464">
        <f t="shared" si="17"/>
        <v>4.1835169432436201</v>
      </c>
      <c r="J464">
        <f t="shared" si="16"/>
        <v>4.1837503137812728</v>
      </c>
      <c r="K464">
        <v>10.809374999999999</v>
      </c>
      <c r="L464">
        <f>70.3*(5280/3600)</f>
        <v>103.10666666666665</v>
      </c>
      <c r="M464" s="5"/>
      <c r="N464" s="3"/>
      <c r="O464" s="5"/>
      <c r="P464" s="4"/>
    </row>
    <row r="465" spans="1:16" ht="15.6" x14ac:dyDescent="0.3">
      <c r="A465" t="s">
        <v>116</v>
      </c>
      <c r="B465">
        <v>13.47</v>
      </c>
      <c r="C465">
        <v>540</v>
      </c>
      <c r="D465" t="s">
        <v>42</v>
      </c>
      <c r="E465">
        <v>14.8</v>
      </c>
      <c r="F465">
        <v>6922</v>
      </c>
      <c r="G465">
        <v>57.85</v>
      </c>
      <c r="H465">
        <v>856.1</v>
      </c>
      <c r="I465">
        <f t="shared" si="17"/>
        <v>7.008527041233501</v>
      </c>
      <c r="J465">
        <f t="shared" si="16"/>
        <v>7.0078721764115013</v>
      </c>
      <c r="K465">
        <v>5.53125</v>
      </c>
      <c r="L465">
        <f>78.7*(5280/3600)</f>
        <v>115.42666666666666</v>
      </c>
      <c r="M465" s="2"/>
      <c r="N465" s="3"/>
      <c r="O465" s="2"/>
      <c r="P465" s="4"/>
    </row>
    <row r="466" spans="1:16" ht="15.6" x14ac:dyDescent="0.3">
      <c r="A466" t="s">
        <v>116</v>
      </c>
      <c r="B466">
        <v>13.47</v>
      </c>
      <c r="C466">
        <v>540</v>
      </c>
      <c r="D466" t="s">
        <v>1</v>
      </c>
      <c r="E466">
        <v>14.8</v>
      </c>
      <c r="F466">
        <v>6894</v>
      </c>
      <c r="G466">
        <v>58.4</v>
      </c>
      <c r="H466">
        <v>864.3</v>
      </c>
      <c r="I466">
        <f t="shared" si="17"/>
        <v>6.9420340159666782</v>
      </c>
      <c r="J466">
        <f t="shared" si="16"/>
        <v>6.941873380229544</v>
      </c>
      <c r="K466">
        <v>7.7181249999999997</v>
      </c>
      <c r="L466">
        <f>65.3*(5280/3600)</f>
        <v>95.773333333333326</v>
      </c>
      <c r="M466" s="2"/>
      <c r="N466" s="3"/>
      <c r="O466" s="2"/>
      <c r="P466" s="4"/>
    </row>
    <row r="467" spans="1:16" ht="15.6" x14ac:dyDescent="0.3">
      <c r="A467" t="s">
        <v>116</v>
      </c>
      <c r="B467">
        <v>13.47</v>
      </c>
      <c r="C467">
        <v>540</v>
      </c>
      <c r="D467" t="s">
        <v>113</v>
      </c>
      <c r="E467">
        <v>14.8</v>
      </c>
      <c r="F467">
        <v>6989</v>
      </c>
      <c r="G467">
        <v>53.58</v>
      </c>
      <c r="H467">
        <v>793</v>
      </c>
      <c r="I467">
        <f t="shared" si="17"/>
        <v>7.5662042875157631</v>
      </c>
      <c r="J467">
        <f t="shared" si="16"/>
        <v>7.5663569504554946</v>
      </c>
      <c r="K467">
        <v>8.1287500000000001</v>
      </c>
      <c r="L467">
        <f>79.4*(5280/3600)</f>
        <v>116.45333333333333</v>
      </c>
      <c r="M467" s="2"/>
      <c r="N467" s="3"/>
      <c r="O467" s="2"/>
      <c r="P467" s="4"/>
    </row>
    <row r="468" spans="1:16" ht="15.6" x14ac:dyDescent="0.3">
      <c r="A468" t="s">
        <v>116</v>
      </c>
      <c r="B468">
        <v>13.47</v>
      </c>
      <c r="C468">
        <v>540</v>
      </c>
      <c r="D468" t="s">
        <v>2</v>
      </c>
      <c r="E468">
        <v>14.8</v>
      </c>
      <c r="F468">
        <v>7038</v>
      </c>
      <c r="G468">
        <v>50.85</v>
      </c>
      <c r="H468">
        <v>752.6</v>
      </c>
      <c r="I468">
        <f t="shared" si="17"/>
        <v>7.9723624767472758</v>
      </c>
      <c r="J468">
        <f t="shared" si="16"/>
        <v>7.9725743442557597</v>
      </c>
      <c r="K468">
        <v>8.6462500000000002</v>
      </c>
      <c r="L468">
        <f>46.7*(5280/3600)</f>
        <v>68.493333333333339</v>
      </c>
      <c r="M468" s="2"/>
      <c r="N468" s="3"/>
      <c r="O468" s="2"/>
      <c r="P468" s="4"/>
    </row>
    <row r="469" spans="1:16" ht="15.6" x14ac:dyDescent="0.3">
      <c r="A469" t="s">
        <v>116</v>
      </c>
      <c r="B469">
        <v>13.47</v>
      </c>
      <c r="C469">
        <v>540</v>
      </c>
      <c r="D469" t="s">
        <v>3</v>
      </c>
      <c r="E469">
        <v>14.8</v>
      </c>
      <c r="F469">
        <v>6822</v>
      </c>
      <c r="G469">
        <v>62.96</v>
      </c>
      <c r="H469">
        <v>931.7</v>
      </c>
      <c r="I469">
        <f t="shared" si="17"/>
        <v>6.439841150584952</v>
      </c>
      <c r="J469">
        <f t="shared" si="16"/>
        <v>6.4390947491328685</v>
      </c>
      <c r="K469">
        <v>9.2087500000000002</v>
      </c>
      <c r="L469">
        <f>51.7*(5280/3600)</f>
        <v>75.826666666666668</v>
      </c>
      <c r="M469" s="2"/>
      <c r="N469" s="3"/>
      <c r="O469" s="2"/>
      <c r="P469" s="4"/>
    </row>
    <row r="470" spans="1:16" ht="15.6" x14ac:dyDescent="0.3">
      <c r="A470" t="s">
        <v>116</v>
      </c>
      <c r="B470">
        <v>13.47</v>
      </c>
      <c r="C470">
        <v>540</v>
      </c>
      <c r="D470" t="s">
        <v>4</v>
      </c>
      <c r="E470">
        <v>14.8</v>
      </c>
      <c r="F470">
        <v>6675</v>
      </c>
      <c r="G470">
        <v>70.02</v>
      </c>
      <c r="H470">
        <v>1036.3</v>
      </c>
      <c r="I470">
        <f t="shared" si="17"/>
        <v>5.7898292000385991</v>
      </c>
      <c r="J470">
        <f t="shared" si="16"/>
        <v>5.789851548206304</v>
      </c>
      <c r="K470">
        <v>9.3475000000000001</v>
      </c>
      <c r="L470">
        <f>63.2*(5280/3600)</f>
        <v>92.693333333333328</v>
      </c>
      <c r="M470" s="2"/>
      <c r="N470" s="3"/>
      <c r="O470" s="2"/>
      <c r="P470" s="4"/>
    </row>
    <row r="471" spans="1:16" ht="15.6" x14ac:dyDescent="0.3">
      <c r="A471" t="s">
        <v>116</v>
      </c>
      <c r="B471">
        <v>13.47</v>
      </c>
      <c r="C471">
        <v>540</v>
      </c>
      <c r="D471" t="s">
        <v>6</v>
      </c>
      <c r="E471">
        <v>14.8</v>
      </c>
      <c r="F471">
        <v>6951</v>
      </c>
      <c r="G471">
        <v>56.26</v>
      </c>
      <c r="H471">
        <v>832.6</v>
      </c>
      <c r="I471">
        <f t="shared" si="17"/>
        <v>7.2063415805909194</v>
      </c>
      <c r="J471">
        <f t="shared" si="16"/>
        <v>7.2059261536687762</v>
      </c>
      <c r="K471">
        <v>9.6256249999999994</v>
      </c>
      <c r="L471">
        <f>46.1*(5280/3600)</f>
        <v>67.61333333333333</v>
      </c>
      <c r="M471" s="2"/>
      <c r="N471" s="3"/>
      <c r="O471" s="2"/>
      <c r="P471" s="4"/>
    </row>
    <row r="472" spans="1:16" ht="15.6" x14ac:dyDescent="0.3">
      <c r="A472" t="s">
        <v>116</v>
      </c>
      <c r="B472">
        <v>13.47</v>
      </c>
      <c r="C472">
        <v>540</v>
      </c>
      <c r="D472" t="s">
        <v>7</v>
      </c>
      <c r="E472">
        <v>14.8</v>
      </c>
      <c r="F472">
        <v>6713</v>
      </c>
      <c r="G472">
        <v>69.05</v>
      </c>
      <c r="H472">
        <v>1021.9</v>
      </c>
      <c r="I472">
        <f t="shared" si="17"/>
        <v>5.8714159898228786</v>
      </c>
      <c r="J472">
        <f t="shared" si="16"/>
        <v>5.8711861753136185</v>
      </c>
      <c r="K472">
        <v>10.304375</v>
      </c>
      <c r="L472">
        <f>50.9*(5280/3600)</f>
        <v>74.653333333333322</v>
      </c>
      <c r="M472" s="2"/>
      <c r="N472" s="3"/>
      <c r="O472" s="2"/>
      <c r="P472" s="4"/>
    </row>
    <row r="473" spans="1:16" ht="15.6" x14ac:dyDescent="0.3">
      <c r="A473" t="s">
        <v>116</v>
      </c>
      <c r="B473">
        <v>13.47</v>
      </c>
      <c r="C473">
        <v>540</v>
      </c>
      <c r="D473" t="s">
        <v>49</v>
      </c>
      <c r="E473">
        <v>14.8</v>
      </c>
      <c r="F473">
        <v>6981</v>
      </c>
      <c r="G473">
        <v>48.18</v>
      </c>
      <c r="H473">
        <v>713.1</v>
      </c>
      <c r="I473">
        <f t="shared" si="17"/>
        <v>8.4139671855279765</v>
      </c>
      <c r="J473">
        <f t="shared" si="16"/>
        <v>8.4143919760358106</v>
      </c>
      <c r="K473">
        <v>6.1268750000000001</v>
      </c>
      <c r="L473">
        <f>66.1*(5280/3600)</f>
        <v>96.946666666666658</v>
      </c>
      <c r="M473" s="2"/>
      <c r="N473" s="3"/>
      <c r="O473" s="2"/>
      <c r="P473" s="4"/>
    </row>
    <row r="474" spans="1:16" ht="15.6" x14ac:dyDescent="0.3">
      <c r="A474" t="s">
        <v>116</v>
      </c>
      <c r="B474">
        <v>13.47</v>
      </c>
      <c r="C474">
        <v>540</v>
      </c>
      <c r="D474" t="s">
        <v>17</v>
      </c>
      <c r="E474">
        <v>14.8</v>
      </c>
      <c r="F474">
        <v>6902</v>
      </c>
      <c r="G474">
        <v>58.25</v>
      </c>
      <c r="H474">
        <v>862.1</v>
      </c>
      <c r="I474">
        <f t="shared" si="17"/>
        <v>6.9597494490198351</v>
      </c>
      <c r="J474">
        <f t="shared" si="16"/>
        <v>6.9597494490198351</v>
      </c>
      <c r="K474">
        <v>6.9318749999999998</v>
      </c>
      <c r="L474">
        <f>65.4*(5280/3600)</f>
        <v>95.92</v>
      </c>
      <c r="M474" s="2"/>
      <c r="N474" s="3"/>
      <c r="O474" s="2"/>
      <c r="P474" s="4"/>
    </row>
    <row r="475" spans="1:16" ht="15.6" x14ac:dyDescent="0.3">
      <c r="A475" t="s">
        <v>116</v>
      </c>
      <c r="B475">
        <v>13.47</v>
      </c>
      <c r="C475">
        <v>540</v>
      </c>
      <c r="D475" t="s">
        <v>52</v>
      </c>
      <c r="E475">
        <v>14.8</v>
      </c>
      <c r="F475">
        <v>7219</v>
      </c>
      <c r="G475">
        <v>44.72</v>
      </c>
      <c r="H475">
        <v>661.9</v>
      </c>
      <c r="I475">
        <f t="shared" si="17"/>
        <v>9.0648134159238563</v>
      </c>
      <c r="J475">
        <f t="shared" si="16"/>
        <v>9.0654160421602263</v>
      </c>
      <c r="K475">
        <v>7.8737500000000002</v>
      </c>
      <c r="L475">
        <f>41*(5280/3600)</f>
        <v>60.133333333333326</v>
      </c>
      <c r="M475" s="2"/>
      <c r="N475" s="3"/>
      <c r="O475" s="2"/>
      <c r="P475" s="4"/>
    </row>
    <row r="476" spans="1:16" ht="15.6" x14ac:dyDescent="0.3">
      <c r="A476" t="s">
        <v>116</v>
      </c>
      <c r="B476">
        <v>13.47</v>
      </c>
      <c r="C476">
        <v>540</v>
      </c>
      <c r="D476" t="s">
        <v>18</v>
      </c>
      <c r="E476">
        <v>14.8</v>
      </c>
      <c r="F476">
        <v>7076</v>
      </c>
      <c r="G476">
        <v>49.34</v>
      </c>
      <c r="H476">
        <v>730.3</v>
      </c>
      <c r="I476">
        <f t="shared" si="17"/>
        <v>8.2158017253183626</v>
      </c>
      <c r="J476">
        <f t="shared" si="16"/>
        <v>8.2165667897325765</v>
      </c>
      <c r="K476">
        <v>8.1181249999999991</v>
      </c>
      <c r="L476">
        <f>46.9*(5280/3600)</f>
        <v>68.786666666666662</v>
      </c>
      <c r="M476" s="2"/>
      <c r="N476" s="3"/>
      <c r="O476" s="2"/>
      <c r="P476" s="4"/>
    </row>
    <row r="477" spans="1:16" ht="15.6" x14ac:dyDescent="0.3">
      <c r="A477" t="s">
        <v>116</v>
      </c>
      <c r="B477">
        <v>13.47</v>
      </c>
      <c r="C477">
        <v>540</v>
      </c>
      <c r="D477" t="s">
        <v>19</v>
      </c>
      <c r="E477">
        <v>14.8</v>
      </c>
      <c r="F477">
        <v>6945</v>
      </c>
      <c r="G477">
        <v>58.49</v>
      </c>
      <c r="H477">
        <v>865.7</v>
      </c>
      <c r="I477">
        <f t="shared" si="17"/>
        <v>6.9308074390666512</v>
      </c>
      <c r="J477">
        <f t="shared" si="16"/>
        <v>6.9311917491093409</v>
      </c>
      <c r="K477">
        <v>8.6549999999999994</v>
      </c>
      <c r="L477">
        <f>52.6*(5280/3600)</f>
        <v>77.146666666666661</v>
      </c>
      <c r="M477" s="2"/>
      <c r="N477" s="3"/>
      <c r="O477" s="2"/>
      <c r="P477" s="4"/>
    </row>
    <row r="478" spans="1:16" ht="15.6" x14ac:dyDescent="0.3">
      <c r="A478" t="s">
        <v>116</v>
      </c>
      <c r="B478">
        <v>13.47</v>
      </c>
      <c r="C478">
        <v>540</v>
      </c>
      <c r="D478" t="s">
        <v>20</v>
      </c>
      <c r="E478">
        <v>14.8</v>
      </c>
      <c r="F478">
        <v>6789</v>
      </c>
      <c r="G478">
        <v>66.239999999999995</v>
      </c>
      <c r="H478">
        <v>980.3</v>
      </c>
      <c r="I478">
        <f t="shared" si="17"/>
        <v>6.120575334081404</v>
      </c>
      <c r="J478">
        <f t="shared" si="16"/>
        <v>6.1202506854680765</v>
      </c>
      <c r="K478">
        <v>9.3062500000000004</v>
      </c>
      <c r="L478">
        <f>64.3*(5280/3600)</f>
        <v>94.306666666666658</v>
      </c>
      <c r="M478" s="2"/>
      <c r="N478" s="3"/>
      <c r="O478" s="2"/>
      <c r="P478" s="4"/>
    </row>
    <row r="479" spans="1:16" ht="15.6" x14ac:dyDescent="0.3">
      <c r="A479" t="s">
        <v>116</v>
      </c>
      <c r="B479">
        <v>13.47</v>
      </c>
      <c r="C479">
        <v>540</v>
      </c>
      <c r="D479" t="s">
        <v>21</v>
      </c>
      <c r="E479">
        <v>14.8</v>
      </c>
      <c r="F479">
        <v>6902</v>
      </c>
      <c r="G479">
        <v>58.03</v>
      </c>
      <c r="H479">
        <v>858.8</v>
      </c>
      <c r="I479">
        <f t="shared" si="17"/>
        <v>6.9864927806241273</v>
      </c>
      <c r="J479">
        <f t="shared" si="16"/>
        <v>6.9861348510323173</v>
      </c>
      <c r="K479">
        <v>9.0762499999999999</v>
      </c>
      <c r="L479">
        <f>39.2*(5280/3600)</f>
        <v>57.493333333333332</v>
      </c>
      <c r="M479" s="2"/>
      <c r="N479" s="3"/>
      <c r="O479" s="2"/>
      <c r="P479" s="4"/>
    </row>
    <row r="480" spans="1:16" ht="15.6" x14ac:dyDescent="0.3">
      <c r="A480" t="s">
        <v>116</v>
      </c>
      <c r="B480">
        <v>13.47</v>
      </c>
      <c r="C480">
        <v>540</v>
      </c>
      <c r="D480" t="s">
        <v>22</v>
      </c>
      <c r="E480">
        <v>14.8</v>
      </c>
      <c r="F480">
        <v>6800</v>
      </c>
      <c r="G480">
        <v>66.3</v>
      </c>
      <c r="H480">
        <v>981.3</v>
      </c>
      <c r="I480">
        <f t="shared" si="17"/>
        <v>6.1143381228981966</v>
      </c>
      <c r="J480">
        <f t="shared" si="16"/>
        <v>6.114711997064938</v>
      </c>
      <c r="K480">
        <v>10.11375</v>
      </c>
      <c r="L480">
        <f>51.5*(5280/3600)</f>
        <v>75.533333333333331</v>
      </c>
      <c r="M480" s="2"/>
      <c r="N480" s="3"/>
      <c r="O480" s="2"/>
      <c r="P480" s="4"/>
    </row>
    <row r="481" spans="1:16" ht="15.6" x14ac:dyDescent="0.3">
      <c r="A481" t="s">
        <v>116</v>
      </c>
      <c r="B481">
        <v>13.47</v>
      </c>
      <c r="C481">
        <v>540</v>
      </c>
      <c r="D481" t="s">
        <v>27</v>
      </c>
      <c r="E481">
        <v>14.8</v>
      </c>
      <c r="F481">
        <v>7008</v>
      </c>
      <c r="G481">
        <v>52.63</v>
      </c>
      <c r="H481">
        <v>778.9</v>
      </c>
      <c r="I481">
        <f t="shared" si="17"/>
        <v>7.7031711387854678</v>
      </c>
      <c r="J481">
        <f t="shared" si="16"/>
        <v>7.7029337907164237</v>
      </c>
      <c r="K481">
        <v>8.0956250000000001</v>
      </c>
      <c r="L481">
        <f>59.7*(5280/3600)</f>
        <v>87.56</v>
      </c>
      <c r="M481" s="2"/>
      <c r="N481" s="3"/>
      <c r="O481" s="2"/>
      <c r="P481" s="4"/>
    </row>
    <row r="482" spans="1:16" ht="15.6" x14ac:dyDescent="0.3">
      <c r="A482" t="s">
        <v>116</v>
      </c>
      <c r="B482">
        <v>13.47</v>
      </c>
      <c r="C482">
        <v>540</v>
      </c>
      <c r="D482" t="s">
        <v>28</v>
      </c>
      <c r="E482">
        <v>14.8</v>
      </c>
      <c r="F482">
        <v>6963</v>
      </c>
      <c r="G482">
        <v>54.78</v>
      </c>
      <c r="H482">
        <v>810.8</v>
      </c>
      <c r="I482">
        <f t="shared" si="17"/>
        <v>7.4000986679822409</v>
      </c>
      <c r="J482">
        <f t="shared" si="16"/>
        <v>7.4006098102483637</v>
      </c>
      <c r="K482">
        <v>8.6024999999999991</v>
      </c>
      <c r="L482">
        <f>46.2*(5280/3600)</f>
        <v>67.760000000000005</v>
      </c>
      <c r="M482" s="2"/>
      <c r="N482" s="3"/>
      <c r="O482" s="2"/>
      <c r="P482" s="4"/>
    </row>
    <row r="483" spans="1:16" ht="15.6" x14ac:dyDescent="0.3">
      <c r="A483" t="s">
        <v>116</v>
      </c>
      <c r="B483">
        <v>13.47</v>
      </c>
      <c r="C483">
        <v>540</v>
      </c>
      <c r="D483" t="s">
        <v>29</v>
      </c>
      <c r="E483">
        <v>14.8</v>
      </c>
      <c r="F483">
        <v>6796</v>
      </c>
      <c r="G483">
        <v>64.41</v>
      </c>
      <c r="H483">
        <v>953.3</v>
      </c>
      <c r="I483">
        <f t="shared" si="17"/>
        <v>6.2939263610615761</v>
      </c>
      <c r="J483">
        <f t="shared" si="16"/>
        <v>6.2941376402019156</v>
      </c>
      <c r="K483">
        <v>9.8812499999999996</v>
      </c>
      <c r="L483">
        <f>51.5*(5280/3600)</f>
        <v>75.533333333333331</v>
      </c>
      <c r="M483" s="2"/>
      <c r="N483" s="3"/>
      <c r="O483" s="2"/>
      <c r="P483" s="4"/>
    </row>
    <row r="484" spans="1:16" ht="15.6" x14ac:dyDescent="0.3">
      <c r="A484" t="s">
        <v>116</v>
      </c>
      <c r="B484">
        <v>13.47</v>
      </c>
      <c r="C484">
        <v>540</v>
      </c>
      <c r="D484" t="s">
        <v>33</v>
      </c>
      <c r="E484">
        <v>18.5</v>
      </c>
      <c r="F484">
        <v>8975</v>
      </c>
      <c r="G484">
        <v>45.15</v>
      </c>
      <c r="H484">
        <v>835.2</v>
      </c>
      <c r="I484">
        <f t="shared" si="17"/>
        <v>7.1839080459770113</v>
      </c>
      <c r="J484">
        <f t="shared" si="16"/>
        <v>7.1832629972164854</v>
      </c>
      <c r="K484">
        <v>5.7675000000000001</v>
      </c>
      <c r="L484">
        <f>85*(5280/3600)</f>
        <v>124.66666666666666</v>
      </c>
      <c r="M484" s="2"/>
      <c r="N484" s="3"/>
      <c r="O484" s="2"/>
      <c r="P484" s="4"/>
    </row>
    <row r="485" spans="1:16" ht="15.6" x14ac:dyDescent="0.3">
      <c r="A485" t="s">
        <v>116</v>
      </c>
      <c r="B485">
        <v>13.47</v>
      </c>
      <c r="C485">
        <v>540</v>
      </c>
      <c r="D485" t="s">
        <v>34</v>
      </c>
      <c r="E485">
        <v>18.5</v>
      </c>
      <c r="F485">
        <v>8843</v>
      </c>
      <c r="G485">
        <v>51.31</v>
      </c>
      <c r="H485">
        <v>949.3</v>
      </c>
      <c r="I485">
        <f t="shared" si="17"/>
        <v>6.32044664489624</v>
      </c>
      <c r="J485">
        <f t="shared" si="16"/>
        <v>6.320879445026784</v>
      </c>
      <c r="K485">
        <v>5.3768750000000001</v>
      </c>
      <c r="L485">
        <f>100.5*(5280/3600)</f>
        <v>147.39999999999998</v>
      </c>
      <c r="M485" s="2"/>
      <c r="N485" s="3"/>
      <c r="O485" s="2"/>
      <c r="P485" s="4"/>
    </row>
    <row r="486" spans="1:16" ht="15.6" x14ac:dyDescent="0.3">
      <c r="A486" t="s">
        <v>116</v>
      </c>
      <c r="B486">
        <v>13.47</v>
      </c>
      <c r="C486">
        <v>540</v>
      </c>
      <c r="D486" t="s">
        <v>36</v>
      </c>
      <c r="E486">
        <v>18.5</v>
      </c>
      <c r="F486">
        <v>8956</v>
      </c>
      <c r="G486">
        <v>46.02</v>
      </c>
      <c r="H486">
        <v>851.3</v>
      </c>
      <c r="I486">
        <f t="shared" si="17"/>
        <v>7.048044167743452</v>
      </c>
      <c r="J486">
        <f t="shared" si="16"/>
        <v>7.0474646745833178</v>
      </c>
      <c r="K486">
        <v>7.3987499999999997</v>
      </c>
      <c r="L486">
        <f>67.8*(5280/3600)</f>
        <v>99.439999999999984</v>
      </c>
      <c r="M486" s="2"/>
      <c r="N486" s="3"/>
      <c r="O486" s="2"/>
      <c r="P486" s="4"/>
    </row>
    <row r="487" spans="1:16" ht="15.6" x14ac:dyDescent="0.3">
      <c r="A487" t="s">
        <v>116</v>
      </c>
      <c r="B487">
        <v>13.47</v>
      </c>
      <c r="C487">
        <v>540</v>
      </c>
      <c r="D487" t="s">
        <v>37</v>
      </c>
      <c r="E487">
        <v>18.5</v>
      </c>
      <c r="F487">
        <v>8616</v>
      </c>
      <c r="G487">
        <v>63.21</v>
      </c>
      <c r="H487">
        <v>1169.3</v>
      </c>
      <c r="I487">
        <f t="shared" si="17"/>
        <v>5.1312751218677848</v>
      </c>
      <c r="J487">
        <f t="shared" si="16"/>
        <v>5.1309021408689182</v>
      </c>
      <c r="K487">
        <v>7.0237499999999997</v>
      </c>
      <c r="L487">
        <f>81.6*(5280/3600)</f>
        <v>119.67999999999998</v>
      </c>
      <c r="M487" s="2"/>
      <c r="N487" s="3"/>
      <c r="O487" s="2"/>
      <c r="P487" s="4"/>
    </row>
    <row r="488" spans="1:16" ht="15.6" x14ac:dyDescent="0.3">
      <c r="A488" t="s">
        <v>116</v>
      </c>
      <c r="B488">
        <v>13.47</v>
      </c>
      <c r="C488">
        <v>540</v>
      </c>
      <c r="D488" t="s">
        <v>39</v>
      </c>
      <c r="E488">
        <v>18.5</v>
      </c>
      <c r="F488">
        <v>8795</v>
      </c>
      <c r="G488">
        <v>53.98</v>
      </c>
      <c r="H488">
        <v>998.6</v>
      </c>
      <c r="I488">
        <f t="shared" si="17"/>
        <v>6.0084117764870815</v>
      </c>
      <c r="J488">
        <f t="shared" si="16"/>
        <v>6.0082312768492834</v>
      </c>
      <c r="K488">
        <v>8.7524999999999995</v>
      </c>
      <c r="L488">
        <f>58.3*(5280/3600)</f>
        <v>85.506666666666661</v>
      </c>
      <c r="M488" s="2"/>
      <c r="N488" s="3"/>
      <c r="O488" s="2"/>
      <c r="P488" s="4"/>
    </row>
    <row r="489" spans="1:16" ht="15.6" x14ac:dyDescent="0.3">
      <c r="A489" t="s">
        <v>116</v>
      </c>
      <c r="B489">
        <v>13.47</v>
      </c>
      <c r="C489">
        <v>540</v>
      </c>
      <c r="D489" t="s">
        <v>40</v>
      </c>
      <c r="E489">
        <v>18.5</v>
      </c>
      <c r="F489">
        <v>8725</v>
      </c>
      <c r="G489">
        <v>57.46</v>
      </c>
      <c r="H489">
        <v>1063</v>
      </c>
      <c r="I489">
        <f t="shared" si="17"/>
        <v>5.6444026340545621</v>
      </c>
      <c r="J489">
        <f t="shared" si="16"/>
        <v>5.6443495357522506</v>
      </c>
      <c r="K489">
        <v>8.9462499999999991</v>
      </c>
      <c r="L489">
        <f>70.2*(5280/3600)</f>
        <v>102.96</v>
      </c>
      <c r="M489" s="2"/>
      <c r="N489" s="3"/>
      <c r="O489" s="2"/>
      <c r="P489" s="4"/>
    </row>
    <row r="490" spans="1:16" ht="15.6" x14ac:dyDescent="0.3">
      <c r="A490" t="s">
        <v>116</v>
      </c>
      <c r="B490">
        <v>13.47</v>
      </c>
      <c r="C490">
        <v>540</v>
      </c>
      <c r="D490" t="s">
        <v>41</v>
      </c>
      <c r="E490">
        <v>18.5</v>
      </c>
      <c r="F490">
        <v>8749</v>
      </c>
      <c r="G490">
        <v>56.97</v>
      </c>
      <c r="H490">
        <v>1053.9000000000001</v>
      </c>
      <c r="I490">
        <f t="shared" si="17"/>
        <v>5.6931397665812691</v>
      </c>
      <c r="J490">
        <f t="shared" si="16"/>
        <v>5.6928966881573517</v>
      </c>
      <c r="K490">
        <v>8.8468750000000007</v>
      </c>
      <c r="L490">
        <f>82.9*(5280/3600)</f>
        <v>121.58666666666667</v>
      </c>
      <c r="M490" s="2"/>
      <c r="N490" s="3"/>
      <c r="O490" s="2"/>
      <c r="P490" s="4"/>
    </row>
    <row r="491" spans="1:16" ht="15.6" x14ac:dyDescent="0.3">
      <c r="A491" t="s">
        <v>116</v>
      </c>
      <c r="B491">
        <v>13.47</v>
      </c>
      <c r="C491">
        <v>540</v>
      </c>
      <c r="D491" t="s">
        <v>43</v>
      </c>
      <c r="E491">
        <v>18.5</v>
      </c>
      <c r="F491">
        <v>8721</v>
      </c>
      <c r="G491">
        <v>57.3</v>
      </c>
      <c r="H491">
        <v>1060</v>
      </c>
      <c r="I491">
        <f t="shared" si="17"/>
        <v>5.6603773584905666</v>
      </c>
      <c r="J491">
        <f t="shared" si="16"/>
        <v>5.660110372152257</v>
      </c>
      <c r="K491">
        <v>10.240625</v>
      </c>
      <c r="L491">
        <f>49.6*(5280/3600)</f>
        <v>72.74666666666667</v>
      </c>
      <c r="M491" s="2"/>
      <c r="N491" s="3"/>
      <c r="O491" s="2"/>
      <c r="P491" s="4"/>
    </row>
    <row r="492" spans="1:16" ht="15.6" x14ac:dyDescent="0.3">
      <c r="A492" t="s">
        <v>116</v>
      </c>
      <c r="B492">
        <v>13.47</v>
      </c>
      <c r="C492">
        <v>540</v>
      </c>
      <c r="D492" t="s">
        <v>44</v>
      </c>
      <c r="E492">
        <v>18.5</v>
      </c>
      <c r="F492">
        <v>8755</v>
      </c>
      <c r="G492">
        <v>55.64</v>
      </c>
      <c r="H492">
        <v>1029.3</v>
      </c>
      <c r="I492">
        <f t="shared" si="17"/>
        <v>5.829204313611192</v>
      </c>
      <c r="J492">
        <f t="shared" si="16"/>
        <v>5.8289777915946139</v>
      </c>
      <c r="K492">
        <v>10.17</v>
      </c>
      <c r="L492">
        <f>58*(5280/3600)</f>
        <v>85.066666666666663</v>
      </c>
      <c r="M492" s="2"/>
      <c r="N492" s="3"/>
      <c r="O492" s="2"/>
      <c r="P492" s="4"/>
    </row>
    <row r="493" spans="1:16" ht="15.6" x14ac:dyDescent="0.3">
      <c r="A493" t="s">
        <v>116</v>
      </c>
      <c r="B493">
        <v>13.47</v>
      </c>
      <c r="C493">
        <v>540</v>
      </c>
      <c r="D493" t="s">
        <v>0</v>
      </c>
      <c r="E493">
        <v>18.5</v>
      </c>
      <c r="F493">
        <v>8646</v>
      </c>
      <c r="G493">
        <v>61.7</v>
      </c>
      <c r="H493">
        <v>1141.4000000000001</v>
      </c>
      <c r="I493">
        <f t="shared" si="17"/>
        <v>5.2567022954266678</v>
      </c>
      <c r="J493">
        <f t="shared" si="16"/>
        <v>5.2564720311884008</v>
      </c>
      <c r="K493">
        <v>10.115</v>
      </c>
      <c r="L493">
        <f>65.5*(5280/3600)</f>
        <v>96.066666666666663</v>
      </c>
      <c r="M493" s="2"/>
      <c r="N493" s="3"/>
      <c r="O493" s="2"/>
      <c r="P493" s="4"/>
    </row>
    <row r="494" spans="1:16" ht="15.6" x14ac:dyDescent="0.3">
      <c r="A494" t="s">
        <v>116</v>
      </c>
      <c r="B494">
        <v>13.47</v>
      </c>
      <c r="C494">
        <v>540</v>
      </c>
      <c r="D494" t="s">
        <v>45</v>
      </c>
      <c r="E494">
        <v>18.5</v>
      </c>
      <c r="F494">
        <v>8988</v>
      </c>
      <c r="G494">
        <v>44.9</v>
      </c>
      <c r="H494">
        <v>830.7</v>
      </c>
      <c r="I494">
        <f t="shared" si="17"/>
        <v>7.2228241242325737</v>
      </c>
      <c r="J494">
        <f t="shared" si="16"/>
        <v>7.2232588936375128</v>
      </c>
      <c r="K494">
        <v>6.53125</v>
      </c>
      <c r="L494">
        <f>68.1*(5280/3600)</f>
        <v>99.879999999999981</v>
      </c>
      <c r="M494" s="2"/>
      <c r="N494" s="3"/>
      <c r="O494" s="2"/>
      <c r="P494" s="4"/>
    </row>
    <row r="495" spans="1:16" ht="15.6" x14ac:dyDescent="0.3">
      <c r="A495" t="s">
        <v>116</v>
      </c>
      <c r="B495">
        <v>13.47</v>
      </c>
      <c r="C495">
        <v>540</v>
      </c>
      <c r="D495" t="s">
        <v>46</v>
      </c>
      <c r="E495">
        <v>18.5</v>
      </c>
      <c r="F495">
        <v>8682</v>
      </c>
      <c r="G495">
        <v>60.91</v>
      </c>
      <c r="H495">
        <v>1126.9000000000001</v>
      </c>
      <c r="I495">
        <f t="shared" si="17"/>
        <v>5.3243411127872919</v>
      </c>
      <c r="J495">
        <f t="shared" si="16"/>
        <v>5.324648240425617</v>
      </c>
      <c r="K495">
        <v>6.6531250000000002</v>
      </c>
      <c r="L495">
        <f>82.2*(5280/3600)</f>
        <v>120.56</v>
      </c>
      <c r="M495" s="2"/>
      <c r="N495" s="3"/>
      <c r="O495" s="2"/>
      <c r="P495" s="4"/>
    </row>
    <row r="496" spans="1:16" ht="15.6" x14ac:dyDescent="0.3">
      <c r="A496" t="s">
        <v>116</v>
      </c>
      <c r="B496">
        <v>13.47</v>
      </c>
      <c r="C496">
        <v>540</v>
      </c>
      <c r="D496" t="s">
        <v>48</v>
      </c>
      <c r="E496">
        <v>18.5</v>
      </c>
      <c r="F496">
        <v>8815</v>
      </c>
      <c r="G496">
        <v>53.59</v>
      </c>
      <c r="H496">
        <v>991.3</v>
      </c>
      <c r="I496">
        <f t="shared" si="17"/>
        <v>6.0526581256935348</v>
      </c>
      <c r="J496">
        <f t="shared" si="16"/>
        <v>6.0519560426259433</v>
      </c>
      <c r="K496">
        <v>8.6537500000000005</v>
      </c>
      <c r="L496">
        <f>66.8*(5280/3600)</f>
        <v>97.973333333333329</v>
      </c>
      <c r="M496" s="2"/>
      <c r="N496" s="3"/>
      <c r="O496" s="2"/>
      <c r="P496" s="4"/>
    </row>
    <row r="497" spans="1:16" ht="15.6" x14ac:dyDescent="0.3">
      <c r="A497" t="s">
        <v>116</v>
      </c>
      <c r="B497">
        <v>13.47</v>
      </c>
      <c r="C497">
        <v>540</v>
      </c>
      <c r="D497" t="s">
        <v>50</v>
      </c>
      <c r="E497">
        <v>18.5</v>
      </c>
      <c r="F497">
        <v>8721</v>
      </c>
      <c r="G497">
        <v>57.52</v>
      </c>
      <c r="H497">
        <v>1064.0999999999999</v>
      </c>
      <c r="I497">
        <f t="shared" si="17"/>
        <v>5.6385678037778408</v>
      </c>
      <c r="J497">
        <f t="shared" si="16"/>
        <v>5.6384618276134271</v>
      </c>
      <c r="K497">
        <v>9.8331250000000008</v>
      </c>
      <c r="L497">
        <f>49.6*(5280/3600)</f>
        <v>72.74666666666667</v>
      </c>
      <c r="M497" s="2"/>
      <c r="N497" s="3"/>
      <c r="O497" s="2"/>
      <c r="P497" s="4"/>
    </row>
    <row r="498" spans="1:16" ht="15.6" x14ac:dyDescent="0.3">
      <c r="A498" t="s">
        <v>116</v>
      </c>
      <c r="B498">
        <v>13.47</v>
      </c>
      <c r="C498">
        <v>540</v>
      </c>
      <c r="D498" t="s">
        <v>51</v>
      </c>
      <c r="E498">
        <v>18.5</v>
      </c>
      <c r="F498">
        <v>8702</v>
      </c>
      <c r="G498">
        <v>57.82</v>
      </c>
      <c r="H498">
        <v>1069.7</v>
      </c>
      <c r="I498">
        <f t="shared" si="17"/>
        <v>5.6090492661493876</v>
      </c>
      <c r="J498">
        <f t="shared" si="16"/>
        <v>5.6092065777295801</v>
      </c>
      <c r="K498">
        <v>10.213125</v>
      </c>
      <c r="L498">
        <f>57.7*(5280/3600)</f>
        <v>84.626666666666665</v>
      </c>
      <c r="M498" s="2"/>
      <c r="N498" s="3"/>
      <c r="O498" s="2"/>
      <c r="P498" s="4"/>
    </row>
    <row r="499" spans="1:16" ht="15.6" x14ac:dyDescent="0.3">
      <c r="A499" t="s">
        <v>116</v>
      </c>
      <c r="B499">
        <v>13.47</v>
      </c>
      <c r="C499">
        <v>540</v>
      </c>
      <c r="D499" t="s">
        <v>16</v>
      </c>
      <c r="E499">
        <v>18.5</v>
      </c>
      <c r="F499">
        <v>8574</v>
      </c>
      <c r="G499">
        <v>64.58</v>
      </c>
      <c r="H499">
        <v>1194.8</v>
      </c>
      <c r="I499">
        <f t="shared" si="17"/>
        <v>5.0217609641781049</v>
      </c>
      <c r="J499">
        <f t="shared" si="16"/>
        <v>5.0220551923865644</v>
      </c>
      <c r="K499">
        <v>9.75</v>
      </c>
      <c r="L499">
        <f>65*(5280/3600)</f>
        <v>95.333333333333329</v>
      </c>
      <c r="M499" s="2"/>
      <c r="N499" s="3"/>
      <c r="O499" s="2"/>
      <c r="P499" s="4"/>
    </row>
    <row r="500" spans="1:16" ht="15.6" x14ac:dyDescent="0.3">
      <c r="A500" t="s">
        <v>116</v>
      </c>
      <c r="B500">
        <v>13.47</v>
      </c>
      <c r="C500">
        <v>540</v>
      </c>
      <c r="D500" t="s">
        <v>52</v>
      </c>
      <c r="E500">
        <v>18.5</v>
      </c>
      <c r="F500">
        <v>8587</v>
      </c>
      <c r="G500">
        <v>66.709999999999994</v>
      </c>
      <c r="H500">
        <v>1234.2</v>
      </c>
      <c r="I500">
        <f t="shared" si="17"/>
        <v>4.8614487117160907</v>
      </c>
      <c r="J500">
        <f t="shared" si="16"/>
        <v>4.861704756772963</v>
      </c>
      <c r="K500">
        <v>11.593125000000001</v>
      </c>
      <c r="L500">
        <f>48.8*(5280/3600)</f>
        <v>71.573333333333323</v>
      </c>
      <c r="M500" s="2"/>
      <c r="N500" s="3"/>
      <c r="O500" s="2"/>
      <c r="P500" s="4"/>
    </row>
    <row r="501" spans="1:16" ht="15.6" x14ac:dyDescent="0.3">
      <c r="A501" t="s">
        <v>116</v>
      </c>
      <c r="B501">
        <v>13.47</v>
      </c>
      <c r="C501">
        <v>540</v>
      </c>
      <c r="D501" t="s">
        <v>54</v>
      </c>
      <c r="E501">
        <v>18.5</v>
      </c>
      <c r="F501">
        <v>8963</v>
      </c>
      <c r="G501">
        <v>46.33</v>
      </c>
      <c r="H501">
        <v>857.2</v>
      </c>
      <c r="I501">
        <f t="shared" si="17"/>
        <v>6.9995333644423701</v>
      </c>
      <c r="J501">
        <f t="shared" si="16"/>
        <v>7.0003091803221311</v>
      </c>
      <c r="K501">
        <v>7.835</v>
      </c>
      <c r="L501">
        <f>67.9*(5280/3600)</f>
        <v>99.586666666666673</v>
      </c>
      <c r="M501" s="2"/>
      <c r="N501" s="3"/>
      <c r="O501" s="2"/>
      <c r="P501" s="4"/>
    </row>
    <row r="502" spans="1:16" ht="15.6" x14ac:dyDescent="0.3">
      <c r="A502" t="s">
        <v>116</v>
      </c>
      <c r="B502">
        <v>13.47</v>
      </c>
      <c r="C502">
        <v>540</v>
      </c>
      <c r="D502" t="s">
        <v>25</v>
      </c>
      <c r="E502">
        <v>18.5</v>
      </c>
      <c r="F502">
        <v>8840</v>
      </c>
      <c r="G502">
        <v>52.34</v>
      </c>
      <c r="H502">
        <v>968.3</v>
      </c>
      <c r="I502">
        <f t="shared" si="17"/>
        <v>6.1964267272539502</v>
      </c>
      <c r="J502">
        <f t="shared" si="16"/>
        <v>6.1964907207551452</v>
      </c>
      <c r="K502">
        <v>8.8337500000000002</v>
      </c>
      <c r="L502">
        <f>67*(5280/3600)</f>
        <v>98.266666666666666</v>
      </c>
      <c r="M502" s="2"/>
      <c r="N502" s="3"/>
      <c r="O502" s="2"/>
      <c r="P502" s="4"/>
    </row>
    <row r="503" spans="1:16" ht="15.6" x14ac:dyDescent="0.3">
      <c r="A503" t="s">
        <v>116</v>
      </c>
      <c r="B503">
        <v>13.47</v>
      </c>
      <c r="C503">
        <v>540</v>
      </c>
      <c r="D503" t="s">
        <v>26</v>
      </c>
      <c r="E503">
        <v>18.5</v>
      </c>
      <c r="F503">
        <v>8653</v>
      </c>
      <c r="G503">
        <v>61.98</v>
      </c>
      <c r="H503">
        <v>1146.5999999999999</v>
      </c>
      <c r="I503">
        <f t="shared" si="17"/>
        <v>5.2328623757195185</v>
      </c>
      <c r="J503">
        <f t="shared" si="16"/>
        <v>5.2327254650584756</v>
      </c>
      <c r="K503">
        <v>10.460625</v>
      </c>
      <c r="L503">
        <f>57.4*(5280/3600)</f>
        <v>84.186666666666653</v>
      </c>
      <c r="M503" s="2"/>
      <c r="N503" s="3"/>
      <c r="O503" s="2"/>
      <c r="P503" s="4"/>
    </row>
    <row r="504" spans="1:16" ht="15.6" x14ac:dyDescent="0.3">
      <c r="A504" t="s">
        <v>116</v>
      </c>
      <c r="B504">
        <v>13.47</v>
      </c>
      <c r="C504">
        <v>540</v>
      </c>
      <c r="D504" t="s">
        <v>56</v>
      </c>
      <c r="E504">
        <v>22.2</v>
      </c>
      <c r="F504">
        <v>10861</v>
      </c>
      <c r="G504">
        <v>44.22</v>
      </c>
      <c r="H504">
        <v>981.7</v>
      </c>
      <c r="I504">
        <f t="shared" si="17"/>
        <v>6.1118467963736371</v>
      </c>
      <c r="J504">
        <f t="shared" si="16"/>
        <v>6.1119464104538732</v>
      </c>
      <c r="K504">
        <v>6.444375</v>
      </c>
      <c r="L504">
        <f>87.4*(5280/3600)</f>
        <v>128.18666666666667</v>
      </c>
      <c r="M504" s="2"/>
      <c r="N504" s="3"/>
      <c r="O504" s="2"/>
      <c r="P504" s="4"/>
    </row>
    <row r="505" spans="1:16" ht="15.6" x14ac:dyDescent="0.3">
      <c r="A505" t="s">
        <v>116</v>
      </c>
      <c r="B505">
        <v>13.47</v>
      </c>
      <c r="C505">
        <v>540</v>
      </c>
      <c r="D505" t="s">
        <v>57</v>
      </c>
      <c r="E505">
        <v>22.2</v>
      </c>
      <c r="F505">
        <v>10704</v>
      </c>
      <c r="G505">
        <v>51.49</v>
      </c>
      <c r="H505">
        <v>1143.0999999999999</v>
      </c>
      <c r="I505">
        <f t="shared" si="17"/>
        <v>5.2488846120199462</v>
      </c>
      <c r="J505">
        <f t="shared" si="16"/>
        <v>5.2489856335263205</v>
      </c>
      <c r="K505">
        <v>6.0475000000000003</v>
      </c>
      <c r="L505">
        <f>101.4*(5280/3600)</f>
        <v>148.72</v>
      </c>
      <c r="M505" s="2"/>
      <c r="N505" s="3"/>
      <c r="O505" s="2"/>
      <c r="P505" s="4"/>
    </row>
    <row r="506" spans="1:16" ht="15.6" x14ac:dyDescent="0.3">
      <c r="A506" t="s">
        <v>116</v>
      </c>
      <c r="B506">
        <v>13.47</v>
      </c>
      <c r="C506">
        <v>540</v>
      </c>
      <c r="D506" t="s">
        <v>32</v>
      </c>
      <c r="E506">
        <v>22.2</v>
      </c>
      <c r="F506">
        <v>10685</v>
      </c>
      <c r="G506">
        <v>52.68</v>
      </c>
      <c r="H506">
        <v>1169.5999999999999</v>
      </c>
      <c r="I506">
        <f t="shared" si="17"/>
        <v>5.1299589603283176</v>
      </c>
      <c r="J506">
        <f t="shared" si="16"/>
        <v>5.1304151531941962</v>
      </c>
      <c r="K506">
        <v>7.3612500000000001</v>
      </c>
      <c r="L506">
        <f>80.9*(5280/3600)</f>
        <v>118.65333333333334</v>
      </c>
      <c r="M506" s="2"/>
      <c r="N506" s="3"/>
      <c r="O506" s="2"/>
      <c r="P506" s="4"/>
    </row>
    <row r="507" spans="1:16" ht="15.6" x14ac:dyDescent="0.3">
      <c r="A507" t="s">
        <v>116</v>
      </c>
      <c r="B507">
        <v>13.47</v>
      </c>
      <c r="C507">
        <v>540</v>
      </c>
      <c r="D507" t="s">
        <v>33</v>
      </c>
      <c r="E507">
        <v>22.2</v>
      </c>
      <c r="F507">
        <v>10380</v>
      </c>
      <c r="G507">
        <v>65.84</v>
      </c>
      <c r="H507">
        <v>1461.7</v>
      </c>
      <c r="I507">
        <f t="shared" si="17"/>
        <v>4.1048094684271739</v>
      </c>
      <c r="J507">
        <f t="shared" si="16"/>
        <v>4.1049555022823556</v>
      </c>
      <c r="K507">
        <v>7.7493749999999997</v>
      </c>
      <c r="L507">
        <f>98.3*(5280/3600)</f>
        <v>144.17333333333332</v>
      </c>
      <c r="M507" s="2"/>
      <c r="N507" s="3"/>
      <c r="O507" s="2"/>
      <c r="P507" s="4"/>
    </row>
    <row r="508" spans="1:16" ht="15.6" x14ac:dyDescent="0.3">
      <c r="A508" t="s">
        <v>116</v>
      </c>
      <c r="B508">
        <v>13.47</v>
      </c>
      <c r="C508">
        <v>540</v>
      </c>
      <c r="D508" t="s">
        <v>59</v>
      </c>
      <c r="E508">
        <v>22.2</v>
      </c>
      <c r="F508">
        <v>10860</v>
      </c>
      <c r="G508">
        <v>44.07</v>
      </c>
      <c r="H508">
        <v>978.3</v>
      </c>
      <c r="I508">
        <f t="shared" si="17"/>
        <v>6.1330880098129414</v>
      </c>
      <c r="J508">
        <f t="shared" si="16"/>
        <v>6.1327494955813542</v>
      </c>
      <c r="K508">
        <v>8.8843750000000004</v>
      </c>
      <c r="L508">
        <f>56.6*(5280/3600)</f>
        <v>83.013333333333335</v>
      </c>
      <c r="M508" s="2"/>
      <c r="N508" s="3"/>
      <c r="O508" s="2"/>
      <c r="P508" s="4"/>
    </row>
    <row r="509" spans="1:16" ht="15.6" x14ac:dyDescent="0.3">
      <c r="A509" t="s">
        <v>116</v>
      </c>
      <c r="B509">
        <v>13.47</v>
      </c>
      <c r="C509">
        <v>540</v>
      </c>
      <c r="D509" t="s">
        <v>35</v>
      </c>
      <c r="E509">
        <v>22.2</v>
      </c>
      <c r="F509">
        <v>10463</v>
      </c>
      <c r="G509">
        <v>63.31</v>
      </c>
      <c r="H509">
        <v>1405.4</v>
      </c>
      <c r="I509">
        <f t="shared" si="17"/>
        <v>4.2692471894122672</v>
      </c>
      <c r="J509">
        <f t="shared" si="16"/>
        <v>4.2689981088338378</v>
      </c>
      <c r="K509">
        <v>9.4625000000000004</v>
      </c>
      <c r="L509">
        <f>64.4*(5280/3600)</f>
        <v>94.453333333333333</v>
      </c>
      <c r="M509" s="2"/>
      <c r="N509" s="3"/>
      <c r="O509" s="2"/>
      <c r="P509" s="4"/>
    </row>
    <row r="510" spans="1:16" ht="15.6" x14ac:dyDescent="0.3">
      <c r="A510" t="s">
        <v>116</v>
      </c>
      <c r="B510">
        <v>13.47</v>
      </c>
      <c r="C510">
        <v>540</v>
      </c>
      <c r="D510" t="s">
        <v>36</v>
      </c>
      <c r="E510">
        <v>22.2</v>
      </c>
      <c r="F510">
        <v>10380</v>
      </c>
      <c r="G510">
        <v>67.19</v>
      </c>
      <c r="H510">
        <v>1491.7</v>
      </c>
      <c r="I510">
        <f t="shared" si="17"/>
        <v>4.0222564858885841</v>
      </c>
      <c r="J510">
        <f t="shared" si="16"/>
        <v>4.0224776048559345</v>
      </c>
      <c r="K510">
        <v>10.090624999999999</v>
      </c>
      <c r="L510">
        <f>78.6*(5280/3600)</f>
        <v>115.27999999999999</v>
      </c>
      <c r="M510" s="2"/>
      <c r="N510" s="3"/>
      <c r="O510" s="2"/>
      <c r="P510" s="4"/>
    </row>
    <row r="511" spans="1:16" ht="15.6" x14ac:dyDescent="0.3">
      <c r="A511" t="s">
        <v>116</v>
      </c>
      <c r="B511">
        <v>13.47</v>
      </c>
      <c r="C511">
        <v>540</v>
      </c>
      <c r="D511" t="s">
        <v>38</v>
      </c>
      <c r="E511">
        <v>22.2</v>
      </c>
      <c r="F511">
        <v>10645</v>
      </c>
      <c r="G511">
        <v>55.26</v>
      </c>
      <c r="H511">
        <v>1226.7</v>
      </c>
      <c r="I511">
        <f t="shared" si="17"/>
        <v>4.8911714355588165</v>
      </c>
      <c r="J511">
        <f t="shared" si="16"/>
        <v>4.8908843697117312</v>
      </c>
      <c r="K511">
        <v>10.890625</v>
      </c>
      <c r="L511">
        <f>60.5*(5280/3600)</f>
        <v>88.73333333333332</v>
      </c>
      <c r="M511" s="2"/>
      <c r="N511" s="3"/>
      <c r="O511" s="2"/>
      <c r="P511" s="4"/>
    </row>
    <row r="512" spans="1:16" ht="15.6" x14ac:dyDescent="0.3">
      <c r="A512" t="s">
        <v>116</v>
      </c>
      <c r="B512">
        <v>13.47</v>
      </c>
      <c r="C512">
        <v>540</v>
      </c>
      <c r="D512" t="s">
        <v>60</v>
      </c>
      <c r="E512">
        <v>22.2</v>
      </c>
      <c r="F512">
        <v>10519</v>
      </c>
      <c r="G512">
        <v>61.46</v>
      </c>
      <c r="H512">
        <v>1364.3</v>
      </c>
      <c r="I512">
        <f t="shared" si="17"/>
        <v>4.3978597082753064</v>
      </c>
      <c r="J512">
        <f t="shared" si="16"/>
        <v>4.3974987027378827</v>
      </c>
      <c r="K512">
        <v>12.206875</v>
      </c>
      <c r="L512">
        <f>39.8*(5280/3600)</f>
        <v>58.373333333333328</v>
      </c>
      <c r="M512" s="5"/>
      <c r="N512" s="3"/>
      <c r="O512" s="5"/>
      <c r="P512" s="4"/>
    </row>
    <row r="513" spans="1:16" ht="15.6" x14ac:dyDescent="0.3">
      <c r="A513" t="s">
        <v>116</v>
      </c>
      <c r="B513">
        <v>13.47</v>
      </c>
      <c r="C513">
        <v>540</v>
      </c>
      <c r="D513" t="s">
        <v>64</v>
      </c>
      <c r="E513">
        <v>22.2</v>
      </c>
      <c r="F513">
        <v>10674</v>
      </c>
      <c r="G513">
        <v>53.15</v>
      </c>
      <c r="H513">
        <v>1179.9000000000001</v>
      </c>
      <c r="I513">
        <f t="shared" si="17"/>
        <v>5.0851767098906677</v>
      </c>
      <c r="J513">
        <f t="shared" si="16"/>
        <v>5.0850474180671741</v>
      </c>
      <c r="K513">
        <v>6.55375</v>
      </c>
      <c r="L513">
        <f>80.9*(5280/3600)</f>
        <v>118.65333333333334</v>
      </c>
      <c r="M513" s="5"/>
      <c r="N513" s="3"/>
      <c r="O513" s="5"/>
      <c r="P513" s="4"/>
    </row>
    <row r="514" spans="1:16" ht="15.6" x14ac:dyDescent="0.3">
      <c r="A514" t="s">
        <v>116</v>
      </c>
      <c r="B514">
        <v>13.47</v>
      </c>
      <c r="C514">
        <v>540</v>
      </c>
      <c r="D514" t="s">
        <v>65</v>
      </c>
      <c r="E514">
        <v>22.2</v>
      </c>
      <c r="F514">
        <v>10875</v>
      </c>
      <c r="G514">
        <v>44.13</v>
      </c>
      <c r="H514">
        <v>979.6</v>
      </c>
      <c r="I514">
        <f t="shared" si="17"/>
        <v>6.1249489587586776</v>
      </c>
      <c r="J514">
        <f t="shared" si="16"/>
        <v>6.1244112909646562</v>
      </c>
      <c r="K514">
        <v>8.4537499999999994</v>
      </c>
      <c r="L514">
        <f>61.8*(5280/3600)</f>
        <v>90.639999999999986</v>
      </c>
      <c r="M514" s="5"/>
      <c r="N514" s="3"/>
      <c r="O514" s="5"/>
      <c r="P514" s="4"/>
    </row>
    <row r="515" spans="1:16" ht="15.6" x14ac:dyDescent="0.3">
      <c r="A515" t="s">
        <v>116</v>
      </c>
      <c r="B515">
        <v>13.47</v>
      </c>
      <c r="C515">
        <v>540</v>
      </c>
      <c r="D515" t="s">
        <v>45</v>
      </c>
      <c r="E515">
        <v>22.2</v>
      </c>
      <c r="F515">
        <v>10417</v>
      </c>
      <c r="G515">
        <v>65.569999999999993</v>
      </c>
      <c r="H515">
        <v>1455.6</v>
      </c>
      <c r="I515">
        <f t="shared" si="17"/>
        <v>4.1220115416323173</v>
      </c>
      <c r="J515">
        <f t="shared" ref="J515:J578" si="18">( ($N$1/E515)/G515)*60</f>
        <v>4.1218586284927605</v>
      </c>
      <c r="K515">
        <v>8.9075000000000006</v>
      </c>
      <c r="L515">
        <f>78.9*(5280/3600)</f>
        <v>115.72</v>
      </c>
      <c r="M515" s="5"/>
      <c r="N515" s="3"/>
      <c r="O515" s="5"/>
      <c r="P515" s="4"/>
    </row>
    <row r="516" spans="1:16" ht="15.6" x14ac:dyDescent="0.3">
      <c r="A516" t="s">
        <v>116</v>
      </c>
      <c r="B516">
        <v>13.47</v>
      </c>
      <c r="C516">
        <v>540</v>
      </c>
      <c r="D516" t="s">
        <v>47</v>
      </c>
      <c r="E516">
        <v>22.2</v>
      </c>
      <c r="F516">
        <v>10481</v>
      </c>
      <c r="G516">
        <v>61.51</v>
      </c>
      <c r="H516">
        <v>1365.6</v>
      </c>
      <c r="I516">
        <f t="shared" ref="I516:I579" si="19" xml:space="preserve"> ($N$1/H516)*60</f>
        <v>4.3936731107205622</v>
      </c>
      <c r="J516">
        <f t="shared" si="18"/>
        <v>4.3939240817797156</v>
      </c>
      <c r="K516">
        <v>10.543749999999999</v>
      </c>
      <c r="L516">
        <f>59.6*(5280/3600)</f>
        <v>87.413333333333327</v>
      </c>
      <c r="M516" s="5"/>
      <c r="N516" s="3"/>
      <c r="O516" s="5"/>
      <c r="P516" s="4"/>
    </row>
    <row r="517" spans="1:16" ht="15.6" x14ac:dyDescent="0.3">
      <c r="A517" t="s">
        <v>116</v>
      </c>
      <c r="B517">
        <v>13.47</v>
      </c>
      <c r="C517">
        <v>540</v>
      </c>
      <c r="D517" t="s">
        <v>54</v>
      </c>
      <c r="E517">
        <v>22.2</v>
      </c>
      <c r="F517">
        <v>10443</v>
      </c>
      <c r="G517">
        <v>63.47</v>
      </c>
      <c r="H517">
        <v>1409.1</v>
      </c>
      <c r="I517">
        <f t="shared" si="19"/>
        <v>4.2580370449222915</v>
      </c>
      <c r="J517">
        <f t="shared" si="18"/>
        <v>4.2582364939384005</v>
      </c>
      <c r="K517">
        <v>10.760624999999999</v>
      </c>
      <c r="L517">
        <f>79.1*(5280/3600)</f>
        <v>116.01333333333332</v>
      </c>
      <c r="M517" s="5"/>
      <c r="N517" s="3"/>
      <c r="O517" s="5"/>
      <c r="P517" s="4"/>
    </row>
    <row r="518" spans="1:16" ht="15.6" x14ac:dyDescent="0.3">
      <c r="A518" t="s">
        <v>117</v>
      </c>
      <c r="B518">
        <v>13.51</v>
      </c>
      <c r="C518">
        <v>690</v>
      </c>
      <c r="D518" t="s">
        <v>33</v>
      </c>
      <c r="E518">
        <v>14.8</v>
      </c>
      <c r="F518">
        <v>8957</v>
      </c>
      <c r="G518">
        <v>56.75</v>
      </c>
      <c r="H518">
        <v>839.9</v>
      </c>
      <c r="I518">
        <f t="shared" si="19"/>
        <v>7.1437075842362185</v>
      </c>
      <c r="J518">
        <f t="shared" si="18"/>
        <v>7.1437075842362177</v>
      </c>
      <c r="K518">
        <v>5.7318749999999996</v>
      </c>
      <c r="L518">
        <f>84.8*(5280/3600)</f>
        <v>124.37333333333332</v>
      </c>
      <c r="M518" s="2"/>
      <c r="N518" s="3"/>
      <c r="O518" s="2"/>
      <c r="P518" s="4"/>
    </row>
    <row r="519" spans="1:16" ht="15.6" x14ac:dyDescent="0.3">
      <c r="A519" t="s">
        <v>117</v>
      </c>
      <c r="B519">
        <v>13.51</v>
      </c>
      <c r="C519">
        <v>690</v>
      </c>
      <c r="D519" t="s">
        <v>34</v>
      </c>
      <c r="E519">
        <v>14.8</v>
      </c>
      <c r="F519">
        <v>8811</v>
      </c>
      <c r="G519">
        <v>63.91</v>
      </c>
      <c r="H519">
        <v>945.9</v>
      </c>
      <c r="I519">
        <f t="shared" si="19"/>
        <v>6.3431652394544873</v>
      </c>
      <c r="J519">
        <f t="shared" si="18"/>
        <v>6.3433798373557408</v>
      </c>
      <c r="K519">
        <v>5.3174999999999999</v>
      </c>
      <c r="L519">
        <f>100.1*(5280/3600)</f>
        <v>146.8133333333333</v>
      </c>
      <c r="M519" s="2"/>
      <c r="N519" s="3"/>
      <c r="O519" s="2"/>
      <c r="P519" s="4"/>
    </row>
    <row r="520" spans="1:16" ht="15.6" x14ac:dyDescent="0.3">
      <c r="A520" t="s">
        <v>117</v>
      </c>
      <c r="B520">
        <v>13.51</v>
      </c>
      <c r="C520">
        <v>690</v>
      </c>
      <c r="D520" t="s">
        <v>35</v>
      </c>
      <c r="E520">
        <v>14.8</v>
      </c>
      <c r="F520">
        <v>9039</v>
      </c>
      <c r="G520">
        <v>51.89</v>
      </c>
      <c r="H520">
        <v>767.9</v>
      </c>
      <c r="I520">
        <f t="shared" si="19"/>
        <v>7.8135173850761825</v>
      </c>
      <c r="J520">
        <f t="shared" si="18"/>
        <v>7.8127848411139977</v>
      </c>
      <c r="K520">
        <v>7.1893750000000001</v>
      </c>
      <c r="L520">
        <f>55.6*(5280/3600)</f>
        <v>81.546666666666667</v>
      </c>
      <c r="M520" s="2"/>
      <c r="N520" s="3"/>
      <c r="O520" s="2"/>
      <c r="P520" s="4"/>
    </row>
    <row r="521" spans="1:16" ht="15.6" x14ac:dyDescent="0.3">
      <c r="A521" t="s">
        <v>117</v>
      </c>
      <c r="B521">
        <v>13.51</v>
      </c>
      <c r="C521">
        <v>690</v>
      </c>
      <c r="D521" t="s">
        <v>36</v>
      </c>
      <c r="E521">
        <v>14.8</v>
      </c>
      <c r="F521">
        <v>8939</v>
      </c>
      <c r="G521">
        <v>57.64</v>
      </c>
      <c r="H521">
        <v>853</v>
      </c>
      <c r="I521">
        <f t="shared" si="19"/>
        <v>7.0339976553341153</v>
      </c>
      <c r="J521">
        <f t="shared" si="18"/>
        <v>7.0334039799688641</v>
      </c>
      <c r="K521">
        <v>7.2774999999999999</v>
      </c>
      <c r="L521">
        <f>67.7*(5280/3600)</f>
        <v>99.293333333333337</v>
      </c>
      <c r="M521" s="2"/>
      <c r="N521" s="3"/>
      <c r="O521" s="2"/>
      <c r="P521" s="4"/>
    </row>
    <row r="522" spans="1:16" ht="15.6" x14ac:dyDescent="0.3">
      <c r="A522" t="s">
        <v>117</v>
      </c>
      <c r="B522">
        <v>13.51</v>
      </c>
      <c r="C522">
        <v>690</v>
      </c>
      <c r="D522" t="s">
        <v>37</v>
      </c>
      <c r="E522">
        <v>14.8</v>
      </c>
      <c r="F522">
        <v>8456</v>
      </c>
      <c r="G522">
        <v>76.319999999999993</v>
      </c>
      <c r="H522">
        <v>1129.5999999999999</v>
      </c>
      <c r="I522">
        <f t="shared" si="19"/>
        <v>5.3116147308781878</v>
      </c>
      <c r="J522">
        <f t="shared" si="18"/>
        <v>5.3119156892741799</v>
      </c>
      <c r="K522">
        <v>6.7706249999999999</v>
      </c>
      <c r="L522">
        <f>80.1*(5280/3600)</f>
        <v>117.47999999999999</v>
      </c>
      <c r="M522" s="2"/>
      <c r="N522" s="3"/>
      <c r="O522" s="2"/>
      <c r="P522" s="4"/>
    </row>
    <row r="523" spans="1:16" ht="15.6" x14ac:dyDescent="0.3">
      <c r="A523" t="s">
        <v>117</v>
      </c>
      <c r="B523">
        <v>13.51</v>
      </c>
      <c r="C523">
        <v>690</v>
      </c>
      <c r="D523" t="s">
        <v>115</v>
      </c>
      <c r="E523">
        <v>14.8</v>
      </c>
      <c r="F523">
        <v>8921</v>
      </c>
      <c r="G523">
        <v>58.42</v>
      </c>
      <c r="H523">
        <v>864.6</v>
      </c>
      <c r="I523">
        <f t="shared" si="19"/>
        <v>6.9396252602359469</v>
      </c>
      <c r="J523">
        <f t="shared" si="18"/>
        <v>6.9394968402157708</v>
      </c>
      <c r="K523">
        <v>7.6762499999999996</v>
      </c>
      <c r="L523">
        <f>84.5*(5280/3600)</f>
        <v>123.93333333333332</v>
      </c>
      <c r="M523" s="2"/>
      <c r="N523" s="3"/>
      <c r="O523" s="2"/>
      <c r="P523" s="4"/>
    </row>
    <row r="524" spans="1:16" ht="15.6" x14ac:dyDescent="0.3">
      <c r="A524" t="s">
        <v>117</v>
      </c>
      <c r="B524">
        <v>13.51</v>
      </c>
      <c r="C524">
        <v>690</v>
      </c>
      <c r="D524" t="s">
        <v>38</v>
      </c>
      <c r="E524">
        <v>14.8</v>
      </c>
      <c r="F524">
        <v>9120</v>
      </c>
      <c r="G524">
        <v>48.05</v>
      </c>
      <c r="H524">
        <v>711.2</v>
      </c>
      <c r="I524">
        <f t="shared" si="19"/>
        <v>8.4364454443194603</v>
      </c>
      <c r="J524">
        <f t="shared" si="18"/>
        <v>8.4371572404871049</v>
      </c>
      <c r="K524">
        <v>7.5662500000000001</v>
      </c>
      <c r="L524">
        <f>51.8*(5280/3600)</f>
        <v>75.973333333333329</v>
      </c>
      <c r="M524" s="2"/>
      <c r="N524" s="3"/>
      <c r="O524" s="2"/>
      <c r="P524" s="4"/>
    </row>
    <row r="525" spans="1:16" ht="15.6" x14ac:dyDescent="0.3">
      <c r="A525" t="s">
        <v>117</v>
      </c>
      <c r="B525">
        <v>13.51</v>
      </c>
      <c r="C525">
        <v>690</v>
      </c>
      <c r="D525" t="s">
        <v>39</v>
      </c>
      <c r="E525">
        <v>14.8</v>
      </c>
      <c r="F525">
        <v>8735</v>
      </c>
      <c r="G525">
        <v>68.3</v>
      </c>
      <c r="H525">
        <v>1010.8</v>
      </c>
      <c r="I525">
        <f t="shared" si="19"/>
        <v>5.9358923624851601</v>
      </c>
      <c r="J525">
        <f t="shared" si="18"/>
        <v>5.9356574729927578</v>
      </c>
      <c r="K525">
        <v>8.64</v>
      </c>
      <c r="L525">
        <f>57.9*(5280/3600)</f>
        <v>84.919999999999987</v>
      </c>
      <c r="M525" s="2"/>
      <c r="N525" s="3"/>
      <c r="O525" s="2"/>
      <c r="P525" s="4"/>
    </row>
    <row r="526" spans="1:16" ht="15.6" x14ac:dyDescent="0.3">
      <c r="A526" t="s">
        <v>117</v>
      </c>
      <c r="B526">
        <v>13.51</v>
      </c>
      <c r="C526">
        <v>690</v>
      </c>
      <c r="D526" t="s">
        <v>40</v>
      </c>
      <c r="E526">
        <v>14.8</v>
      </c>
      <c r="F526">
        <v>8694</v>
      </c>
      <c r="G526">
        <v>71.31</v>
      </c>
      <c r="H526">
        <v>1055.4000000000001</v>
      </c>
      <c r="I526">
        <f t="shared" si="19"/>
        <v>5.6850483229107445</v>
      </c>
      <c r="J526">
        <f t="shared" si="18"/>
        <v>5.6851129631945776</v>
      </c>
      <c r="K526">
        <v>8.7987500000000001</v>
      </c>
      <c r="L526">
        <f>70*(5280/3600)</f>
        <v>102.66666666666666</v>
      </c>
      <c r="M526" s="2"/>
      <c r="N526" s="3"/>
      <c r="O526" s="2"/>
      <c r="P526" s="4"/>
    </row>
    <row r="527" spans="1:16" ht="15.6" x14ac:dyDescent="0.3">
      <c r="A527" t="s">
        <v>117</v>
      </c>
      <c r="B527">
        <v>13.51</v>
      </c>
      <c r="C527">
        <v>690</v>
      </c>
      <c r="D527" t="s">
        <v>41</v>
      </c>
      <c r="E527">
        <v>14.8</v>
      </c>
      <c r="F527">
        <v>8688</v>
      </c>
      <c r="G527">
        <v>71.14</v>
      </c>
      <c r="H527">
        <v>1052.9000000000001</v>
      </c>
      <c r="I527">
        <f t="shared" si="19"/>
        <v>5.69854687054801</v>
      </c>
      <c r="J527">
        <f t="shared" si="18"/>
        <v>5.6986984172814923</v>
      </c>
      <c r="K527">
        <v>8.6818749999999998</v>
      </c>
      <c r="L527">
        <f>82.3*(5280/3600)</f>
        <v>120.70666666666665</v>
      </c>
      <c r="M527" s="2"/>
      <c r="N527" s="3"/>
      <c r="O527" s="2"/>
      <c r="P527" s="4"/>
    </row>
    <row r="528" spans="1:16" ht="15.6" x14ac:dyDescent="0.3">
      <c r="A528" t="s">
        <v>117</v>
      </c>
      <c r="B528">
        <v>13.51</v>
      </c>
      <c r="C528">
        <v>690</v>
      </c>
      <c r="D528" t="s">
        <v>112</v>
      </c>
      <c r="E528">
        <v>14.8</v>
      </c>
      <c r="F528">
        <v>8653</v>
      </c>
      <c r="G528">
        <v>71.36</v>
      </c>
      <c r="H528">
        <v>1056.0999999999999</v>
      </c>
      <c r="I528">
        <f t="shared" si="19"/>
        <v>5.6812801818009664</v>
      </c>
      <c r="J528">
        <f t="shared" si="18"/>
        <v>5.6811295600533267</v>
      </c>
      <c r="K528">
        <v>9.5681250000000002</v>
      </c>
      <c r="L528">
        <f>81.9*(5280/3600)</f>
        <v>120.12</v>
      </c>
      <c r="M528" s="2"/>
      <c r="N528" s="3"/>
      <c r="O528" s="2"/>
      <c r="P528" s="4"/>
    </row>
    <row r="529" spans="1:16" ht="15.6" x14ac:dyDescent="0.3">
      <c r="A529" t="s">
        <v>117</v>
      </c>
      <c r="B529">
        <v>13.51</v>
      </c>
      <c r="C529">
        <v>690</v>
      </c>
      <c r="D529" t="s">
        <v>60</v>
      </c>
      <c r="E529">
        <v>14.8</v>
      </c>
      <c r="F529">
        <v>9050</v>
      </c>
      <c r="G529">
        <v>52.09</v>
      </c>
      <c r="H529">
        <v>770.9</v>
      </c>
      <c r="I529">
        <f t="shared" si="19"/>
        <v>7.7831106498897391</v>
      </c>
      <c r="J529">
        <f t="shared" si="18"/>
        <v>7.7827875869726499</v>
      </c>
      <c r="K529">
        <v>8.4968749999999993</v>
      </c>
      <c r="L529">
        <f>34.3*(5280/3600)</f>
        <v>50.306666666666658</v>
      </c>
      <c r="M529" s="2"/>
      <c r="N529" s="3"/>
      <c r="O529" s="2"/>
      <c r="P529" s="4"/>
    </row>
    <row r="530" spans="1:16" ht="15.6" x14ac:dyDescent="0.3">
      <c r="A530" t="s">
        <v>117</v>
      </c>
      <c r="B530">
        <v>13.51</v>
      </c>
      <c r="C530">
        <v>690</v>
      </c>
      <c r="D530" t="s">
        <v>43</v>
      </c>
      <c r="E530">
        <v>14.8</v>
      </c>
      <c r="F530">
        <v>8677</v>
      </c>
      <c r="G530">
        <v>71.17</v>
      </c>
      <c r="H530">
        <v>1053.3</v>
      </c>
      <c r="I530">
        <f t="shared" si="19"/>
        <v>5.6963827969239533</v>
      </c>
      <c r="J530">
        <f t="shared" si="18"/>
        <v>5.6962962681664377</v>
      </c>
      <c r="K530">
        <v>9.9781250000000004</v>
      </c>
      <c r="L530">
        <f>49.3*(5280/3600)</f>
        <v>72.306666666666658</v>
      </c>
      <c r="M530" s="2"/>
      <c r="N530" s="3"/>
      <c r="O530" s="2"/>
      <c r="P530" s="4"/>
    </row>
    <row r="531" spans="1:16" ht="15.6" x14ac:dyDescent="0.3">
      <c r="A531" t="s">
        <v>117</v>
      </c>
      <c r="B531">
        <v>13.51</v>
      </c>
      <c r="C531">
        <v>690</v>
      </c>
      <c r="D531" t="s">
        <v>44</v>
      </c>
      <c r="E531">
        <v>14.8</v>
      </c>
      <c r="F531">
        <v>8729</v>
      </c>
      <c r="G531">
        <v>69.41</v>
      </c>
      <c r="H531">
        <v>1027.3</v>
      </c>
      <c r="I531">
        <f t="shared" si="19"/>
        <v>5.8405529056750707</v>
      </c>
      <c r="J531">
        <f t="shared" si="18"/>
        <v>5.8407348423196277</v>
      </c>
      <c r="K531">
        <v>9.9231250000000006</v>
      </c>
      <c r="L531">
        <f>57.9*(5280/3600)</f>
        <v>84.919999999999987</v>
      </c>
      <c r="M531" s="2"/>
      <c r="N531" s="3"/>
      <c r="O531" s="2"/>
      <c r="P531" s="4"/>
    </row>
    <row r="532" spans="1:16" ht="15.6" x14ac:dyDescent="0.3">
      <c r="A532" t="s">
        <v>117</v>
      </c>
      <c r="B532">
        <v>13.51</v>
      </c>
      <c r="C532">
        <v>690</v>
      </c>
      <c r="D532" t="s">
        <v>0</v>
      </c>
      <c r="E532">
        <v>14.8</v>
      </c>
      <c r="F532">
        <v>8586</v>
      </c>
      <c r="G532">
        <v>76.38</v>
      </c>
      <c r="H532">
        <v>1130.4000000000001</v>
      </c>
      <c r="I532">
        <f t="shared" si="19"/>
        <v>5.3078556263269636</v>
      </c>
      <c r="J532">
        <f t="shared" si="18"/>
        <v>5.3077429353941525</v>
      </c>
      <c r="K532">
        <v>9.828125</v>
      </c>
      <c r="L532">
        <f>65*(5280/3600)</f>
        <v>95.333333333333329</v>
      </c>
      <c r="M532" s="2"/>
      <c r="N532" s="3"/>
      <c r="O532" s="2"/>
      <c r="P532" s="4"/>
    </row>
    <row r="533" spans="1:16" ht="15.6" x14ac:dyDescent="0.3">
      <c r="A533" t="s">
        <v>117</v>
      </c>
      <c r="B533">
        <v>13.51</v>
      </c>
      <c r="C533">
        <v>690</v>
      </c>
      <c r="D533" t="s">
        <v>45</v>
      </c>
      <c r="E533">
        <v>14.8</v>
      </c>
      <c r="F533">
        <v>8971</v>
      </c>
      <c r="G533">
        <v>56.24</v>
      </c>
      <c r="H533">
        <v>832.3</v>
      </c>
      <c r="I533">
        <f t="shared" si="19"/>
        <v>7.2089390844647365</v>
      </c>
      <c r="J533">
        <f t="shared" si="18"/>
        <v>7.2084887163123286</v>
      </c>
      <c r="K533">
        <v>6.4243750000000004</v>
      </c>
      <c r="L533">
        <f>68*(5280/3600)</f>
        <v>99.73333333333332</v>
      </c>
      <c r="M533" s="2"/>
      <c r="N533" s="3"/>
      <c r="O533" s="2"/>
      <c r="P533" s="4"/>
    </row>
    <row r="534" spans="1:16" ht="15.6" x14ac:dyDescent="0.3">
      <c r="A534" t="s">
        <v>117</v>
      </c>
      <c r="B534">
        <v>13.51</v>
      </c>
      <c r="C534">
        <v>690</v>
      </c>
      <c r="D534" t="s">
        <v>46</v>
      </c>
      <c r="E534">
        <v>14.8</v>
      </c>
      <c r="F534">
        <v>8521</v>
      </c>
      <c r="G534">
        <v>73.55</v>
      </c>
      <c r="H534">
        <v>1088.5999999999999</v>
      </c>
      <c r="I534">
        <f t="shared" si="19"/>
        <v>5.5116663604629803</v>
      </c>
      <c r="J534">
        <f t="shared" si="18"/>
        <v>5.5119701618681907</v>
      </c>
      <c r="K534">
        <v>6.413125</v>
      </c>
      <c r="L534">
        <f>80.7*(5280/3600)</f>
        <v>118.36</v>
      </c>
      <c r="M534" s="2"/>
      <c r="N534" s="3"/>
      <c r="O534" s="2"/>
      <c r="P534" s="4"/>
    </row>
    <row r="535" spans="1:16" ht="15.6" x14ac:dyDescent="0.3">
      <c r="A535" t="s">
        <v>117</v>
      </c>
      <c r="B535">
        <v>13.51</v>
      </c>
      <c r="C535">
        <v>690</v>
      </c>
      <c r="D535" t="s">
        <v>47</v>
      </c>
      <c r="E535">
        <v>14.8</v>
      </c>
      <c r="F535">
        <v>8980</v>
      </c>
      <c r="G535">
        <v>53.49</v>
      </c>
      <c r="H535">
        <v>791.7</v>
      </c>
      <c r="I535">
        <f t="shared" si="19"/>
        <v>7.5786282682834409</v>
      </c>
      <c r="J535">
        <f t="shared" si="18"/>
        <v>7.5790877809946782</v>
      </c>
      <c r="K535">
        <v>7.3256249999999996</v>
      </c>
      <c r="L535">
        <f>51*(5280/3600)</f>
        <v>74.8</v>
      </c>
      <c r="M535" s="2"/>
      <c r="N535" s="3"/>
      <c r="O535" s="2"/>
      <c r="P535" s="4"/>
    </row>
    <row r="536" spans="1:16" ht="15.6" x14ac:dyDescent="0.3">
      <c r="A536" t="s">
        <v>117</v>
      </c>
      <c r="B536">
        <v>13.51</v>
      </c>
      <c r="C536">
        <v>690</v>
      </c>
      <c r="D536" t="s">
        <v>48</v>
      </c>
      <c r="E536">
        <v>14.8</v>
      </c>
      <c r="F536">
        <v>8784</v>
      </c>
      <c r="G536">
        <v>66.5</v>
      </c>
      <c r="H536">
        <v>984.2</v>
      </c>
      <c r="I536">
        <f t="shared" si="19"/>
        <v>6.0963218857955699</v>
      </c>
      <c r="J536">
        <f t="shared" si="18"/>
        <v>6.096321885795569</v>
      </c>
      <c r="K536">
        <v>8.5112500000000004</v>
      </c>
      <c r="L536">
        <f>66.5*(5280/3600)</f>
        <v>97.533333333333331</v>
      </c>
      <c r="M536" s="2"/>
      <c r="N536" s="3"/>
      <c r="O536" s="2"/>
      <c r="P536" s="4"/>
    </row>
    <row r="537" spans="1:16" ht="15.6" x14ac:dyDescent="0.3">
      <c r="A537" t="s">
        <v>117</v>
      </c>
      <c r="B537">
        <v>13.51</v>
      </c>
      <c r="C537">
        <v>690</v>
      </c>
      <c r="D537" t="s">
        <v>50</v>
      </c>
      <c r="E537">
        <v>14.8</v>
      </c>
      <c r="F537">
        <v>8677</v>
      </c>
      <c r="G537">
        <v>71.44</v>
      </c>
      <c r="H537">
        <v>1057.3</v>
      </c>
      <c r="I537">
        <f t="shared" si="19"/>
        <v>5.674832119549797</v>
      </c>
      <c r="J537">
        <f t="shared" si="18"/>
        <v>5.6747677128416205</v>
      </c>
      <c r="K537">
        <v>9.5812500000000007</v>
      </c>
      <c r="L537">
        <f>49.3*(5280/3600)</f>
        <v>72.306666666666658</v>
      </c>
      <c r="M537" s="2"/>
      <c r="N537" s="3"/>
      <c r="O537" s="2"/>
      <c r="P537" s="4"/>
    </row>
    <row r="538" spans="1:16" ht="15.6" x14ac:dyDescent="0.3">
      <c r="A538" t="s">
        <v>117</v>
      </c>
      <c r="B538">
        <v>13.51</v>
      </c>
      <c r="C538">
        <v>690</v>
      </c>
      <c r="D538" t="s">
        <v>51</v>
      </c>
      <c r="E538">
        <v>14.8</v>
      </c>
      <c r="F538">
        <v>8676</v>
      </c>
      <c r="G538">
        <v>72.14</v>
      </c>
      <c r="H538">
        <v>1067.7</v>
      </c>
      <c r="I538">
        <f t="shared" si="19"/>
        <v>5.6195560550716488</v>
      </c>
      <c r="J538">
        <f t="shared" si="18"/>
        <v>5.6197034295176795</v>
      </c>
      <c r="K538">
        <v>9.9649999999999999</v>
      </c>
      <c r="L538">
        <f>57.5*(5280/3600)</f>
        <v>84.333333333333329</v>
      </c>
      <c r="M538" s="2"/>
      <c r="N538" s="3"/>
      <c r="O538" s="2"/>
      <c r="P538" s="4"/>
    </row>
    <row r="539" spans="1:16" ht="15.6" x14ac:dyDescent="0.3">
      <c r="A539" t="s">
        <v>117</v>
      </c>
      <c r="B539">
        <v>13.51</v>
      </c>
      <c r="C539">
        <v>690</v>
      </c>
      <c r="D539" t="s">
        <v>16</v>
      </c>
      <c r="E539">
        <v>14.8</v>
      </c>
      <c r="F539">
        <v>8515</v>
      </c>
      <c r="G539">
        <v>79.95</v>
      </c>
      <c r="H539">
        <v>1183.3</v>
      </c>
      <c r="I539">
        <f t="shared" si="19"/>
        <v>5.0705653680385367</v>
      </c>
      <c r="J539">
        <f t="shared" si="18"/>
        <v>5.0707367780538508</v>
      </c>
      <c r="K539">
        <v>9.4737500000000008</v>
      </c>
      <c r="L539">
        <f>64.5*(5280/3600)</f>
        <v>94.6</v>
      </c>
      <c r="M539" s="2"/>
      <c r="N539" s="3"/>
      <c r="O539" s="2"/>
      <c r="P539" s="4"/>
    </row>
    <row r="540" spans="1:16" ht="15.6" x14ac:dyDescent="0.3">
      <c r="A540" t="s">
        <v>117</v>
      </c>
      <c r="B540">
        <v>13.51</v>
      </c>
      <c r="C540">
        <v>690</v>
      </c>
      <c r="D540" t="s">
        <v>54</v>
      </c>
      <c r="E540">
        <v>14.8</v>
      </c>
      <c r="F540">
        <v>8937</v>
      </c>
      <c r="G540">
        <v>58.04</v>
      </c>
      <c r="H540">
        <v>859</v>
      </c>
      <c r="I540">
        <f t="shared" si="19"/>
        <v>6.9848661233993017</v>
      </c>
      <c r="J540">
        <f t="shared" si="18"/>
        <v>6.98493117514482</v>
      </c>
      <c r="K540">
        <v>7.663125</v>
      </c>
      <c r="L540">
        <f>67.7*(5280/3600)</f>
        <v>99.293333333333337</v>
      </c>
      <c r="M540" s="2"/>
      <c r="N540" s="3"/>
      <c r="O540" s="2"/>
      <c r="P540" s="4"/>
    </row>
    <row r="541" spans="1:16" ht="15.6" x14ac:dyDescent="0.3">
      <c r="A541" t="s">
        <v>117</v>
      </c>
      <c r="B541">
        <v>13.51</v>
      </c>
      <c r="C541">
        <v>690</v>
      </c>
      <c r="D541" t="s">
        <v>25</v>
      </c>
      <c r="E541">
        <v>14.8</v>
      </c>
      <c r="F541">
        <v>8807</v>
      </c>
      <c r="G541">
        <v>64.78</v>
      </c>
      <c r="H541">
        <v>958.7</v>
      </c>
      <c r="I541">
        <f t="shared" si="19"/>
        <v>6.2584750182538853</v>
      </c>
      <c r="J541">
        <f t="shared" si="18"/>
        <v>6.2581877956993726</v>
      </c>
      <c r="K541">
        <v>8.5143749999999994</v>
      </c>
      <c r="L541">
        <f>66.7*(5280/3600)</f>
        <v>97.826666666666668</v>
      </c>
      <c r="M541" s="2"/>
      <c r="N541" s="3"/>
      <c r="O541" s="2"/>
      <c r="P541" s="4"/>
    </row>
    <row r="542" spans="1:16" ht="15.6" x14ac:dyDescent="0.3">
      <c r="A542" t="s">
        <v>117</v>
      </c>
      <c r="B542">
        <v>13.51</v>
      </c>
      <c r="C542">
        <v>690</v>
      </c>
      <c r="D542" t="s">
        <v>26</v>
      </c>
      <c r="E542">
        <v>14.8</v>
      </c>
      <c r="F542">
        <v>8570</v>
      </c>
      <c r="G542">
        <v>76.97</v>
      </c>
      <c r="H542">
        <v>1139.0999999999999</v>
      </c>
      <c r="I542">
        <f t="shared" si="19"/>
        <v>5.2673163023439562</v>
      </c>
      <c r="J542">
        <f t="shared" si="18"/>
        <v>5.2670573652774504</v>
      </c>
      <c r="K542">
        <v>10.330625</v>
      </c>
      <c r="L542">
        <f>56.8*(5280/3600)</f>
        <v>83.306666666666658</v>
      </c>
      <c r="M542" s="2"/>
      <c r="N542" s="3"/>
      <c r="O542" s="2"/>
      <c r="P542" s="4"/>
    </row>
    <row r="543" spans="1:16" ht="15.6" x14ac:dyDescent="0.3">
      <c r="A543" t="s">
        <v>117</v>
      </c>
      <c r="B543">
        <v>13.51</v>
      </c>
      <c r="C543">
        <v>690</v>
      </c>
      <c r="D543" t="s">
        <v>71</v>
      </c>
      <c r="E543">
        <v>18.5</v>
      </c>
      <c r="F543">
        <v>11468</v>
      </c>
      <c r="G543">
        <v>50.12</v>
      </c>
      <c r="H543">
        <v>927.2</v>
      </c>
      <c r="I543">
        <f t="shared" si="19"/>
        <v>6.4710957722174287</v>
      </c>
      <c r="J543">
        <f t="shared" si="18"/>
        <v>6.4709561916265832</v>
      </c>
      <c r="K543">
        <v>6.9487500000000004</v>
      </c>
      <c r="L543">
        <f>76*(5280/3600)</f>
        <v>111.46666666666665</v>
      </c>
      <c r="M543" s="2"/>
      <c r="N543" s="3"/>
      <c r="O543" s="2"/>
      <c r="P543" s="4"/>
    </row>
    <row r="544" spans="1:16" ht="15.6" x14ac:dyDescent="0.3">
      <c r="A544" t="s">
        <v>117</v>
      </c>
      <c r="B544">
        <v>13.51</v>
      </c>
      <c r="C544">
        <v>690</v>
      </c>
      <c r="D544" t="s">
        <v>72</v>
      </c>
      <c r="E544">
        <v>18.5</v>
      </c>
      <c r="F544">
        <v>11309</v>
      </c>
      <c r="G544">
        <v>56.3</v>
      </c>
      <c r="H544">
        <v>1041.5</v>
      </c>
      <c r="I544">
        <f t="shared" si="19"/>
        <v>5.7609217474795962</v>
      </c>
      <c r="J544">
        <f t="shared" si="18"/>
        <v>5.760645192261534</v>
      </c>
      <c r="K544">
        <v>6.618125</v>
      </c>
      <c r="L544">
        <f>85.7*(5280/3600)</f>
        <v>125.69333333333333</v>
      </c>
      <c r="M544" s="2"/>
      <c r="N544" s="3"/>
      <c r="O544" s="2"/>
      <c r="P544" s="4"/>
    </row>
    <row r="545" spans="1:16" ht="15.6" x14ac:dyDescent="0.3">
      <c r="A545" t="s">
        <v>117</v>
      </c>
      <c r="B545">
        <v>13.51</v>
      </c>
      <c r="C545">
        <v>690</v>
      </c>
      <c r="D545" t="s">
        <v>56</v>
      </c>
      <c r="E545">
        <v>18.5</v>
      </c>
      <c r="F545">
        <v>11236</v>
      </c>
      <c r="G545">
        <v>60.91</v>
      </c>
      <c r="H545">
        <v>1126.9000000000001</v>
      </c>
      <c r="I545">
        <f t="shared" si="19"/>
        <v>5.3243411127872919</v>
      </c>
      <c r="J545">
        <f t="shared" si="18"/>
        <v>5.324648240425617</v>
      </c>
      <c r="K545">
        <v>6.8475000000000001</v>
      </c>
      <c r="L545">
        <f>90.4*(5280/3600)</f>
        <v>132.58666666666667</v>
      </c>
      <c r="M545" s="2"/>
      <c r="N545" s="3"/>
      <c r="O545" s="2"/>
      <c r="P545" s="4"/>
    </row>
    <row r="546" spans="1:16" ht="15.6" x14ac:dyDescent="0.3">
      <c r="A546" t="s">
        <v>117</v>
      </c>
      <c r="B546">
        <v>13.51</v>
      </c>
      <c r="C546">
        <v>690</v>
      </c>
      <c r="D546" t="s">
        <v>57</v>
      </c>
      <c r="E546">
        <v>18.5</v>
      </c>
      <c r="F546">
        <v>11045</v>
      </c>
      <c r="G546">
        <v>70.17</v>
      </c>
      <c r="H546">
        <v>1298.2</v>
      </c>
      <c r="I546">
        <f t="shared" si="19"/>
        <v>4.6217840086273299</v>
      </c>
      <c r="J546">
        <f t="shared" si="18"/>
        <v>4.6219798250580633</v>
      </c>
      <c r="K546">
        <v>6.4087500000000004</v>
      </c>
      <c r="L546">
        <f>104.6*(5280/3600)</f>
        <v>153.41333333333333</v>
      </c>
      <c r="M546" s="2"/>
      <c r="N546" s="3"/>
      <c r="O546" s="2"/>
      <c r="P546" s="4"/>
    </row>
    <row r="547" spans="1:16" ht="15.6" x14ac:dyDescent="0.3">
      <c r="A547" t="s">
        <v>117</v>
      </c>
      <c r="B547">
        <v>13.51</v>
      </c>
      <c r="C547">
        <v>690</v>
      </c>
      <c r="D547" t="s">
        <v>58</v>
      </c>
      <c r="E547">
        <v>18.5</v>
      </c>
      <c r="F547">
        <v>11314</v>
      </c>
      <c r="G547">
        <v>57.47</v>
      </c>
      <c r="H547">
        <v>1063.0999999999999</v>
      </c>
      <c r="I547">
        <f t="shared" si="19"/>
        <v>5.643871695983445</v>
      </c>
      <c r="J547">
        <f t="shared" si="18"/>
        <v>5.6433673973259841</v>
      </c>
      <c r="K547">
        <v>8.4612499999999997</v>
      </c>
      <c r="L547">
        <f>64.3*(5280/3600)</f>
        <v>94.306666666666658</v>
      </c>
      <c r="M547" s="2"/>
      <c r="N547" s="3"/>
      <c r="O547" s="2"/>
      <c r="P547" s="4"/>
    </row>
    <row r="548" spans="1:16" ht="15.6" x14ac:dyDescent="0.3">
      <c r="A548" t="s">
        <v>117</v>
      </c>
      <c r="B548">
        <v>13.51</v>
      </c>
      <c r="C548">
        <v>690</v>
      </c>
      <c r="D548" t="s">
        <v>120</v>
      </c>
      <c r="E548">
        <v>18.5</v>
      </c>
      <c r="F548">
        <v>11247</v>
      </c>
      <c r="G548">
        <v>58.11</v>
      </c>
      <c r="H548">
        <v>1075</v>
      </c>
      <c r="I548">
        <f t="shared" si="19"/>
        <v>5.5813953488372094</v>
      </c>
      <c r="J548">
        <f t="shared" si="18"/>
        <v>5.58121363490491</v>
      </c>
      <c r="K548">
        <v>8.5250000000000004</v>
      </c>
      <c r="L548">
        <f>63.9*(5280/3600)</f>
        <v>93.719999999999985</v>
      </c>
      <c r="M548" s="2"/>
      <c r="N548" s="3"/>
      <c r="O548" s="2"/>
      <c r="P548" s="4"/>
    </row>
    <row r="549" spans="1:16" ht="15.6" x14ac:dyDescent="0.3">
      <c r="A549" t="s">
        <v>117</v>
      </c>
      <c r="B549">
        <v>13.51</v>
      </c>
      <c r="C549">
        <v>690</v>
      </c>
      <c r="D549" t="s">
        <v>121</v>
      </c>
      <c r="E549">
        <v>18.5</v>
      </c>
      <c r="F549">
        <v>11173</v>
      </c>
      <c r="G549">
        <v>65.739999999999995</v>
      </c>
      <c r="H549">
        <v>1216.2</v>
      </c>
      <c r="I549">
        <f t="shared" si="19"/>
        <v>4.9333991119881597</v>
      </c>
      <c r="J549">
        <f t="shared" si="18"/>
        <v>4.9334396763663575</v>
      </c>
      <c r="K549">
        <v>9.7050000000000001</v>
      </c>
      <c r="L549">
        <f>68.8*(5280/3600)</f>
        <v>100.90666666666665</v>
      </c>
      <c r="M549" s="2"/>
      <c r="N549" s="3"/>
      <c r="O549" s="2"/>
      <c r="P549" s="4"/>
    </row>
    <row r="550" spans="1:16" ht="15.6" x14ac:dyDescent="0.3">
      <c r="A550" t="s">
        <v>117</v>
      </c>
      <c r="B550">
        <v>13.51</v>
      </c>
      <c r="C550">
        <v>690</v>
      </c>
      <c r="D550" t="s">
        <v>32</v>
      </c>
      <c r="E550">
        <v>18.5</v>
      </c>
      <c r="F550">
        <v>10990</v>
      </c>
      <c r="G550">
        <v>71.540000000000006</v>
      </c>
      <c r="H550">
        <v>1323.6</v>
      </c>
      <c r="I550">
        <f t="shared" si="19"/>
        <v>4.5330915684496826</v>
      </c>
      <c r="J550">
        <f t="shared" si="18"/>
        <v>4.5334683299458245</v>
      </c>
      <c r="K550">
        <v>7.7681250000000004</v>
      </c>
      <c r="L550">
        <f>83.3*(5280/3600)</f>
        <v>122.17333333333332</v>
      </c>
      <c r="M550" s="2"/>
      <c r="N550" s="3"/>
      <c r="O550" s="2"/>
      <c r="P550" s="4"/>
    </row>
    <row r="551" spans="1:16" ht="15.6" x14ac:dyDescent="0.3">
      <c r="A551" t="s">
        <v>117</v>
      </c>
      <c r="B551">
        <v>13.51</v>
      </c>
      <c r="C551">
        <v>690</v>
      </c>
      <c r="D551" t="s">
        <v>122</v>
      </c>
      <c r="E551">
        <v>18.5</v>
      </c>
      <c r="F551">
        <v>11213</v>
      </c>
      <c r="G551">
        <v>61.58</v>
      </c>
      <c r="H551">
        <v>1139.2</v>
      </c>
      <c r="I551">
        <f t="shared" si="19"/>
        <v>5.2668539325842696</v>
      </c>
      <c r="J551">
        <f t="shared" si="18"/>
        <v>5.2667152374849682</v>
      </c>
      <c r="K551">
        <v>9.6074999999999999</v>
      </c>
      <c r="L551">
        <f>47.8*(5280/3600)</f>
        <v>70.106666666666655</v>
      </c>
      <c r="M551" s="2"/>
      <c r="N551" s="3"/>
      <c r="O551" s="2"/>
      <c r="P551" s="4"/>
    </row>
    <row r="552" spans="1:16" ht="15.6" x14ac:dyDescent="0.3">
      <c r="A552" t="s">
        <v>117</v>
      </c>
      <c r="B552">
        <v>13.51</v>
      </c>
      <c r="C552">
        <v>690</v>
      </c>
      <c r="D552" t="s">
        <v>59</v>
      </c>
      <c r="E552">
        <v>18.5</v>
      </c>
      <c r="F552">
        <v>11239</v>
      </c>
      <c r="G552">
        <v>60.72</v>
      </c>
      <c r="H552">
        <v>1123.3</v>
      </c>
      <c r="I552">
        <f t="shared" si="19"/>
        <v>5.3414047894596282</v>
      </c>
      <c r="J552">
        <f t="shared" si="18"/>
        <v>5.3413096891357759</v>
      </c>
      <c r="K552">
        <v>9.5656250000000007</v>
      </c>
      <c r="L552">
        <f>58.5*(5280/3600)</f>
        <v>85.8</v>
      </c>
      <c r="M552" s="2"/>
      <c r="N552" s="3"/>
      <c r="O552" s="2"/>
      <c r="P552" s="4"/>
    </row>
    <row r="553" spans="1:16" ht="15.6" x14ac:dyDescent="0.3">
      <c r="A553" t="s">
        <v>117</v>
      </c>
      <c r="B553">
        <v>13.51</v>
      </c>
      <c r="C553">
        <v>690</v>
      </c>
      <c r="D553" t="s">
        <v>38</v>
      </c>
      <c r="E553">
        <v>18.5</v>
      </c>
      <c r="F553">
        <v>10926</v>
      </c>
      <c r="G553">
        <v>74.12</v>
      </c>
      <c r="H553">
        <v>1371.3</v>
      </c>
      <c r="I553">
        <f t="shared" si="19"/>
        <v>4.3754101947057542</v>
      </c>
      <c r="J553">
        <f t="shared" si="18"/>
        <v>4.3756654657895888</v>
      </c>
      <c r="K553">
        <v>11.378125000000001</v>
      </c>
      <c r="L553">
        <f>62.1*(5280/3600)</f>
        <v>91.08</v>
      </c>
      <c r="M553" s="2"/>
      <c r="N553" s="3"/>
      <c r="O553" s="2"/>
      <c r="P553" s="4"/>
    </row>
    <row r="554" spans="1:16" ht="15.6" x14ac:dyDescent="0.3">
      <c r="A554" t="s">
        <v>117</v>
      </c>
      <c r="B554">
        <v>13.51</v>
      </c>
      <c r="C554">
        <v>690</v>
      </c>
      <c r="D554" t="s">
        <v>61</v>
      </c>
      <c r="E554">
        <v>18.5</v>
      </c>
      <c r="F554">
        <v>11478</v>
      </c>
      <c r="G554">
        <v>50.97</v>
      </c>
      <c r="H554">
        <v>943</v>
      </c>
      <c r="I554">
        <f t="shared" si="19"/>
        <v>6.3626723223753974</v>
      </c>
      <c r="J554">
        <f t="shared" si="18"/>
        <v>6.3630434436791123</v>
      </c>
      <c r="K554">
        <v>5.4593749999999996</v>
      </c>
      <c r="L554">
        <f>87*(5280/3600)</f>
        <v>127.6</v>
      </c>
      <c r="M554" s="2"/>
      <c r="N554" s="3"/>
      <c r="O554" s="2"/>
      <c r="P554" s="4"/>
    </row>
    <row r="555" spans="1:16" ht="15.6" x14ac:dyDescent="0.3">
      <c r="A555" t="s">
        <v>117</v>
      </c>
      <c r="B555">
        <v>13.51</v>
      </c>
      <c r="C555">
        <v>690</v>
      </c>
      <c r="D555" t="s">
        <v>62</v>
      </c>
      <c r="E555">
        <v>18.5</v>
      </c>
      <c r="F555">
        <v>11554</v>
      </c>
      <c r="G555">
        <v>49.15</v>
      </c>
      <c r="H555">
        <v>909.2</v>
      </c>
      <c r="I555">
        <f t="shared" si="19"/>
        <v>6.5992080950285965</v>
      </c>
      <c r="J555">
        <f t="shared" si="18"/>
        <v>6.5986637705864561</v>
      </c>
      <c r="K555">
        <v>7.0881249999999998</v>
      </c>
      <c r="L555">
        <f>65.7*(5280/3600)</f>
        <v>96.36</v>
      </c>
      <c r="M555" s="2"/>
      <c r="N555" s="3"/>
      <c r="O555" s="2"/>
      <c r="P555" s="4"/>
    </row>
    <row r="556" spans="1:16" ht="15.6" x14ac:dyDescent="0.3">
      <c r="A556" t="s">
        <v>117</v>
      </c>
      <c r="B556">
        <v>13.51</v>
      </c>
      <c r="C556">
        <v>690</v>
      </c>
      <c r="D556" t="s">
        <v>63</v>
      </c>
      <c r="E556">
        <v>18.5</v>
      </c>
      <c r="F556">
        <v>11269</v>
      </c>
      <c r="G556">
        <v>59.67</v>
      </c>
      <c r="H556">
        <v>1103.9000000000001</v>
      </c>
      <c r="I556">
        <f t="shared" si="19"/>
        <v>5.4352749343237612</v>
      </c>
      <c r="J556">
        <f t="shared" si="18"/>
        <v>5.4352995529466108</v>
      </c>
      <c r="K556">
        <v>7.6393750000000002</v>
      </c>
      <c r="L556">
        <f>74.7*(5280/3600)</f>
        <v>109.56</v>
      </c>
      <c r="M556" s="2"/>
      <c r="N556" s="3"/>
      <c r="O556" s="2"/>
      <c r="P556" s="4"/>
    </row>
    <row r="557" spans="1:16" ht="15.6" x14ac:dyDescent="0.3">
      <c r="A557" t="s">
        <v>117</v>
      </c>
      <c r="B557">
        <v>13.51</v>
      </c>
      <c r="C557">
        <v>690</v>
      </c>
      <c r="D557" t="s">
        <v>64</v>
      </c>
      <c r="E557">
        <v>18.5</v>
      </c>
      <c r="F557">
        <v>10979</v>
      </c>
      <c r="G557">
        <v>72.17</v>
      </c>
      <c r="H557">
        <v>1335.2</v>
      </c>
      <c r="I557">
        <f t="shared" si="19"/>
        <v>4.4937088076692628</v>
      </c>
      <c r="J557">
        <f t="shared" si="18"/>
        <v>4.4938939216339797</v>
      </c>
      <c r="K557">
        <v>6.9156250000000004</v>
      </c>
      <c r="L557">
        <f>83.2*(5280/3600)</f>
        <v>122.02666666666666</v>
      </c>
      <c r="M557" s="2"/>
      <c r="N557" s="3"/>
      <c r="O557" s="2"/>
      <c r="P557" s="4"/>
    </row>
    <row r="558" spans="1:16" ht="15.6" x14ac:dyDescent="0.3">
      <c r="A558" t="s">
        <v>117</v>
      </c>
      <c r="B558">
        <v>13.51</v>
      </c>
      <c r="C558">
        <v>690</v>
      </c>
      <c r="D558" t="s">
        <v>65</v>
      </c>
      <c r="E558">
        <v>18.5</v>
      </c>
      <c r="F558">
        <v>11254</v>
      </c>
      <c r="G558">
        <v>60.8</v>
      </c>
      <c r="H558">
        <v>1124.8</v>
      </c>
      <c r="I558">
        <f t="shared" si="19"/>
        <v>5.3342816500711248</v>
      </c>
      <c r="J558">
        <f t="shared" si="18"/>
        <v>5.3342816500711239</v>
      </c>
      <c r="K558">
        <v>9.1018749999999997</v>
      </c>
      <c r="L558">
        <f>63.9*(5280/3600)</f>
        <v>93.719999999999985</v>
      </c>
      <c r="M558" s="2"/>
      <c r="N558" s="3"/>
      <c r="O558" s="2"/>
      <c r="P558" s="4"/>
    </row>
    <row r="559" spans="1:16" ht="15.6" x14ac:dyDescent="0.3">
      <c r="A559" t="s">
        <v>117</v>
      </c>
      <c r="B559">
        <v>13.51</v>
      </c>
      <c r="C559">
        <v>690</v>
      </c>
      <c r="D559" t="s">
        <v>81</v>
      </c>
      <c r="E559">
        <v>18.5</v>
      </c>
      <c r="F559">
        <v>11454</v>
      </c>
      <c r="G559">
        <v>51.62</v>
      </c>
      <c r="H559">
        <v>954.9</v>
      </c>
      <c r="I559">
        <f t="shared" si="19"/>
        <v>6.2833804586867732</v>
      </c>
      <c r="J559">
        <f t="shared" si="18"/>
        <v>6.282919882299967</v>
      </c>
      <c r="K559">
        <v>7.5487500000000001</v>
      </c>
      <c r="L559">
        <f>75.9*(5280/3600)</f>
        <v>111.32000000000001</v>
      </c>
      <c r="M559" s="2"/>
      <c r="N559" s="3"/>
      <c r="O559" s="2"/>
      <c r="P559" s="4"/>
    </row>
    <row r="560" spans="1:16" ht="15.6" x14ac:dyDescent="0.3">
      <c r="A560" t="s">
        <v>117</v>
      </c>
      <c r="B560">
        <v>13.51</v>
      </c>
      <c r="C560">
        <v>690</v>
      </c>
      <c r="D560" t="s">
        <v>66</v>
      </c>
      <c r="E560">
        <v>18.5</v>
      </c>
      <c r="F560">
        <v>11337</v>
      </c>
      <c r="G560">
        <v>56.75</v>
      </c>
      <c r="H560">
        <v>1049.9000000000001</v>
      </c>
      <c r="I560">
        <f t="shared" si="19"/>
        <v>5.7148299838079808</v>
      </c>
      <c r="J560">
        <f t="shared" si="18"/>
        <v>5.7149660673889748</v>
      </c>
      <c r="K560">
        <v>7.835</v>
      </c>
      <c r="L560">
        <f>85.9*(5280/3600)</f>
        <v>125.98666666666666</v>
      </c>
      <c r="M560" s="2"/>
      <c r="N560" s="3"/>
      <c r="O560" s="2"/>
      <c r="P560" s="4"/>
    </row>
    <row r="561" spans="1:16" ht="15.6" x14ac:dyDescent="0.3">
      <c r="A561" t="s">
        <v>117</v>
      </c>
      <c r="B561">
        <v>13.51</v>
      </c>
      <c r="C561">
        <v>690</v>
      </c>
      <c r="D561" t="s">
        <v>53</v>
      </c>
      <c r="E561">
        <v>18.5</v>
      </c>
      <c r="F561">
        <v>11276</v>
      </c>
      <c r="G561">
        <v>59.24</v>
      </c>
      <c r="H561">
        <v>1096</v>
      </c>
      <c r="I561">
        <f t="shared" si="19"/>
        <v>5.4744525547445253</v>
      </c>
      <c r="J561">
        <f t="shared" si="18"/>
        <v>5.4747522674598974</v>
      </c>
      <c r="K561">
        <v>8.7587499999999991</v>
      </c>
      <c r="L561">
        <f>64.1*(5280/3600)</f>
        <v>94.013333333333321</v>
      </c>
      <c r="M561" s="2"/>
      <c r="N561" s="3"/>
      <c r="O561" s="2"/>
      <c r="P561" s="4"/>
    </row>
    <row r="562" spans="1:16" ht="15.6" x14ac:dyDescent="0.3">
      <c r="A562" t="s">
        <v>117</v>
      </c>
      <c r="B562">
        <v>13.51</v>
      </c>
      <c r="C562">
        <v>690</v>
      </c>
      <c r="D562" t="s">
        <v>68</v>
      </c>
      <c r="E562">
        <v>22.2</v>
      </c>
      <c r="F562">
        <v>13785</v>
      </c>
      <c r="G562">
        <v>54.05</v>
      </c>
      <c r="H562">
        <v>1200</v>
      </c>
      <c r="I562">
        <f t="shared" si="19"/>
        <v>5</v>
      </c>
      <c r="J562">
        <f t="shared" si="18"/>
        <v>5.0003750281271104</v>
      </c>
      <c r="K562">
        <v>6.7725</v>
      </c>
      <c r="L562">
        <f>91.4*(5280/3600)</f>
        <v>134.05333333333334</v>
      </c>
      <c r="M562" s="2"/>
      <c r="N562" s="3"/>
      <c r="O562" s="2"/>
      <c r="P562" s="4"/>
    </row>
    <row r="563" spans="1:16" ht="15.6" x14ac:dyDescent="0.3">
      <c r="A563" t="s">
        <v>117</v>
      </c>
      <c r="B563">
        <v>13.51</v>
      </c>
      <c r="C563">
        <v>690</v>
      </c>
      <c r="D563" t="s">
        <v>69</v>
      </c>
      <c r="E563">
        <v>22.2</v>
      </c>
      <c r="F563">
        <v>13619</v>
      </c>
      <c r="G563">
        <v>61.65</v>
      </c>
      <c r="H563">
        <v>1368.6</v>
      </c>
      <c r="I563">
        <f t="shared" si="19"/>
        <v>4.3840420868040333</v>
      </c>
      <c r="J563">
        <f t="shared" si="18"/>
        <v>4.3839459897854063</v>
      </c>
      <c r="K563">
        <v>6.7106250000000003</v>
      </c>
      <c r="L563">
        <f>103.2*(5280/3600)</f>
        <v>151.35999999999999</v>
      </c>
      <c r="M563" s="2"/>
      <c r="N563" s="3"/>
      <c r="O563" s="2"/>
      <c r="P563" s="4"/>
    </row>
    <row r="564" spans="1:16" ht="15.6" x14ac:dyDescent="0.3">
      <c r="A564" t="s">
        <v>117</v>
      </c>
      <c r="B564">
        <v>13.51</v>
      </c>
      <c r="C564">
        <v>690</v>
      </c>
      <c r="D564" t="s">
        <v>55</v>
      </c>
      <c r="E564">
        <v>22.2</v>
      </c>
      <c r="F564">
        <v>13254</v>
      </c>
      <c r="G564">
        <v>78.900000000000006</v>
      </c>
      <c r="H564">
        <v>1751.5</v>
      </c>
      <c r="I564">
        <f t="shared" si="19"/>
        <v>3.4256351698544107</v>
      </c>
      <c r="J564">
        <f t="shared" si="18"/>
        <v>3.4254787106498128</v>
      </c>
      <c r="K564">
        <v>6.42875</v>
      </c>
      <c r="L564">
        <f>125.5*(5280/3600)</f>
        <v>184.06666666666666</v>
      </c>
      <c r="M564" s="2"/>
      <c r="N564" s="3"/>
      <c r="O564" s="2"/>
      <c r="P564" s="4"/>
    </row>
    <row r="565" spans="1:16" ht="15.6" x14ac:dyDescent="0.3">
      <c r="A565" t="s">
        <v>117</v>
      </c>
      <c r="B565">
        <v>13.51</v>
      </c>
      <c r="C565">
        <v>690</v>
      </c>
      <c r="D565" t="s">
        <v>70</v>
      </c>
      <c r="E565">
        <v>22.2</v>
      </c>
      <c r="F565">
        <v>13554</v>
      </c>
      <c r="G565">
        <v>60.79</v>
      </c>
      <c r="H565">
        <v>1349.6</v>
      </c>
      <c r="I565">
        <f t="shared" si="19"/>
        <v>4.4457617071724957</v>
      </c>
      <c r="J565">
        <f t="shared" si="18"/>
        <v>4.4459659527927338</v>
      </c>
      <c r="K565">
        <v>8.6137499999999996</v>
      </c>
      <c r="L565">
        <f>70.6*(5280/3600)</f>
        <v>103.54666666666665</v>
      </c>
      <c r="M565" s="2"/>
      <c r="N565" s="3"/>
      <c r="O565" s="2"/>
      <c r="P565" s="4"/>
    </row>
    <row r="566" spans="1:16" ht="15.6" x14ac:dyDescent="0.3">
      <c r="A566" t="s">
        <v>117</v>
      </c>
      <c r="B566">
        <v>13.51</v>
      </c>
      <c r="C566">
        <v>690</v>
      </c>
      <c r="D566" t="s">
        <v>71</v>
      </c>
      <c r="E566">
        <v>22.2</v>
      </c>
      <c r="F566">
        <v>13295</v>
      </c>
      <c r="G566">
        <v>75.39</v>
      </c>
      <c r="H566">
        <v>1673.7</v>
      </c>
      <c r="I566">
        <f t="shared" si="19"/>
        <v>3.5848718408316902</v>
      </c>
      <c r="J566">
        <f t="shared" si="18"/>
        <v>3.5849618022319976</v>
      </c>
      <c r="K566">
        <v>9.4556249999999995</v>
      </c>
      <c r="L566">
        <f>88.1*(5280/3600)</f>
        <v>129.21333333333331</v>
      </c>
      <c r="M566" s="2"/>
      <c r="N566" s="3"/>
      <c r="O566" s="2"/>
      <c r="P566" s="4"/>
    </row>
    <row r="567" spans="1:16" ht="15.6" x14ac:dyDescent="0.3">
      <c r="A567" t="s">
        <v>117</v>
      </c>
      <c r="B567">
        <v>13.51</v>
      </c>
      <c r="C567">
        <v>690</v>
      </c>
      <c r="D567" t="s">
        <v>75</v>
      </c>
      <c r="E567">
        <v>22.2</v>
      </c>
      <c r="F567">
        <v>13774</v>
      </c>
      <c r="G567">
        <v>56.31</v>
      </c>
      <c r="H567">
        <v>1250</v>
      </c>
      <c r="I567">
        <f t="shared" si="19"/>
        <v>4.8</v>
      </c>
      <c r="J567">
        <f t="shared" si="18"/>
        <v>4.7996851406547734</v>
      </c>
      <c r="K567">
        <v>6.0143750000000002</v>
      </c>
      <c r="L567">
        <f>104.4*(5280/3600)</f>
        <v>153.12</v>
      </c>
      <c r="M567" s="2"/>
      <c r="N567" s="3"/>
      <c r="O567" s="2"/>
      <c r="P567" s="4"/>
    </row>
    <row r="568" spans="1:16" ht="15.6" x14ac:dyDescent="0.3">
      <c r="A568" t="s">
        <v>117</v>
      </c>
      <c r="B568">
        <v>13.51</v>
      </c>
      <c r="C568">
        <v>690</v>
      </c>
      <c r="D568" t="s">
        <v>77</v>
      </c>
      <c r="E568">
        <v>22.2</v>
      </c>
      <c r="F568">
        <v>13755</v>
      </c>
      <c r="G568">
        <v>53.98</v>
      </c>
      <c r="H568">
        <v>1198.4000000000001</v>
      </c>
      <c r="I568">
        <f t="shared" si="19"/>
        <v>5.0066755674232306</v>
      </c>
      <c r="J568">
        <f t="shared" si="18"/>
        <v>5.0068593973744031</v>
      </c>
      <c r="K568">
        <v>7.9081250000000001</v>
      </c>
      <c r="L568">
        <f>78.2*(5280/3600)</f>
        <v>114.69333333333333</v>
      </c>
      <c r="M568" s="2"/>
      <c r="N568" s="3"/>
      <c r="O568" s="2"/>
      <c r="P568" s="4"/>
    </row>
    <row r="569" spans="1:16" ht="15.6" x14ac:dyDescent="0.3">
      <c r="A569" t="s">
        <v>117</v>
      </c>
      <c r="B569">
        <v>13.51</v>
      </c>
      <c r="C569">
        <v>690</v>
      </c>
      <c r="D569" t="s">
        <v>78</v>
      </c>
      <c r="E569">
        <v>22.2</v>
      </c>
      <c r="F569">
        <v>13692</v>
      </c>
      <c r="G569">
        <v>58.56</v>
      </c>
      <c r="H569">
        <v>1300</v>
      </c>
      <c r="I569">
        <f t="shared" si="19"/>
        <v>4.6153846153846159</v>
      </c>
      <c r="J569">
        <f t="shared" si="18"/>
        <v>4.6152710087136315</v>
      </c>
      <c r="K569">
        <v>8.0037500000000001</v>
      </c>
      <c r="L569">
        <f>90.8*(5280/3600)</f>
        <v>133.17333333333332</v>
      </c>
      <c r="M569" s="2"/>
      <c r="N569" s="3"/>
      <c r="O569" s="2"/>
      <c r="P569" s="4"/>
    </row>
    <row r="570" spans="1:16" ht="15.6" x14ac:dyDescent="0.3">
      <c r="A570" t="s">
        <v>117</v>
      </c>
      <c r="B570">
        <v>13.51</v>
      </c>
      <c r="C570">
        <v>690</v>
      </c>
      <c r="D570" t="s">
        <v>61</v>
      </c>
      <c r="E570">
        <v>22.2</v>
      </c>
      <c r="F570">
        <v>13329</v>
      </c>
      <c r="G570">
        <v>75.430000000000007</v>
      </c>
      <c r="H570">
        <v>1674.6</v>
      </c>
      <c r="I570">
        <f t="shared" si="19"/>
        <v>3.5829451809387316</v>
      </c>
      <c r="J570">
        <f t="shared" si="18"/>
        <v>3.5830607221300577</v>
      </c>
      <c r="K570">
        <v>7.4231249999999998</v>
      </c>
      <c r="L570">
        <f>101*(5280/3600)</f>
        <v>148.13333333333333</v>
      </c>
      <c r="M570" s="2"/>
      <c r="N570" s="3"/>
      <c r="O570" s="2"/>
      <c r="P570" s="4"/>
    </row>
    <row r="571" spans="1:16" ht="15.6" x14ac:dyDescent="0.3">
      <c r="A571" t="s">
        <v>117</v>
      </c>
      <c r="B571">
        <v>13.51</v>
      </c>
      <c r="C571">
        <v>690</v>
      </c>
      <c r="D571" t="s">
        <v>62</v>
      </c>
      <c r="E571">
        <v>22.2</v>
      </c>
      <c r="F571">
        <v>13338</v>
      </c>
      <c r="G571">
        <v>74.47</v>
      </c>
      <c r="H571">
        <v>1653.3</v>
      </c>
      <c r="I571">
        <f t="shared" si="19"/>
        <v>3.6291054255126109</v>
      </c>
      <c r="J571">
        <f t="shared" si="18"/>
        <v>3.6292503057643386</v>
      </c>
      <c r="K571">
        <v>9.4406250000000007</v>
      </c>
      <c r="L571">
        <f>75.8*(5280/3600)</f>
        <v>111.17333333333332</v>
      </c>
      <c r="M571" s="2"/>
      <c r="N571" s="3"/>
      <c r="O571" s="2"/>
      <c r="P571" s="4"/>
    </row>
    <row r="572" spans="1:16" ht="15.6" x14ac:dyDescent="0.3">
      <c r="A572" t="s">
        <v>117</v>
      </c>
      <c r="B572">
        <v>13.51</v>
      </c>
      <c r="C572">
        <v>690</v>
      </c>
      <c r="D572" t="s">
        <v>80</v>
      </c>
      <c r="E572">
        <v>22.2</v>
      </c>
      <c r="F572">
        <v>13688</v>
      </c>
      <c r="G572">
        <v>57.66</v>
      </c>
      <c r="H572">
        <v>1279.9000000000001</v>
      </c>
      <c r="I572">
        <f t="shared" si="19"/>
        <v>4.6878662395499644</v>
      </c>
      <c r="J572">
        <f t="shared" si="18"/>
        <v>4.6873095780483922</v>
      </c>
      <c r="K572">
        <v>8.8118750000000006</v>
      </c>
      <c r="L572">
        <f>90.7*(5280/3600)</f>
        <v>133.02666666666667</v>
      </c>
      <c r="M572" s="2"/>
      <c r="N572" s="3"/>
      <c r="O572" s="2"/>
      <c r="P572" s="4"/>
    </row>
    <row r="573" spans="1:16" ht="15.6" x14ac:dyDescent="0.3">
      <c r="A573" t="s">
        <v>117</v>
      </c>
      <c r="B573">
        <v>13.51</v>
      </c>
      <c r="C573">
        <v>690</v>
      </c>
      <c r="D573" t="s">
        <v>81</v>
      </c>
      <c r="E573">
        <v>22.2</v>
      </c>
      <c r="F573">
        <v>13423</v>
      </c>
      <c r="G573">
        <v>71.16</v>
      </c>
      <c r="H573">
        <v>1579.7</v>
      </c>
      <c r="I573">
        <f t="shared" si="19"/>
        <v>3.7981895296575297</v>
      </c>
      <c r="J573">
        <f t="shared" si="18"/>
        <v>3.798064506327576</v>
      </c>
      <c r="K573">
        <v>10.5825</v>
      </c>
      <c r="L573">
        <f>89*(5280/3600)</f>
        <v>130.53333333333333</v>
      </c>
      <c r="M573" s="5"/>
      <c r="N573" s="3"/>
      <c r="O573" s="5"/>
      <c r="P573" s="4"/>
    </row>
    <row r="574" spans="1:16" ht="15.6" x14ac:dyDescent="0.3">
      <c r="A574" t="s">
        <v>117</v>
      </c>
      <c r="B574">
        <v>13.51</v>
      </c>
      <c r="C574">
        <v>690</v>
      </c>
      <c r="D574" t="s">
        <v>66</v>
      </c>
      <c r="E574">
        <v>22.2</v>
      </c>
      <c r="F574">
        <v>13240</v>
      </c>
      <c r="G574">
        <v>78.790000000000006</v>
      </c>
      <c r="H574">
        <v>1749.2</v>
      </c>
      <c r="I574">
        <f t="shared" si="19"/>
        <v>3.4301394923393551</v>
      </c>
      <c r="J574">
        <f t="shared" si="18"/>
        <v>3.430261077170583</v>
      </c>
      <c r="K574">
        <v>10.613125</v>
      </c>
      <c r="L574">
        <f>100.3*(5280/3600)</f>
        <v>147.10666666666665</v>
      </c>
      <c r="M574" s="5"/>
      <c r="N574" s="3"/>
      <c r="O574" s="5"/>
      <c r="P574" s="4"/>
    </row>
    <row r="575" spans="1:16" ht="15.6" x14ac:dyDescent="0.3">
      <c r="A575" t="s">
        <v>124</v>
      </c>
      <c r="B575">
        <v>2.77</v>
      </c>
      <c r="C575">
        <v>1000</v>
      </c>
      <c r="D575" t="s">
        <v>127</v>
      </c>
      <c r="E575">
        <v>11.1</v>
      </c>
      <c r="F575">
        <v>9080</v>
      </c>
      <c r="G575">
        <v>11.6</v>
      </c>
      <c r="H575">
        <v>128.80000000000001</v>
      </c>
      <c r="I575">
        <f t="shared" si="19"/>
        <v>46.583850931677013</v>
      </c>
      <c r="J575">
        <f t="shared" si="18"/>
        <v>46.598322460391429</v>
      </c>
      <c r="K575">
        <v>1.4724999999999999</v>
      </c>
      <c r="L575">
        <f>51.6*(5280/3600)</f>
        <v>75.679999999999993</v>
      </c>
      <c r="M575" s="2"/>
      <c r="N575" s="3"/>
      <c r="O575" s="2"/>
      <c r="P575" s="4"/>
    </row>
    <row r="576" spans="1:16" ht="15.6" x14ac:dyDescent="0.3">
      <c r="A576" t="s">
        <v>124</v>
      </c>
      <c r="B576">
        <v>2.77</v>
      </c>
      <c r="C576">
        <v>1000</v>
      </c>
      <c r="D576" t="s">
        <v>128</v>
      </c>
      <c r="E576">
        <v>11.1</v>
      </c>
      <c r="F576">
        <v>8615</v>
      </c>
      <c r="G576">
        <v>14.45</v>
      </c>
      <c r="H576">
        <v>160.30000000000001</v>
      </c>
      <c r="I576">
        <f t="shared" si="19"/>
        <v>37.429819089207733</v>
      </c>
      <c r="J576">
        <f t="shared" si="18"/>
        <v>37.407649864397271</v>
      </c>
      <c r="K576">
        <v>1.3887499999999999</v>
      </c>
      <c r="L576">
        <f>65.3*(5280/3600)</f>
        <v>95.773333333333326</v>
      </c>
      <c r="M576" s="2"/>
      <c r="N576" s="3"/>
      <c r="O576" s="2"/>
      <c r="P576" s="4"/>
    </row>
    <row r="577" spans="1:16" ht="15.6" x14ac:dyDescent="0.3">
      <c r="A577" t="s">
        <v>124</v>
      </c>
      <c r="B577">
        <v>2.77</v>
      </c>
      <c r="C577">
        <v>1000</v>
      </c>
      <c r="D577" t="s">
        <v>129</v>
      </c>
      <c r="E577">
        <v>11.1</v>
      </c>
      <c r="F577">
        <v>9080</v>
      </c>
      <c r="G577">
        <v>11.68</v>
      </c>
      <c r="H577">
        <v>129.6</v>
      </c>
      <c r="I577">
        <f t="shared" si="19"/>
        <v>46.296296296296298</v>
      </c>
      <c r="J577">
        <f t="shared" si="18"/>
        <v>46.279155868196966</v>
      </c>
      <c r="K577">
        <v>1.7418750000000001</v>
      </c>
      <c r="L577">
        <f>38.7*(5280/3600)</f>
        <v>56.76</v>
      </c>
      <c r="M577" s="2"/>
      <c r="N577" s="3"/>
      <c r="O577" s="2"/>
      <c r="P577" s="4"/>
    </row>
    <row r="578" spans="1:16" ht="15.6" x14ac:dyDescent="0.3">
      <c r="A578" t="s">
        <v>124</v>
      </c>
      <c r="B578">
        <v>2.77</v>
      </c>
      <c r="C578">
        <v>1000</v>
      </c>
      <c r="D578" t="s">
        <v>107</v>
      </c>
      <c r="E578">
        <v>11.1</v>
      </c>
      <c r="F578">
        <v>8788</v>
      </c>
      <c r="G578">
        <v>13.52</v>
      </c>
      <c r="H578">
        <v>150</v>
      </c>
      <c r="I578">
        <f t="shared" si="19"/>
        <v>40</v>
      </c>
      <c r="J578">
        <f t="shared" si="18"/>
        <v>39.980809211578446</v>
      </c>
      <c r="K578">
        <v>1.77</v>
      </c>
      <c r="L578">
        <f>49.9*(5280/3600)</f>
        <v>73.186666666666653</v>
      </c>
      <c r="M578" s="2"/>
      <c r="N578" s="3"/>
      <c r="O578" s="2"/>
      <c r="P578" s="4"/>
    </row>
    <row r="579" spans="1:16" ht="15.6" x14ac:dyDescent="0.3">
      <c r="A579" t="s">
        <v>124</v>
      </c>
      <c r="B579">
        <v>2.77</v>
      </c>
      <c r="C579">
        <v>1000</v>
      </c>
      <c r="D579" t="s">
        <v>99</v>
      </c>
      <c r="E579">
        <v>11.1</v>
      </c>
      <c r="F579">
        <v>8414</v>
      </c>
      <c r="G579">
        <v>15.66</v>
      </c>
      <c r="H579">
        <v>173.8</v>
      </c>
      <c r="I579">
        <f t="shared" si="19"/>
        <v>34.522439585730723</v>
      </c>
      <c r="J579">
        <f t="shared" ref="J579:J642" si="20">( ($N$1/E579)/G579)*60</f>
        <v>34.517275896586241</v>
      </c>
      <c r="K579">
        <v>2.15625</v>
      </c>
      <c r="L579">
        <f>39.8*(5280/3600)</f>
        <v>58.373333333333328</v>
      </c>
      <c r="M579" s="2"/>
      <c r="N579" s="3"/>
      <c r="O579" s="2"/>
      <c r="P579" s="4"/>
    </row>
    <row r="580" spans="1:16" ht="15.6" x14ac:dyDescent="0.3">
      <c r="A580" t="s">
        <v>124</v>
      </c>
      <c r="B580">
        <v>2.77</v>
      </c>
      <c r="C580">
        <v>1000</v>
      </c>
      <c r="D580" t="s">
        <v>67</v>
      </c>
      <c r="E580">
        <v>11.1</v>
      </c>
      <c r="F580">
        <v>8146</v>
      </c>
      <c r="G580">
        <v>17.3</v>
      </c>
      <c r="H580">
        <v>192</v>
      </c>
      <c r="I580">
        <f t="shared" ref="I580:I643" si="21" xml:space="preserve"> ($N$1/H580)*60</f>
        <v>31.250000000000004</v>
      </c>
      <c r="J580">
        <f t="shared" si="20"/>
        <v>31.24511795032026</v>
      </c>
      <c r="K580">
        <v>2.2462499999999999</v>
      </c>
      <c r="L580">
        <f>46.3*(5280/3600)</f>
        <v>67.906666666666652</v>
      </c>
      <c r="M580" s="2"/>
      <c r="N580" s="3"/>
      <c r="O580" s="2"/>
      <c r="P580" s="4"/>
    </row>
    <row r="581" spans="1:16" ht="15.6" x14ac:dyDescent="0.3">
      <c r="A581" t="s">
        <v>124</v>
      </c>
      <c r="B581">
        <v>2.77</v>
      </c>
      <c r="C581">
        <v>1000</v>
      </c>
      <c r="D581" t="s">
        <v>131</v>
      </c>
      <c r="E581">
        <v>11.1</v>
      </c>
      <c r="F581">
        <v>8587</v>
      </c>
      <c r="G581">
        <v>14.68</v>
      </c>
      <c r="H581">
        <v>163</v>
      </c>
      <c r="I581">
        <f t="shared" si="21"/>
        <v>36.809815950920246</v>
      </c>
      <c r="J581">
        <f t="shared" si="20"/>
        <v>36.821562707121295</v>
      </c>
      <c r="K581">
        <v>1.96</v>
      </c>
      <c r="L581">
        <f>48.8*(5280/3600)</f>
        <v>71.573333333333323</v>
      </c>
      <c r="M581" s="2"/>
      <c r="N581" s="3"/>
      <c r="O581" s="2"/>
      <c r="P581" s="4"/>
    </row>
    <row r="582" spans="1:16" ht="15.6" x14ac:dyDescent="0.3">
      <c r="A582" t="s">
        <v>124</v>
      </c>
      <c r="B582">
        <v>2.77</v>
      </c>
      <c r="C582">
        <v>1000</v>
      </c>
      <c r="D582" t="s">
        <v>133</v>
      </c>
      <c r="E582">
        <v>11.1</v>
      </c>
      <c r="F582">
        <v>8565</v>
      </c>
      <c r="G582">
        <v>14.94</v>
      </c>
      <c r="H582">
        <v>165.8</v>
      </c>
      <c r="I582">
        <f t="shared" si="21"/>
        <v>36.1881785283474</v>
      </c>
      <c r="J582">
        <f t="shared" si="20"/>
        <v>36.180759072325344</v>
      </c>
      <c r="K582">
        <v>1.9556249999999999</v>
      </c>
      <c r="L582">
        <f>40.6*(5280/3600)</f>
        <v>59.546666666666667</v>
      </c>
      <c r="M582" s="2"/>
      <c r="N582" s="3"/>
      <c r="O582" s="2"/>
      <c r="P582" s="4"/>
    </row>
    <row r="583" spans="1:16" ht="15.6" x14ac:dyDescent="0.3">
      <c r="A583" t="s">
        <v>124</v>
      </c>
      <c r="B583">
        <v>2.77</v>
      </c>
      <c r="C583">
        <v>1000</v>
      </c>
      <c r="D583" t="s">
        <v>142</v>
      </c>
      <c r="E583">
        <v>11.1</v>
      </c>
      <c r="F583">
        <v>8850</v>
      </c>
      <c r="G583">
        <v>13.03</v>
      </c>
      <c r="H583">
        <v>144.69999999999999</v>
      </c>
      <c r="I583">
        <f t="shared" si="21"/>
        <v>41.465100207325506</v>
      </c>
      <c r="J583">
        <f t="shared" si="20"/>
        <v>41.484308560287076</v>
      </c>
      <c r="K583">
        <v>1.09375</v>
      </c>
      <c r="L583">
        <f>33.5*(5280/3600)</f>
        <v>49.133333333333333</v>
      </c>
      <c r="M583" s="2"/>
      <c r="N583" s="3"/>
      <c r="O583" s="2"/>
      <c r="P583" s="4"/>
    </row>
    <row r="584" spans="1:16" ht="15.6" x14ac:dyDescent="0.3">
      <c r="A584" t="s">
        <v>124</v>
      </c>
      <c r="B584">
        <v>2.77</v>
      </c>
      <c r="C584">
        <v>1000</v>
      </c>
      <c r="D584" t="s">
        <v>130</v>
      </c>
      <c r="E584">
        <v>11.1</v>
      </c>
      <c r="F584">
        <v>9069</v>
      </c>
      <c r="G584">
        <v>11.27</v>
      </c>
      <c r="H584">
        <v>125.1</v>
      </c>
      <c r="I584">
        <f t="shared" si="21"/>
        <v>47.961630695443645</v>
      </c>
      <c r="J584">
        <f t="shared" si="20"/>
        <v>47.962780882035545</v>
      </c>
      <c r="K584">
        <v>1.68625</v>
      </c>
      <c r="L584">
        <f>42.9*(5280/3600)</f>
        <v>62.919999999999995</v>
      </c>
      <c r="M584" s="2"/>
      <c r="N584" s="3"/>
      <c r="O584" s="2"/>
      <c r="P584" s="4"/>
    </row>
    <row r="585" spans="1:16" ht="15.6" x14ac:dyDescent="0.3">
      <c r="A585" t="s">
        <v>124</v>
      </c>
      <c r="B585">
        <v>2.77</v>
      </c>
      <c r="C585">
        <v>1000</v>
      </c>
      <c r="D585" t="s">
        <v>131</v>
      </c>
      <c r="E585">
        <v>11.1</v>
      </c>
      <c r="F585">
        <v>8375</v>
      </c>
      <c r="G585">
        <v>16.010000000000002</v>
      </c>
      <c r="H585">
        <v>177.8</v>
      </c>
      <c r="I585">
        <f t="shared" si="21"/>
        <v>33.745781777277841</v>
      </c>
      <c r="J585">
        <f t="shared" si="20"/>
        <v>33.762682107466617</v>
      </c>
      <c r="K585">
        <v>2.1537500000000001</v>
      </c>
      <c r="L585">
        <f>47.6*(5280/3600)</f>
        <v>69.813333333333333</v>
      </c>
      <c r="M585" s="2"/>
      <c r="N585" s="3"/>
      <c r="O585" s="2"/>
      <c r="P585" s="4"/>
    </row>
    <row r="586" spans="1:16" ht="15.6" x14ac:dyDescent="0.3">
      <c r="A586" t="s">
        <v>124</v>
      </c>
      <c r="B586">
        <v>2.77</v>
      </c>
      <c r="C586">
        <v>1000</v>
      </c>
      <c r="D586" t="s">
        <v>145</v>
      </c>
      <c r="E586">
        <v>11.1</v>
      </c>
      <c r="F586">
        <v>8967</v>
      </c>
      <c r="G586">
        <v>12.38</v>
      </c>
      <c r="H586">
        <v>137.4</v>
      </c>
      <c r="I586">
        <f t="shared" si="21"/>
        <v>43.668122270742359</v>
      </c>
      <c r="J586">
        <f t="shared" si="20"/>
        <v>43.66240230537484</v>
      </c>
      <c r="K586">
        <v>1.5081249999999999</v>
      </c>
      <c r="L586">
        <f>50.9*(5280/3600)</f>
        <v>74.653333333333322</v>
      </c>
      <c r="M586" s="2"/>
      <c r="N586" s="3"/>
      <c r="O586" s="2"/>
      <c r="P586" s="4"/>
    </row>
    <row r="587" spans="1:16" ht="15.6" x14ac:dyDescent="0.3">
      <c r="A587" t="s">
        <v>124</v>
      </c>
      <c r="B587">
        <v>2.77</v>
      </c>
      <c r="C587">
        <v>1000</v>
      </c>
      <c r="D587" t="s">
        <v>79</v>
      </c>
      <c r="E587">
        <v>11.1</v>
      </c>
      <c r="F587">
        <v>8278</v>
      </c>
      <c r="G587">
        <v>16.5</v>
      </c>
      <c r="H587">
        <v>183.2</v>
      </c>
      <c r="I587">
        <f t="shared" si="21"/>
        <v>32.751091703056773</v>
      </c>
      <c r="J587">
        <f t="shared" si="20"/>
        <v>32.760032760032765</v>
      </c>
      <c r="K587">
        <v>2.2087500000000002</v>
      </c>
      <c r="L587">
        <f>39.2*(5280/3600)</f>
        <v>57.493333333333332</v>
      </c>
      <c r="M587" s="2"/>
      <c r="N587" s="3"/>
      <c r="O587" s="2"/>
      <c r="P587" s="4"/>
    </row>
    <row r="588" spans="1:16" x14ac:dyDescent="0.3">
      <c r="A588" t="s">
        <v>124</v>
      </c>
      <c r="B588">
        <v>2.77</v>
      </c>
      <c r="C588">
        <v>1000</v>
      </c>
      <c r="D588" t="s">
        <v>148</v>
      </c>
      <c r="E588">
        <v>14.8</v>
      </c>
      <c r="F588">
        <v>12450</v>
      </c>
      <c r="G588">
        <v>11.62</v>
      </c>
      <c r="H588">
        <v>171.9</v>
      </c>
      <c r="I588">
        <f t="shared" si="21"/>
        <v>34.904013961605585</v>
      </c>
      <c r="J588">
        <f t="shared" si="20"/>
        <v>34.888589105456575</v>
      </c>
      <c r="K588">
        <v>1.534375</v>
      </c>
      <c r="L588">
        <f>58.9*(5280/3600)</f>
        <v>86.386666666666656</v>
      </c>
      <c r="M588" s="2"/>
      <c r="N588" s="2"/>
      <c r="O588" s="2"/>
      <c r="P588" s="2"/>
    </row>
    <row r="589" spans="1:16" x14ac:dyDescent="0.3">
      <c r="A589" t="s">
        <v>124</v>
      </c>
      <c r="B589">
        <v>2.77</v>
      </c>
      <c r="C589">
        <v>1000</v>
      </c>
      <c r="D589" t="s">
        <v>149</v>
      </c>
      <c r="E589">
        <v>14.8</v>
      </c>
      <c r="F589">
        <v>12350</v>
      </c>
      <c r="G589">
        <v>12.18</v>
      </c>
      <c r="H589">
        <v>180.3</v>
      </c>
      <c r="I589">
        <f t="shared" si="21"/>
        <v>33.277870216306155</v>
      </c>
      <c r="J589">
        <f t="shared" si="20"/>
        <v>33.284516043136733</v>
      </c>
      <c r="K589">
        <v>1.66875</v>
      </c>
      <c r="L589">
        <f>70.2*(5280/3600)</f>
        <v>102.96</v>
      </c>
      <c r="M589" s="2"/>
      <c r="N589" s="2"/>
      <c r="O589" s="2"/>
      <c r="P589" s="2"/>
    </row>
    <row r="590" spans="1:16" x14ac:dyDescent="0.3">
      <c r="A590" t="s">
        <v>124</v>
      </c>
      <c r="B590">
        <v>2.77</v>
      </c>
      <c r="C590">
        <v>1000</v>
      </c>
      <c r="D590" t="s">
        <v>125</v>
      </c>
      <c r="E590">
        <v>14.8</v>
      </c>
      <c r="F590">
        <v>11950</v>
      </c>
      <c r="G590">
        <v>14.8</v>
      </c>
      <c r="H590">
        <v>219</v>
      </c>
      <c r="I590">
        <f t="shared" si="21"/>
        <v>27.397260273972602</v>
      </c>
      <c r="J590">
        <f t="shared" si="20"/>
        <v>27.392257121986848</v>
      </c>
      <c r="K590">
        <v>1.6556249999999999</v>
      </c>
      <c r="L590">
        <f>79.2*(5280/3600)</f>
        <v>116.16</v>
      </c>
      <c r="M590" s="2"/>
      <c r="N590" s="2"/>
      <c r="O590" s="2"/>
      <c r="P590" s="2"/>
    </row>
    <row r="591" spans="1:16" x14ac:dyDescent="0.3">
      <c r="A591" t="s">
        <v>124</v>
      </c>
      <c r="B591">
        <v>2.77</v>
      </c>
      <c r="C591">
        <v>1000</v>
      </c>
      <c r="D591" t="s">
        <v>126</v>
      </c>
      <c r="E591">
        <v>14.8</v>
      </c>
      <c r="F591">
        <v>12138</v>
      </c>
      <c r="G591">
        <v>13.45</v>
      </c>
      <c r="H591">
        <v>199</v>
      </c>
      <c r="I591">
        <f t="shared" si="21"/>
        <v>30.150753768844218</v>
      </c>
      <c r="J591">
        <f t="shared" si="20"/>
        <v>30.141665829398168</v>
      </c>
      <c r="K591">
        <v>2.0918749999999999</v>
      </c>
      <c r="L591">
        <f>46*(5280/3600)</f>
        <v>67.466666666666669</v>
      </c>
      <c r="M591" s="2"/>
      <c r="N591" s="2"/>
      <c r="O591" s="2"/>
      <c r="P591" s="2"/>
    </row>
    <row r="592" spans="1:16" x14ac:dyDescent="0.3">
      <c r="A592" t="s">
        <v>124</v>
      </c>
      <c r="B592">
        <v>2.77</v>
      </c>
      <c r="C592">
        <v>1000</v>
      </c>
      <c r="D592" t="s">
        <v>127</v>
      </c>
      <c r="E592">
        <v>14.8</v>
      </c>
      <c r="F592">
        <v>11275</v>
      </c>
      <c r="G592">
        <v>18.66</v>
      </c>
      <c r="H592">
        <v>276.2</v>
      </c>
      <c r="I592">
        <f t="shared" si="21"/>
        <v>21.723388848660392</v>
      </c>
      <c r="J592">
        <f t="shared" si="20"/>
        <v>21.725905970278959</v>
      </c>
      <c r="K592">
        <v>2.339375</v>
      </c>
      <c r="L592">
        <f>64.1*(5280/3600)</f>
        <v>94.013333333333321</v>
      </c>
      <c r="M592" s="2"/>
      <c r="N592" s="2"/>
      <c r="O592" s="2"/>
      <c r="P592" s="2"/>
    </row>
    <row r="593" spans="1:16" x14ac:dyDescent="0.3">
      <c r="A593" t="s">
        <v>124</v>
      </c>
      <c r="B593">
        <v>2.77</v>
      </c>
      <c r="C593">
        <v>1000</v>
      </c>
      <c r="D593" t="s">
        <v>130</v>
      </c>
      <c r="E593">
        <v>14.8</v>
      </c>
      <c r="F593">
        <v>11725</v>
      </c>
      <c r="G593">
        <v>16.2</v>
      </c>
      <c r="H593">
        <v>239.7</v>
      </c>
      <c r="I593">
        <f t="shared" si="21"/>
        <v>25.031289111389235</v>
      </c>
      <c r="J593">
        <f t="shared" si="20"/>
        <v>25.025025025025023</v>
      </c>
      <c r="K593">
        <v>2.3762500000000002</v>
      </c>
      <c r="L593">
        <f>55.5*(5280/3600)</f>
        <v>81.399999999999991</v>
      </c>
      <c r="M593" s="2"/>
      <c r="N593" s="2"/>
      <c r="O593" s="2"/>
      <c r="P593" s="2"/>
    </row>
    <row r="594" spans="1:16" x14ac:dyDescent="0.3">
      <c r="A594" t="s">
        <v>124</v>
      </c>
      <c r="B594">
        <v>2.77</v>
      </c>
      <c r="C594">
        <v>1000</v>
      </c>
      <c r="D594" t="s">
        <v>141</v>
      </c>
      <c r="E594">
        <v>14.8</v>
      </c>
      <c r="F594">
        <v>11966</v>
      </c>
      <c r="G594">
        <v>14.61</v>
      </c>
      <c r="H594">
        <v>216.2</v>
      </c>
      <c r="I594">
        <f t="shared" si="21"/>
        <v>27.752081406105457</v>
      </c>
      <c r="J594">
        <f t="shared" si="20"/>
        <v>27.748487707419944</v>
      </c>
      <c r="K594">
        <v>1.2675000000000001</v>
      </c>
      <c r="L594">
        <f>68*(5280/3600)</f>
        <v>99.73333333333332</v>
      </c>
      <c r="M594" s="2"/>
      <c r="N594" s="2"/>
      <c r="O594" s="2"/>
      <c r="P594" s="2"/>
    </row>
    <row r="595" spans="1:16" x14ac:dyDescent="0.3">
      <c r="A595" t="s">
        <v>124</v>
      </c>
      <c r="B595">
        <v>2.77</v>
      </c>
      <c r="C595">
        <v>1000</v>
      </c>
      <c r="D595" t="s">
        <v>143</v>
      </c>
      <c r="E595">
        <v>14.8</v>
      </c>
      <c r="F595">
        <v>12116</v>
      </c>
      <c r="G595">
        <v>13.58</v>
      </c>
      <c r="H595">
        <v>201</v>
      </c>
      <c r="I595">
        <f t="shared" si="21"/>
        <v>29.850746268656717</v>
      </c>
      <c r="J595">
        <f t="shared" si="20"/>
        <v>29.853122636627788</v>
      </c>
      <c r="K595">
        <v>2.0106250000000001</v>
      </c>
      <c r="L595">
        <f>57.4*(5280/3600)</f>
        <v>84.186666666666653</v>
      </c>
      <c r="M595" s="2"/>
      <c r="N595" s="2"/>
      <c r="O595" s="2"/>
      <c r="P595" s="2"/>
    </row>
    <row r="596" spans="1:16" ht="15.6" x14ac:dyDescent="0.3">
      <c r="A596" t="s">
        <v>153</v>
      </c>
      <c r="B596">
        <v>2.77</v>
      </c>
      <c r="C596">
        <v>1150</v>
      </c>
      <c r="D596" t="s">
        <v>125</v>
      </c>
      <c r="E596">
        <v>11.1</v>
      </c>
      <c r="F596">
        <v>10524</v>
      </c>
      <c r="G596">
        <v>12.9</v>
      </c>
      <c r="H596">
        <v>143.19999999999999</v>
      </c>
      <c r="I596">
        <f t="shared" si="21"/>
        <v>41.899441340782126</v>
      </c>
      <c r="J596">
        <f t="shared" si="20"/>
        <v>41.902367483762838</v>
      </c>
      <c r="K596">
        <v>1.2368749999999999</v>
      </c>
      <c r="L596">
        <f>69.8*(5280/3600)</f>
        <v>102.37333333333332</v>
      </c>
      <c r="M596" s="2"/>
      <c r="N596" s="3"/>
      <c r="O596" s="2"/>
      <c r="P596" s="4"/>
    </row>
    <row r="597" spans="1:16" ht="15.6" x14ac:dyDescent="0.3">
      <c r="A597" t="s">
        <v>153</v>
      </c>
      <c r="B597">
        <v>2.77</v>
      </c>
      <c r="C597">
        <v>1150</v>
      </c>
      <c r="D597" t="s">
        <v>127</v>
      </c>
      <c r="E597">
        <v>11.1</v>
      </c>
      <c r="F597">
        <v>9963</v>
      </c>
      <c r="G597">
        <v>16.079999999999998</v>
      </c>
      <c r="H597">
        <v>178.5</v>
      </c>
      <c r="I597">
        <f t="shared" si="21"/>
        <v>33.613445378151262</v>
      </c>
      <c r="J597">
        <f t="shared" si="20"/>
        <v>33.615705257496302</v>
      </c>
      <c r="K597">
        <v>1.7506250000000001</v>
      </c>
      <c r="L597">
        <f>56.6*(5280/3600)</f>
        <v>83.013333333333335</v>
      </c>
      <c r="M597" s="2"/>
      <c r="N597" s="3"/>
      <c r="O597" s="2"/>
      <c r="P597" s="4"/>
    </row>
    <row r="598" spans="1:16" ht="15.6" x14ac:dyDescent="0.3">
      <c r="A598" t="s">
        <v>153</v>
      </c>
      <c r="B598">
        <v>2.77</v>
      </c>
      <c r="C598">
        <v>1150</v>
      </c>
      <c r="D598" t="s">
        <v>129</v>
      </c>
      <c r="E598">
        <v>11.1</v>
      </c>
      <c r="F598">
        <v>10239</v>
      </c>
      <c r="G598">
        <v>18.600000000000001</v>
      </c>
      <c r="H598">
        <v>206.5</v>
      </c>
      <c r="I598">
        <f t="shared" si="21"/>
        <v>29.055690072639226</v>
      </c>
      <c r="J598">
        <f t="shared" si="20"/>
        <v>29.061319383900027</v>
      </c>
      <c r="K598">
        <v>2.2374999999999998</v>
      </c>
      <c r="L598">
        <f>43.6*(5280/3600)</f>
        <v>63.946666666666665</v>
      </c>
      <c r="M598" s="2"/>
      <c r="N598" s="3"/>
      <c r="O598" s="2"/>
      <c r="P598" s="4"/>
    </row>
    <row r="599" spans="1:16" ht="15.6" x14ac:dyDescent="0.3">
      <c r="A599" t="s">
        <v>153</v>
      </c>
      <c r="B599">
        <v>2.77</v>
      </c>
      <c r="C599">
        <v>1150</v>
      </c>
      <c r="D599" t="s">
        <v>130</v>
      </c>
      <c r="E599">
        <v>11.1</v>
      </c>
      <c r="F599">
        <v>10678</v>
      </c>
      <c r="G599">
        <v>16.649999999999999</v>
      </c>
      <c r="H599">
        <v>184.8</v>
      </c>
      <c r="I599">
        <f t="shared" si="21"/>
        <v>32.467532467532465</v>
      </c>
      <c r="J599">
        <f t="shared" si="20"/>
        <v>32.464897329762195</v>
      </c>
      <c r="K599">
        <v>1.9243749999999999</v>
      </c>
      <c r="L599">
        <f>50.6*(5280/3600)</f>
        <v>74.213333333333324</v>
      </c>
      <c r="M599" s="2"/>
      <c r="N599" s="3"/>
      <c r="O599" s="2"/>
      <c r="P599" s="4"/>
    </row>
    <row r="600" spans="1:16" ht="15.6" x14ac:dyDescent="0.3">
      <c r="A600" t="s">
        <v>153</v>
      </c>
      <c r="B600">
        <v>2.77</v>
      </c>
      <c r="C600">
        <v>1150</v>
      </c>
      <c r="D600" t="s">
        <v>141</v>
      </c>
      <c r="E600">
        <v>11.1</v>
      </c>
      <c r="F600">
        <v>10950</v>
      </c>
      <c r="G600">
        <v>15.42</v>
      </c>
      <c r="H600">
        <v>171.1</v>
      </c>
      <c r="I600">
        <f t="shared" si="21"/>
        <v>35.067212156633552</v>
      </c>
      <c r="J600">
        <f t="shared" si="20"/>
        <v>35.054509762680972</v>
      </c>
      <c r="K600">
        <v>1.0406249999999999</v>
      </c>
      <c r="L600">
        <f>62.2*(5280/3600)</f>
        <v>91.226666666666659</v>
      </c>
      <c r="M600" s="2"/>
      <c r="N600" s="3"/>
      <c r="O600" s="2"/>
      <c r="P600" s="4"/>
    </row>
    <row r="601" spans="1:16" ht="15.6" x14ac:dyDescent="0.3">
      <c r="A601" t="s">
        <v>153</v>
      </c>
      <c r="B601">
        <v>2.77</v>
      </c>
      <c r="C601">
        <v>1150</v>
      </c>
      <c r="D601" t="s">
        <v>143</v>
      </c>
      <c r="E601">
        <v>11.1</v>
      </c>
      <c r="F601">
        <v>11104</v>
      </c>
      <c r="G601">
        <v>14.55</v>
      </c>
      <c r="H601">
        <v>161.5</v>
      </c>
      <c r="I601">
        <f t="shared" si="21"/>
        <v>37.151702786377712</v>
      </c>
      <c r="J601">
        <f t="shared" si="20"/>
        <v>37.150552614470143</v>
      </c>
      <c r="K601">
        <v>1.681875</v>
      </c>
      <c r="L601">
        <f>52.6*(5280/3600)</f>
        <v>77.146666666666661</v>
      </c>
      <c r="M601" s="2"/>
      <c r="N601" s="3"/>
      <c r="O601" s="2"/>
      <c r="P601" s="4"/>
    </row>
    <row r="602" spans="1:16" ht="15.6" x14ac:dyDescent="0.3">
      <c r="A602" t="s">
        <v>153</v>
      </c>
      <c r="B602">
        <v>2.77</v>
      </c>
      <c r="C602">
        <v>1150</v>
      </c>
      <c r="D602" t="s">
        <v>130</v>
      </c>
      <c r="E602">
        <v>11.1</v>
      </c>
      <c r="F602">
        <v>10305</v>
      </c>
      <c r="G602">
        <v>18.63</v>
      </c>
      <c r="H602">
        <v>206.8</v>
      </c>
      <c r="I602">
        <f t="shared" si="21"/>
        <v>29.013539651837522</v>
      </c>
      <c r="J602">
        <f t="shared" si="20"/>
        <v>29.014521768144959</v>
      </c>
      <c r="K602">
        <v>2.2068750000000001</v>
      </c>
      <c r="L602">
        <f>48.8*(5280/3600)</f>
        <v>71.573333333333323</v>
      </c>
      <c r="M602" s="2"/>
      <c r="N602" s="3"/>
      <c r="O602" s="2"/>
      <c r="P602" s="4"/>
    </row>
    <row r="603" spans="1:16" x14ac:dyDescent="0.3">
      <c r="A603" t="s">
        <v>153</v>
      </c>
      <c r="B603">
        <v>2.77</v>
      </c>
      <c r="C603">
        <v>1150</v>
      </c>
      <c r="D603" t="s">
        <v>146</v>
      </c>
      <c r="E603">
        <v>14.8</v>
      </c>
      <c r="F603">
        <v>14355</v>
      </c>
      <c r="G603">
        <v>13.71</v>
      </c>
      <c r="H603">
        <v>202.9</v>
      </c>
      <c r="I603">
        <f t="shared" si="21"/>
        <v>29.571217348447512</v>
      </c>
      <c r="J603">
        <f t="shared" si="20"/>
        <v>29.570051451889523</v>
      </c>
      <c r="K603">
        <v>1.92875</v>
      </c>
      <c r="L603">
        <f>54.4*(5280/3600)</f>
        <v>79.786666666666662</v>
      </c>
      <c r="M603" s="2"/>
      <c r="N603" s="2"/>
      <c r="O603" s="2"/>
      <c r="P603" s="2"/>
    </row>
    <row r="604" spans="1:16" x14ac:dyDescent="0.3">
      <c r="A604" t="s">
        <v>153</v>
      </c>
      <c r="B604">
        <v>2.77</v>
      </c>
      <c r="C604">
        <v>1150</v>
      </c>
      <c r="D604" t="s">
        <v>148</v>
      </c>
      <c r="E604">
        <v>14.8</v>
      </c>
      <c r="F604">
        <v>13795</v>
      </c>
      <c r="G604">
        <v>16.670000000000002</v>
      </c>
      <c r="H604">
        <v>246.7</v>
      </c>
      <c r="I604">
        <f t="shared" si="21"/>
        <v>24.321037697608432</v>
      </c>
      <c r="J604">
        <f t="shared" si="20"/>
        <v>24.319460432237872</v>
      </c>
      <c r="K604">
        <v>1.878125</v>
      </c>
      <c r="L604">
        <f>65.3*(5280/3600)</f>
        <v>95.773333333333326</v>
      </c>
      <c r="M604" s="2"/>
      <c r="N604" s="2"/>
      <c r="O604" s="2"/>
      <c r="P604" s="2"/>
    </row>
    <row r="605" spans="1:16" x14ac:dyDescent="0.3">
      <c r="A605" t="s">
        <v>153</v>
      </c>
      <c r="B605">
        <v>2.77</v>
      </c>
      <c r="C605">
        <v>1150</v>
      </c>
      <c r="D605" t="s">
        <v>149</v>
      </c>
      <c r="E605">
        <v>14.8</v>
      </c>
      <c r="F605">
        <v>13664</v>
      </c>
      <c r="G605">
        <v>17.420000000000002</v>
      </c>
      <c r="H605">
        <v>257.8</v>
      </c>
      <c r="I605">
        <f t="shared" si="21"/>
        <v>23.273855702094647</v>
      </c>
      <c r="J605">
        <f t="shared" si="20"/>
        <v>23.272411332112817</v>
      </c>
      <c r="K605">
        <v>2.0456249999999998</v>
      </c>
      <c r="L605">
        <f>77.6*(5280/3600)</f>
        <v>113.81333333333332</v>
      </c>
      <c r="M605" s="2"/>
      <c r="N605" s="2"/>
      <c r="O605" s="2"/>
      <c r="P605" s="2"/>
    </row>
    <row r="606" spans="1:16" x14ac:dyDescent="0.3">
      <c r="A606" t="s">
        <v>153</v>
      </c>
      <c r="B606">
        <v>2.77</v>
      </c>
      <c r="C606">
        <v>1150</v>
      </c>
      <c r="D606" t="s">
        <v>141</v>
      </c>
      <c r="E606">
        <v>14.8</v>
      </c>
      <c r="F606">
        <v>14678</v>
      </c>
      <c r="G606">
        <v>16.62</v>
      </c>
      <c r="H606">
        <v>246</v>
      </c>
      <c r="I606">
        <f t="shared" si="21"/>
        <v>24.390243902439025</v>
      </c>
      <c r="J606">
        <f t="shared" si="20"/>
        <v>24.392623670602006</v>
      </c>
      <c r="K606">
        <v>1.4637500000000001</v>
      </c>
      <c r="L606">
        <f>83.4*(5280/3600)</f>
        <v>122.32</v>
      </c>
      <c r="M606" s="2"/>
      <c r="N606" s="2"/>
      <c r="O606" s="2"/>
      <c r="P606" s="2"/>
    </row>
    <row r="607" spans="1:16" x14ac:dyDescent="0.3">
      <c r="A607" t="s">
        <v>153</v>
      </c>
      <c r="B607">
        <v>2.77</v>
      </c>
      <c r="C607">
        <v>1150</v>
      </c>
      <c r="D607" t="s">
        <v>150</v>
      </c>
      <c r="E607">
        <v>14.8</v>
      </c>
      <c r="F607">
        <v>14685</v>
      </c>
      <c r="G607">
        <v>16.64</v>
      </c>
      <c r="H607">
        <v>246.3</v>
      </c>
      <c r="I607">
        <f t="shared" si="21"/>
        <v>24.360535931790498</v>
      </c>
      <c r="J607">
        <f t="shared" si="20"/>
        <v>24.363305613305609</v>
      </c>
      <c r="K607">
        <v>2.0768749999999998</v>
      </c>
      <c r="L607">
        <f>55.6*(5280/3600)</f>
        <v>81.546666666666667</v>
      </c>
      <c r="M607" s="2"/>
      <c r="N607" s="2"/>
      <c r="O607" s="2"/>
      <c r="P607" s="2"/>
    </row>
    <row r="608" spans="1:16" x14ac:dyDescent="0.3">
      <c r="A608" t="s">
        <v>153</v>
      </c>
      <c r="B608">
        <v>2.77</v>
      </c>
      <c r="C608">
        <v>1150</v>
      </c>
      <c r="D608" t="s">
        <v>144</v>
      </c>
      <c r="E608">
        <v>14.8</v>
      </c>
      <c r="F608">
        <v>14773</v>
      </c>
      <c r="G608">
        <v>16.36</v>
      </c>
      <c r="H608">
        <v>242.1</v>
      </c>
      <c r="I608">
        <f t="shared" si="21"/>
        <v>24.783147459727388</v>
      </c>
      <c r="J608">
        <f t="shared" si="20"/>
        <v>24.780281503997884</v>
      </c>
      <c r="K608">
        <v>2.0175000000000001</v>
      </c>
      <c r="L608">
        <f>56*(5280/3600)</f>
        <v>82.133333333333326</v>
      </c>
      <c r="M608" s="2"/>
      <c r="N608" s="2"/>
      <c r="O608" s="2"/>
      <c r="P608" s="2"/>
    </row>
    <row r="609" spans="1:16" x14ac:dyDescent="0.3">
      <c r="A609" t="s">
        <v>154</v>
      </c>
      <c r="B609">
        <v>2.74</v>
      </c>
      <c r="C609">
        <v>1360</v>
      </c>
      <c r="D609" t="s">
        <v>128</v>
      </c>
      <c r="E609">
        <v>7.4</v>
      </c>
      <c r="F609">
        <v>7693</v>
      </c>
      <c r="G609">
        <v>16</v>
      </c>
      <c r="H609">
        <v>118.4</v>
      </c>
      <c r="I609">
        <f t="shared" si="21"/>
        <v>50.67567567567567</v>
      </c>
      <c r="J609">
        <f t="shared" si="20"/>
        <v>50.67567567567567</v>
      </c>
      <c r="K609">
        <v>1.07375</v>
      </c>
      <c r="L609">
        <f>58.3*(5280/3600)</f>
        <v>85.506666666666661</v>
      </c>
      <c r="M609" s="2"/>
      <c r="N609" s="2"/>
      <c r="O609" s="2"/>
      <c r="P609" s="2"/>
    </row>
    <row r="610" spans="1:16" x14ac:dyDescent="0.3">
      <c r="A610" t="s">
        <v>154</v>
      </c>
      <c r="B610">
        <v>2.74</v>
      </c>
      <c r="C610">
        <v>1360</v>
      </c>
      <c r="D610" t="s">
        <v>129</v>
      </c>
      <c r="E610">
        <v>7.4</v>
      </c>
      <c r="F610">
        <v>8108</v>
      </c>
      <c r="G610">
        <v>12.78</v>
      </c>
      <c r="H610">
        <v>94.5</v>
      </c>
      <c r="I610">
        <f t="shared" si="21"/>
        <v>63.492063492063487</v>
      </c>
      <c r="J610">
        <f t="shared" si="20"/>
        <v>63.443725415556401</v>
      </c>
      <c r="K610">
        <v>1.3868750000000001</v>
      </c>
      <c r="L610">
        <f>34.6*(5280/3600)</f>
        <v>50.746666666666663</v>
      </c>
      <c r="M610" s="2"/>
      <c r="N610" s="2"/>
      <c r="O610" s="2"/>
      <c r="P610" s="2"/>
    </row>
    <row r="611" spans="1:16" x14ac:dyDescent="0.3">
      <c r="A611" t="s">
        <v>154</v>
      </c>
      <c r="B611">
        <v>2.74</v>
      </c>
      <c r="C611">
        <v>1360</v>
      </c>
      <c r="D611" t="s">
        <v>107</v>
      </c>
      <c r="E611">
        <v>7.4</v>
      </c>
      <c r="F611">
        <v>7855</v>
      </c>
      <c r="G611">
        <v>14.86</v>
      </c>
      <c r="H611">
        <v>109.9</v>
      </c>
      <c r="I611">
        <f t="shared" si="21"/>
        <v>54.5950864422202</v>
      </c>
      <c r="J611">
        <f t="shared" si="20"/>
        <v>54.563311629260483</v>
      </c>
      <c r="K611">
        <v>1.40625</v>
      </c>
      <c r="L611">
        <f>44.6*(5280/3600)</f>
        <v>65.413333333333327</v>
      </c>
      <c r="M611" s="2"/>
      <c r="N611" s="2"/>
      <c r="O611" s="2"/>
      <c r="P611" s="2"/>
    </row>
    <row r="612" spans="1:16" x14ac:dyDescent="0.3">
      <c r="A612" t="s">
        <v>154</v>
      </c>
      <c r="B612">
        <v>2.74</v>
      </c>
      <c r="C612">
        <v>1360</v>
      </c>
      <c r="D612" t="s">
        <v>104</v>
      </c>
      <c r="E612">
        <v>7.4</v>
      </c>
      <c r="F612">
        <v>7048</v>
      </c>
      <c r="G612">
        <v>20.03</v>
      </c>
      <c r="H612">
        <v>148.19999999999999</v>
      </c>
      <c r="I612">
        <f t="shared" si="21"/>
        <v>40.48582995951417</v>
      </c>
      <c r="J612">
        <f t="shared" si="20"/>
        <v>40.479820809326547</v>
      </c>
      <c r="K612">
        <v>1.36</v>
      </c>
      <c r="L612">
        <f>50.1*(5280/3600)</f>
        <v>73.48</v>
      </c>
      <c r="M612" s="2"/>
      <c r="N612" s="2"/>
      <c r="O612" s="2"/>
      <c r="P612" s="2"/>
    </row>
    <row r="613" spans="1:16" x14ac:dyDescent="0.3">
      <c r="A613" t="s">
        <v>154</v>
      </c>
      <c r="B613">
        <v>2.74</v>
      </c>
      <c r="C613">
        <v>1360</v>
      </c>
      <c r="D613" t="s">
        <v>99</v>
      </c>
      <c r="E613">
        <v>7.4</v>
      </c>
      <c r="F613">
        <v>7550</v>
      </c>
      <c r="G613">
        <v>16.84</v>
      </c>
      <c r="H613">
        <v>124.6</v>
      </c>
      <c r="I613">
        <f t="shared" si="21"/>
        <v>48.154093097913325</v>
      </c>
      <c r="J613">
        <f t="shared" si="20"/>
        <v>48.147910380689474</v>
      </c>
      <c r="K613">
        <v>1.68625</v>
      </c>
      <c r="L613">
        <f>35.7*(5280/3600)</f>
        <v>52.36</v>
      </c>
      <c r="M613" s="2"/>
      <c r="N613" s="2"/>
      <c r="O613" s="2"/>
      <c r="P613" s="2"/>
    </row>
    <row r="614" spans="1:16" x14ac:dyDescent="0.3">
      <c r="A614" t="s">
        <v>154</v>
      </c>
      <c r="B614">
        <v>2.74</v>
      </c>
      <c r="C614">
        <v>1360</v>
      </c>
      <c r="D614" t="s">
        <v>67</v>
      </c>
      <c r="E614">
        <v>7.4</v>
      </c>
      <c r="F614">
        <v>7285</v>
      </c>
      <c r="G614">
        <v>18.54</v>
      </c>
      <c r="H614">
        <v>137.19999999999999</v>
      </c>
      <c r="I614">
        <f t="shared" si="21"/>
        <v>43.731778425655982</v>
      </c>
      <c r="J614">
        <f t="shared" si="20"/>
        <v>43.733053441791306</v>
      </c>
      <c r="K614">
        <v>1.7524999999999999</v>
      </c>
      <c r="L614">
        <f>41.4*(5280/3600)</f>
        <v>60.719999999999992</v>
      </c>
      <c r="M614" s="2"/>
      <c r="N614" s="2"/>
      <c r="O614" s="2"/>
      <c r="P614" s="2"/>
    </row>
    <row r="615" spans="1:16" x14ac:dyDescent="0.3">
      <c r="A615" t="s">
        <v>154</v>
      </c>
      <c r="B615">
        <v>2.74</v>
      </c>
      <c r="C615">
        <v>1360</v>
      </c>
      <c r="D615" t="s">
        <v>131</v>
      </c>
      <c r="E615">
        <v>7.4</v>
      </c>
      <c r="F615">
        <v>7680</v>
      </c>
      <c r="G615">
        <v>16.04</v>
      </c>
      <c r="H615">
        <v>118.7</v>
      </c>
      <c r="I615">
        <f t="shared" si="21"/>
        <v>50.547598989048019</v>
      </c>
      <c r="J615">
        <f t="shared" si="20"/>
        <v>50.549302419626606</v>
      </c>
      <c r="K615">
        <v>1.545625</v>
      </c>
      <c r="L615">
        <f>43.6*(5280/3600)</f>
        <v>63.946666666666665</v>
      </c>
      <c r="M615" s="2"/>
      <c r="N615" s="2"/>
      <c r="O615" s="2"/>
      <c r="P615" s="2"/>
    </row>
    <row r="616" spans="1:16" x14ac:dyDescent="0.3">
      <c r="A616" t="s">
        <v>154</v>
      </c>
      <c r="B616">
        <v>2.74</v>
      </c>
      <c r="C616">
        <v>1360</v>
      </c>
      <c r="D616" t="s">
        <v>68</v>
      </c>
      <c r="E616">
        <v>7.4</v>
      </c>
      <c r="F616">
        <v>6964</v>
      </c>
      <c r="G616">
        <v>20.54</v>
      </c>
      <c r="H616">
        <v>152</v>
      </c>
      <c r="I616">
        <f t="shared" si="21"/>
        <v>39.473684210526315</v>
      </c>
      <c r="J616">
        <f t="shared" si="20"/>
        <v>39.474723019026811</v>
      </c>
      <c r="K616">
        <v>1.7481249999999999</v>
      </c>
      <c r="L616">
        <f>46.2*(5280/3600)</f>
        <v>67.760000000000005</v>
      </c>
      <c r="M616" s="2"/>
      <c r="N616" s="2"/>
      <c r="O616" s="2"/>
      <c r="P616" s="2"/>
    </row>
    <row r="617" spans="1:16" x14ac:dyDescent="0.3">
      <c r="A617" t="s">
        <v>154</v>
      </c>
      <c r="B617">
        <v>2.74</v>
      </c>
      <c r="C617">
        <v>1360</v>
      </c>
      <c r="D617" t="s">
        <v>70</v>
      </c>
      <c r="E617">
        <v>7.4</v>
      </c>
      <c r="F617">
        <v>6774</v>
      </c>
      <c r="G617">
        <v>21.79</v>
      </c>
      <c r="H617">
        <v>161.19999999999999</v>
      </c>
      <c r="I617">
        <f t="shared" si="21"/>
        <v>37.220843672456581</v>
      </c>
      <c r="J617">
        <f t="shared" si="20"/>
        <v>37.210225369931656</v>
      </c>
      <c r="K617">
        <v>2.0593750000000002</v>
      </c>
      <c r="L617">
        <f>35.3*(5280/3600)</f>
        <v>51.773333333333326</v>
      </c>
      <c r="M617" s="2"/>
      <c r="N617" s="2"/>
      <c r="O617" s="2"/>
      <c r="P617" s="2"/>
    </row>
    <row r="618" spans="1:16" x14ac:dyDescent="0.3">
      <c r="A618" t="s">
        <v>154</v>
      </c>
      <c r="B618">
        <v>2.74</v>
      </c>
      <c r="C618">
        <v>1360</v>
      </c>
      <c r="D618" t="s">
        <v>133</v>
      </c>
      <c r="E618">
        <v>7.4</v>
      </c>
      <c r="F618">
        <v>7650</v>
      </c>
      <c r="G618">
        <v>16.21</v>
      </c>
      <c r="H618">
        <v>119.9</v>
      </c>
      <c r="I618">
        <f t="shared" si="21"/>
        <v>50.041701417848202</v>
      </c>
      <c r="J618">
        <f t="shared" si="20"/>
        <v>50.019174016706401</v>
      </c>
      <c r="K618">
        <v>1.5387500000000001</v>
      </c>
      <c r="L618">
        <f>36.2*(5280/3600)</f>
        <v>53.093333333333334</v>
      </c>
      <c r="M618" s="2"/>
      <c r="N618" s="2"/>
      <c r="O618" s="2"/>
      <c r="P618" s="2"/>
    </row>
    <row r="619" spans="1:16" x14ac:dyDescent="0.3">
      <c r="A619" t="s">
        <v>154</v>
      </c>
      <c r="B619">
        <v>2.74</v>
      </c>
      <c r="C619">
        <v>1360</v>
      </c>
      <c r="D619" t="s">
        <v>134</v>
      </c>
      <c r="E619">
        <v>7.4</v>
      </c>
      <c r="F619">
        <v>7075</v>
      </c>
      <c r="G619">
        <v>19.68</v>
      </c>
      <c r="H619">
        <v>145.6</v>
      </c>
      <c r="I619">
        <f t="shared" si="21"/>
        <v>41.208791208791212</v>
      </c>
      <c r="J619">
        <f t="shared" si="20"/>
        <v>41.199736321687539</v>
      </c>
      <c r="K619">
        <v>1.5318750000000001</v>
      </c>
      <c r="L619">
        <f>40.2*(5280/3600)</f>
        <v>58.96</v>
      </c>
      <c r="M619" s="2"/>
      <c r="N619" s="2"/>
      <c r="O619" s="2"/>
      <c r="P619" s="2"/>
    </row>
    <row r="620" spans="1:16" x14ac:dyDescent="0.3">
      <c r="A620" t="s">
        <v>154</v>
      </c>
      <c r="B620">
        <v>2.74</v>
      </c>
      <c r="C620">
        <v>1360</v>
      </c>
      <c r="D620" t="s">
        <v>135</v>
      </c>
      <c r="E620">
        <v>7.4</v>
      </c>
      <c r="F620">
        <v>6834</v>
      </c>
      <c r="G620">
        <v>21.36</v>
      </c>
      <c r="H620">
        <v>158.1</v>
      </c>
      <c r="I620">
        <f t="shared" si="21"/>
        <v>37.950664136622393</v>
      </c>
      <c r="J620">
        <f t="shared" si="20"/>
        <v>37.959307622228962</v>
      </c>
      <c r="K620">
        <v>1.35375</v>
      </c>
      <c r="L620">
        <f>45.3*(5280/3600)</f>
        <v>66.44</v>
      </c>
      <c r="M620" s="2"/>
      <c r="N620" s="2"/>
      <c r="O620" s="2"/>
      <c r="P620" s="2"/>
    </row>
    <row r="621" spans="1:16" x14ac:dyDescent="0.3">
      <c r="A621" t="s">
        <v>154</v>
      </c>
      <c r="B621">
        <v>2.74</v>
      </c>
      <c r="C621">
        <v>1360</v>
      </c>
      <c r="D621" t="s">
        <v>137</v>
      </c>
      <c r="E621">
        <v>7.4</v>
      </c>
      <c r="F621">
        <v>7108</v>
      </c>
      <c r="G621">
        <v>19.600000000000001</v>
      </c>
      <c r="H621">
        <v>145</v>
      </c>
      <c r="I621">
        <f t="shared" si="21"/>
        <v>41.379310344827587</v>
      </c>
      <c r="J621">
        <f t="shared" si="20"/>
        <v>41.367898510755644</v>
      </c>
      <c r="K621">
        <v>1.816875</v>
      </c>
      <c r="L621">
        <f>33.7*(5280/3600)</f>
        <v>49.426666666666669</v>
      </c>
      <c r="M621" s="2"/>
      <c r="N621" s="2"/>
      <c r="O621" s="2"/>
      <c r="P621" s="2"/>
    </row>
    <row r="622" spans="1:16" x14ac:dyDescent="0.3">
      <c r="A622" t="s">
        <v>154</v>
      </c>
      <c r="B622">
        <v>2.74</v>
      </c>
      <c r="C622">
        <v>1360</v>
      </c>
      <c r="D622" t="s">
        <v>138</v>
      </c>
      <c r="E622">
        <v>7.4</v>
      </c>
      <c r="F622">
        <v>6735</v>
      </c>
      <c r="G622">
        <v>22.09</v>
      </c>
      <c r="H622">
        <v>163.4</v>
      </c>
      <c r="I622">
        <f t="shared" si="21"/>
        <v>36.719706242350064</v>
      </c>
      <c r="J622">
        <f t="shared" si="20"/>
        <v>36.704880525613881</v>
      </c>
      <c r="K622">
        <v>1.9468749999999999</v>
      </c>
      <c r="L622">
        <f>38.3*(5280/3600)</f>
        <v>56.173333333333325</v>
      </c>
      <c r="M622" s="2"/>
      <c r="N622" s="2"/>
      <c r="O622" s="2"/>
      <c r="P622" s="2"/>
    </row>
    <row r="623" spans="1:16" x14ac:dyDescent="0.3">
      <c r="A623" t="s">
        <v>154</v>
      </c>
      <c r="B623">
        <v>2.74</v>
      </c>
      <c r="C623">
        <v>1360</v>
      </c>
      <c r="D623" t="s">
        <v>139</v>
      </c>
      <c r="E623">
        <v>7.4</v>
      </c>
      <c r="F623">
        <v>6709</v>
      </c>
      <c r="G623">
        <v>22.16</v>
      </c>
      <c r="H623">
        <v>164</v>
      </c>
      <c r="I623">
        <f t="shared" si="21"/>
        <v>36.585365853658537</v>
      </c>
      <c r="J623">
        <f t="shared" si="20"/>
        <v>36.588935505903009</v>
      </c>
      <c r="K623">
        <v>1.9225000000000001</v>
      </c>
      <c r="L623">
        <f>44.5*(5280/3600)</f>
        <v>65.266666666666666</v>
      </c>
      <c r="M623" s="2"/>
      <c r="N623" s="2"/>
      <c r="O623" s="2"/>
      <c r="P623" s="2"/>
    </row>
    <row r="624" spans="1:16" x14ac:dyDescent="0.3">
      <c r="A624" t="s">
        <v>154</v>
      </c>
      <c r="B624">
        <v>2.74</v>
      </c>
      <c r="C624">
        <v>1360</v>
      </c>
      <c r="D624" t="s">
        <v>142</v>
      </c>
      <c r="E624">
        <v>7.4</v>
      </c>
      <c r="F624">
        <v>7874</v>
      </c>
      <c r="G624">
        <v>14.56</v>
      </c>
      <c r="H624">
        <v>107.7</v>
      </c>
      <c r="I624">
        <f t="shared" si="21"/>
        <v>55.710306406685234</v>
      </c>
      <c r="J624">
        <f t="shared" si="20"/>
        <v>55.68755568755568</v>
      </c>
      <c r="K624">
        <v>0.88187499999999996</v>
      </c>
      <c r="L624">
        <f>29.8*(5280/3600)</f>
        <v>43.706666666666663</v>
      </c>
      <c r="M624" s="2"/>
      <c r="N624" s="2"/>
      <c r="O624" s="2"/>
      <c r="P624" s="2"/>
    </row>
    <row r="625" spans="1:16" x14ac:dyDescent="0.3">
      <c r="A625" t="s">
        <v>154</v>
      </c>
      <c r="B625">
        <v>2.74</v>
      </c>
      <c r="C625">
        <v>1360</v>
      </c>
      <c r="D625" t="s">
        <v>131</v>
      </c>
      <c r="E625">
        <v>7.4</v>
      </c>
      <c r="F625">
        <v>7466</v>
      </c>
      <c r="G625">
        <v>17.48</v>
      </c>
      <c r="H625">
        <v>129.4</v>
      </c>
      <c r="I625">
        <f t="shared" si="21"/>
        <v>46.367851622874802</v>
      </c>
      <c r="J625">
        <f t="shared" si="20"/>
        <v>46.38505782670542</v>
      </c>
      <c r="K625">
        <v>1.7106250000000001</v>
      </c>
      <c r="L625">
        <f>42.4*(5280/3600)</f>
        <v>62.18666666666666</v>
      </c>
      <c r="M625" s="2"/>
      <c r="N625" s="2"/>
      <c r="O625" s="2"/>
      <c r="P625" s="2"/>
    </row>
    <row r="626" spans="1:16" x14ac:dyDescent="0.3">
      <c r="A626" t="s">
        <v>154</v>
      </c>
      <c r="B626">
        <v>2.74</v>
      </c>
      <c r="C626">
        <v>1360</v>
      </c>
      <c r="D626" t="s">
        <v>101</v>
      </c>
      <c r="E626">
        <v>7.4</v>
      </c>
      <c r="F626">
        <v>7123</v>
      </c>
      <c r="G626">
        <v>19.559999999999999</v>
      </c>
      <c r="H626">
        <v>144.80000000000001</v>
      </c>
      <c r="I626">
        <f t="shared" si="21"/>
        <v>41.436464088397784</v>
      </c>
      <c r="J626">
        <f t="shared" si="20"/>
        <v>41.452495440225505</v>
      </c>
      <c r="K626">
        <v>1.5475000000000001</v>
      </c>
      <c r="L626">
        <f>47.2*(5280/3600)</f>
        <v>69.226666666666659</v>
      </c>
      <c r="M626" s="2"/>
      <c r="N626" s="2"/>
      <c r="O626" s="2"/>
      <c r="P626" s="2"/>
    </row>
    <row r="627" spans="1:16" x14ac:dyDescent="0.3">
      <c r="A627" t="s">
        <v>154</v>
      </c>
      <c r="B627">
        <v>2.74</v>
      </c>
      <c r="C627">
        <v>1360</v>
      </c>
      <c r="D627" t="s">
        <v>79</v>
      </c>
      <c r="E627">
        <v>7.4</v>
      </c>
      <c r="F627">
        <v>7371</v>
      </c>
      <c r="G627">
        <v>18</v>
      </c>
      <c r="H627">
        <v>133.19999999999999</v>
      </c>
      <c r="I627">
        <f t="shared" si="21"/>
        <v>45.04504504504505</v>
      </c>
      <c r="J627">
        <f t="shared" si="20"/>
        <v>45.045045045045043</v>
      </c>
      <c r="K627">
        <v>1.7393749999999999</v>
      </c>
      <c r="L627">
        <f>34.9*(5280/3600)</f>
        <v>51.18666666666666</v>
      </c>
      <c r="M627" s="2"/>
      <c r="N627" s="2"/>
      <c r="O627" s="2"/>
      <c r="P627" s="2"/>
    </row>
    <row r="628" spans="1:16" ht="15.6" x14ac:dyDescent="0.3">
      <c r="A628" t="s">
        <v>154</v>
      </c>
      <c r="B628">
        <v>2.74</v>
      </c>
      <c r="C628">
        <v>1360</v>
      </c>
      <c r="D628" t="s">
        <v>148</v>
      </c>
      <c r="E628">
        <v>11.1</v>
      </c>
      <c r="F628">
        <v>12294</v>
      </c>
      <c r="G628">
        <v>15.41</v>
      </c>
      <c r="H628">
        <v>171</v>
      </c>
      <c r="I628">
        <f t="shared" si="21"/>
        <v>35.087719298245609</v>
      </c>
      <c r="J628">
        <f t="shared" si="20"/>
        <v>35.077257659996143</v>
      </c>
      <c r="K628">
        <v>1.4793750000000001</v>
      </c>
      <c r="L628">
        <f>58.2*(5280/3600)</f>
        <v>85.36</v>
      </c>
      <c r="M628" s="2"/>
      <c r="N628" s="3"/>
      <c r="O628" s="2"/>
      <c r="P628" s="4"/>
    </row>
    <row r="629" spans="1:16" ht="15.6" x14ac:dyDescent="0.3">
      <c r="A629" t="s">
        <v>154</v>
      </c>
      <c r="B629">
        <v>2.74</v>
      </c>
      <c r="C629">
        <v>1360</v>
      </c>
      <c r="D629" t="s">
        <v>149</v>
      </c>
      <c r="E629">
        <v>11.1</v>
      </c>
      <c r="F629">
        <v>12180</v>
      </c>
      <c r="G629">
        <v>16.11</v>
      </c>
      <c r="H629">
        <v>178.9</v>
      </c>
      <c r="I629">
        <f t="shared" si="21"/>
        <v>33.538289547233092</v>
      </c>
      <c r="J629">
        <f t="shared" si="20"/>
        <v>33.553106178804505</v>
      </c>
      <c r="K629">
        <v>1.61625</v>
      </c>
      <c r="L629">
        <f>69.2*(5280/3600)</f>
        <v>101.49333333333333</v>
      </c>
      <c r="M629" s="2"/>
      <c r="N629" s="3"/>
      <c r="O629" s="2"/>
      <c r="P629" s="4"/>
    </row>
    <row r="630" spans="1:16" ht="15.6" x14ac:dyDescent="0.3">
      <c r="A630" t="s">
        <v>154</v>
      </c>
      <c r="B630">
        <v>2.74</v>
      </c>
      <c r="C630">
        <v>1360</v>
      </c>
      <c r="D630" t="s">
        <v>125</v>
      </c>
      <c r="E630">
        <v>11.1</v>
      </c>
      <c r="F630">
        <v>11745</v>
      </c>
      <c r="G630">
        <v>19.27</v>
      </c>
      <c r="H630">
        <v>213.9</v>
      </c>
      <c r="I630">
        <f t="shared" si="21"/>
        <v>28.050490883590459</v>
      </c>
      <c r="J630">
        <f t="shared" si="20"/>
        <v>28.050884304127688</v>
      </c>
      <c r="K630">
        <v>1.5806249999999999</v>
      </c>
      <c r="L630">
        <f>77.9*(5280/3600)</f>
        <v>114.25333333333333</v>
      </c>
      <c r="M630" s="2"/>
      <c r="N630" s="3"/>
      <c r="O630" s="2"/>
      <c r="P630" s="4"/>
    </row>
    <row r="631" spans="1:16" ht="15.6" x14ac:dyDescent="0.3">
      <c r="A631" t="s">
        <v>154</v>
      </c>
      <c r="B631">
        <v>2.74</v>
      </c>
      <c r="C631">
        <v>1360</v>
      </c>
      <c r="D631" t="s">
        <v>126</v>
      </c>
      <c r="E631">
        <v>11.1</v>
      </c>
      <c r="F631">
        <v>11942</v>
      </c>
      <c r="G631">
        <v>17.88</v>
      </c>
      <c r="H631">
        <v>198.4</v>
      </c>
      <c r="I631">
        <f t="shared" si="21"/>
        <v>30.241935483870968</v>
      </c>
      <c r="J631">
        <f t="shared" si="20"/>
        <v>30.231573855734933</v>
      </c>
      <c r="K631">
        <v>2.0081250000000002</v>
      </c>
      <c r="L631">
        <f>45.2*(5280/3600)</f>
        <v>66.293333333333337</v>
      </c>
      <c r="M631" s="2"/>
      <c r="N631" s="3"/>
      <c r="O631" s="2"/>
      <c r="P631" s="4"/>
    </row>
    <row r="632" spans="1:16" ht="15.6" x14ac:dyDescent="0.3">
      <c r="A632" t="s">
        <v>154</v>
      </c>
      <c r="B632">
        <v>2.74</v>
      </c>
      <c r="C632">
        <v>1360</v>
      </c>
      <c r="D632" t="s">
        <v>130</v>
      </c>
      <c r="E632">
        <v>11.1</v>
      </c>
      <c r="F632">
        <v>11452</v>
      </c>
      <c r="G632">
        <v>21.03</v>
      </c>
      <c r="H632">
        <v>233.5</v>
      </c>
      <c r="I632">
        <f t="shared" si="21"/>
        <v>25.695931477516062</v>
      </c>
      <c r="J632">
        <f t="shared" si="20"/>
        <v>25.703306730410869</v>
      </c>
      <c r="K632">
        <v>2.2706249999999999</v>
      </c>
      <c r="L632">
        <f>54.2*(5280/3600)</f>
        <v>79.493333333333325</v>
      </c>
      <c r="M632" s="2"/>
      <c r="N632" s="3"/>
      <c r="O632" s="2"/>
      <c r="P632" s="4"/>
    </row>
    <row r="633" spans="1:16" ht="15.6" x14ac:dyDescent="0.3">
      <c r="A633" t="s">
        <v>154</v>
      </c>
      <c r="B633">
        <v>2.74</v>
      </c>
      <c r="C633">
        <v>1360</v>
      </c>
      <c r="D633" t="s">
        <v>141</v>
      </c>
      <c r="E633">
        <v>11.1</v>
      </c>
      <c r="F633">
        <v>11763</v>
      </c>
      <c r="G633">
        <v>19.260000000000002</v>
      </c>
      <c r="H633">
        <v>213.8</v>
      </c>
      <c r="I633">
        <f t="shared" si="21"/>
        <v>28.063610851262862</v>
      </c>
      <c r="J633">
        <f t="shared" si="20"/>
        <v>28.065448626196289</v>
      </c>
      <c r="K633">
        <v>1.2081249999999999</v>
      </c>
      <c r="L633">
        <f>66.8*(5280/3600)</f>
        <v>97.973333333333329</v>
      </c>
      <c r="M633" s="2"/>
      <c r="N633" s="3"/>
      <c r="O633" s="2"/>
      <c r="P633" s="4"/>
    </row>
    <row r="634" spans="1:16" ht="15.6" x14ac:dyDescent="0.3">
      <c r="A634" t="s">
        <v>154</v>
      </c>
      <c r="B634">
        <v>2.74</v>
      </c>
      <c r="C634">
        <v>1360</v>
      </c>
      <c r="D634" t="s">
        <v>143</v>
      </c>
      <c r="E634">
        <v>11.1</v>
      </c>
      <c r="F634">
        <v>11929</v>
      </c>
      <c r="G634">
        <v>18.100000000000001</v>
      </c>
      <c r="H634">
        <v>200.9</v>
      </c>
      <c r="I634">
        <f t="shared" si="21"/>
        <v>29.865604778496763</v>
      </c>
      <c r="J634">
        <f t="shared" si="20"/>
        <v>29.864118261908313</v>
      </c>
      <c r="K634">
        <v>1.944375</v>
      </c>
      <c r="L634">
        <f>56.5*(5280/3600)</f>
        <v>82.86666666666666</v>
      </c>
      <c r="M634" s="2"/>
      <c r="N634" s="3"/>
      <c r="O634" s="2"/>
      <c r="P634" s="4"/>
    </row>
    <row r="635" spans="1:16" x14ac:dyDescent="0.3">
      <c r="A635" t="s">
        <v>154</v>
      </c>
      <c r="B635">
        <v>2.74</v>
      </c>
      <c r="C635">
        <v>1360</v>
      </c>
      <c r="D635" t="s">
        <v>160</v>
      </c>
      <c r="E635">
        <v>14.8</v>
      </c>
      <c r="F635">
        <v>16636</v>
      </c>
      <c r="G635">
        <v>16.5</v>
      </c>
      <c r="H635">
        <v>244.2</v>
      </c>
      <c r="I635">
        <f t="shared" si="21"/>
        <v>24.570024570024572</v>
      </c>
      <c r="J635">
        <f t="shared" si="20"/>
        <v>24.570024570024568</v>
      </c>
      <c r="K635">
        <v>1.8912500000000001</v>
      </c>
      <c r="L635">
        <f>67.7*(5280/3600)</f>
        <v>99.293333333333337</v>
      </c>
      <c r="M635" s="2"/>
      <c r="N635" s="2"/>
      <c r="O635" s="2"/>
      <c r="P635" s="2"/>
    </row>
    <row r="636" spans="1:16" x14ac:dyDescent="0.3">
      <c r="A636" t="s">
        <v>154</v>
      </c>
      <c r="B636">
        <v>2.74</v>
      </c>
      <c r="C636">
        <v>1360</v>
      </c>
      <c r="D636" t="s">
        <v>151</v>
      </c>
      <c r="E636">
        <v>14.8</v>
      </c>
      <c r="F636">
        <v>16749</v>
      </c>
      <c r="G636">
        <v>15.86</v>
      </c>
      <c r="H636">
        <v>234.8</v>
      </c>
      <c r="I636">
        <f t="shared" si="21"/>
        <v>25.55366269165247</v>
      </c>
      <c r="J636">
        <f t="shared" si="20"/>
        <v>25.561500971337036</v>
      </c>
      <c r="K636">
        <v>1.89625</v>
      </c>
      <c r="L636">
        <f>71.4*(5280/3600)</f>
        <v>104.72</v>
      </c>
      <c r="M636" s="2"/>
      <c r="N636" s="2"/>
      <c r="O636" s="2"/>
      <c r="P636" s="2"/>
    </row>
    <row r="637" spans="1:16" x14ac:dyDescent="0.3">
      <c r="A637" t="s">
        <v>154</v>
      </c>
      <c r="B637">
        <v>2.74</v>
      </c>
      <c r="C637">
        <v>1360</v>
      </c>
      <c r="D637" t="s">
        <v>161</v>
      </c>
      <c r="E637">
        <v>14.8</v>
      </c>
      <c r="F637">
        <v>16981</v>
      </c>
      <c r="G637">
        <v>14.59</v>
      </c>
      <c r="H637">
        <v>215.9</v>
      </c>
      <c r="I637">
        <f t="shared" si="21"/>
        <v>27.790643816581749</v>
      </c>
      <c r="J637">
        <f t="shared" si="20"/>
        <v>27.786525387622024</v>
      </c>
      <c r="K637">
        <v>1.4881249999999999</v>
      </c>
      <c r="L637">
        <f>88.4*(5280/3600)</f>
        <v>129.65333333333334</v>
      </c>
      <c r="M637" s="2"/>
      <c r="N637" s="2"/>
      <c r="O637" s="2"/>
      <c r="P637" s="2"/>
    </row>
    <row r="638" spans="1:16" x14ac:dyDescent="0.3">
      <c r="A638" t="s">
        <v>154</v>
      </c>
      <c r="B638">
        <v>2.74</v>
      </c>
      <c r="C638">
        <v>1360</v>
      </c>
      <c r="D638" t="s">
        <v>152</v>
      </c>
      <c r="E638">
        <v>14.8</v>
      </c>
      <c r="F638">
        <v>16645</v>
      </c>
      <c r="G638">
        <v>16.45</v>
      </c>
      <c r="H638">
        <v>243.4</v>
      </c>
      <c r="I638">
        <f t="shared" si="21"/>
        <v>24.650780608052585</v>
      </c>
      <c r="J638">
        <f t="shared" si="20"/>
        <v>24.644705495769326</v>
      </c>
      <c r="K638">
        <v>1.4793750000000001</v>
      </c>
      <c r="L638">
        <f>94.6*(5280/3600)</f>
        <v>138.74666666666664</v>
      </c>
      <c r="M638" s="2"/>
      <c r="N638" s="2"/>
      <c r="O638" s="2"/>
      <c r="P638" s="2"/>
    </row>
    <row r="639" spans="1:16" x14ac:dyDescent="0.3">
      <c r="A639" t="s">
        <v>154</v>
      </c>
      <c r="B639">
        <v>2.74</v>
      </c>
      <c r="C639">
        <v>1360</v>
      </c>
      <c r="D639" t="s">
        <v>162</v>
      </c>
      <c r="E639">
        <v>14.8</v>
      </c>
      <c r="F639">
        <v>16775</v>
      </c>
      <c r="G639">
        <v>15.73</v>
      </c>
      <c r="H639">
        <v>232.7</v>
      </c>
      <c r="I639">
        <f t="shared" si="21"/>
        <v>25.784271594327464</v>
      </c>
      <c r="J639">
        <f t="shared" si="20"/>
        <v>25.772753045480314</v>
      </c>
      <c r="K639">
        <v>1.5606249999999999</v>
      </c>
      <c r="L639">
        <f>79.4*(5280/3600)</f>
        <v>116.45333333333333</v>
      </c>
      <c r="M639" s="2"/>
      <c r="N639" s="2"/>
      <c r="O639" s="2"/>
      <c r="P639" s="2"/>
    </row>
    <row r="640" spans="1:16" x14ac:dyDescent="0.3">
      <c r="A640" t="s">
        <v>154</v>
      </c>
      <c r="B640">
        <v>2.74</v>
      </c>
      <c r="C640">
        <v>1360</v>
      </c>
      <c r="D640" t="s">
        <v>163</v>
      </c>
      <c r="E640">
        <v>14.8</v>
      </c>
      <c r="F640">
        <v>16623</v>
      </c>
      <c r="G640">
        <v>16.62</v>
      </c>
      <c r="H640">
        <v>246</v>
      </c>
      <c r="I640">
        <f t="shared" si="21"/>
        <v>24.390243902439025</v>
      </c>
      <c r="J640">
        <f t="shared" si="20"/>
        <v>24.392623670602006</v>
      </c>
      <c r="K640">
        <v>1.5674999999999999</v>
      </c>
      <c r="L640">
        <f>86.6*(5280/3600)</f>
        <v>127.01333333333332</v>
      </c>
      <c r="M640" s="2"/>
      <c r="N640" s="2"/>
      <c r="O640" s="2"/>
      <c r="P640" s="2"/>
    </row>
    <row r="641" spans="1:16" x14ac:dyDescent="0.3">
      <c r="A641" t="s">
        <v>154</v>
      </c>
      <c r="B641">
        <v>2.74</v>
      </c>
      <c r="C641">
        <v>1360</v>
      </c>
      <c r="D641" t="s">
        <v>164</v>
      </c>
      <c r="E641">
        <v>14.8</v>
      </c>
      <c r="F641">
        <v>16215</v>
      </c>
      <c r="G641">
        <v>18.95</v>
      </c>
      <c r="H641">
        <v>280.39999999999998</v>
      </c>
      <c r="I641">
        <f t="shared" si="21"/>
        <v>21.398002853067048</v>
      </c>
      <c r="J641">
        <f t="shared" si="20"/>
        <v>21.393425087356484</v>
      </c>
      <c r="K641">
        <v>1.4924999999999999</v>
      </c>
      <c r="L641">
        <f>92.1*(5280/3600)</f>
        <v>135.07999999999998</v>
      </c>
      <c r="M641" s="2"/>
      <c r="N641" s="2"/>
      <c r="O641" s="2"/>
      <c r="P641" s="2"/>
    </row>
    <row r="642" spans="1:16" x14ac:dyDescent="0.3">
      <c r="A642" t="s">
        <v>154</v>
      </c>
      <c r="B642">
        <v>2.74</v>
      </c>
      <c r="C642">
        <v>1360</v>
      </c>
      <c r="D642" t="s">
        <v>165</v>
      </c>
      <c r="E642">
        <v>14.8</v>
      </c>
      <c r="F642">
        <v>16013</v>
      </c>
      <c r="G642">
        <v>20.34</v>
      </c>
      <c r="H642">
        <v>301</v>
      </c>
      <c r="I642">
        <f t="shared" si="21"/>
        <v>19.933554817275748</v>
      </c>
      <c r="J642">
        <f t="shared" si="20"/>
        <v>19.9314358606394</v>
      </c>
      <c r="K642">
        <v>1.40625</v>
      </c>
      <c r="L642">
        <f>98.6*(5280/3600)</f>
        <v>144.61333333333332</v>
      </c>
      <c r="M642" s="2"/>
      <c r="N642" s="2"/>
      <c r="O642" s="2"/>
      <c r="P642" s="2"/>
    </row>
    <row r="643" spans="1:16" x14ac:dyDescent="0.3">
      <c r="A643" t="s">
        <v>154</v>
      </c>
      <c r="B643">
        <v>2.74</v>
      </c>
      <c r="C643">
        <v>1360</v>
      </c>
      <c r="D643" t="s">
        <v>146</v>
      </c>
      <c r="E643">
        <v>14.8</v>
      </c>
      <c r="F643">
        <v>15981</v>
      </c>
      <c r="G643">
        <v>20.62</v>
      </c>
      <c r="H643">
        <v>305.10000000000002</v>
      </c>
      <c r="I643">
        <f t="shared" si="21"/>
        <v>19.665683382497541</v>
      </c>
      <c r="J643">
        <f t="shared" ref="J643:J706" si="22">( ($N$1/E643)/G643)*60</f>
        <v>19.660785907148657</v>
      </c>
      <c r="K643">
        <v>2.475625</v>
      </c>
      <c r="L643">
        <f>60.5*(5280/3600)</f>
        <v>88.73333333333332</v>
      </c>
      <c r="M643" s="2"/>
      <c r="N643" s="2"/>
      <c r="O643" s="2"/>
      <c r="P643" s="2"/>
    </row>
    <row r="644" spans="1:16" x14ac:dyDescent="0.3">
      <c r="A644" t="s">
        <v>154</v>
      </c>
      <c r="B644">
        <v>2.74</v>
      </c>
      <c r="C644">
        <v>1360</v>
      </c>
      <c r="D644" t="s">
        <v>147</v>
      </c>
      <c r="E644">
        <v>14.8</v>
      </c>
      <c r="F644">
        <v>16869</v>
      </c>
      <c r="G644">
        <v>15.37</v>
      </c>
      <c r="H644">
        <v>227.5</v>
      </c>
      <c r="I644">
        <f t="shared" ref="I644:I707" si="23" xml:space="preserve"> ($N$1/H644)*60</f>
        <v>26.373626373626372</v>
      </c>
      <c r="J644">
        <f t="shared" si="22"/>
        <v>26.376408939844204</v>
      </c>
      <c r="K644">
        <v>1.54125</v>
      </c>
      <c r="L644">
        <f>63.9*(5280/3600)</f>
        <v>93.719999999999985</v>
      </c>
      <c r="M644" s="2"/>
      <c r="N644" s="2"/>
      <c r="O644" s="2"/>
      <c r="P644" s="2"/>
    </row>
    <row r="645" spans="1:16" x14ac:dyDescent="0.3">
      <c r="A645" t="s">
        <v>154</v>
      </c>
      <c r="B645">
        <v>2.74</v>
      </c>
      <c r="C645">
        <v>1360</v>
      </c>
      <c r="D645" t="s">
        <v>141</v>
      </c>
      <c r="E645">
        <v>14.8</v>
      </c>
      <c r="F645">
        <v>15872</v>
      </c>
      <c r="G645">
        <v>21.35</v>
      </c>
      <c r="H645">
        <v>316</v>
      </c>
      <c r="I645">
        <f t="shared" si="23"/>
        <v>18.9873417721519</v>
      </c>
      <c r="J645">
        <f t="shared" si="22"/>
        <v>18.98854357870751</v>
      </c>
      <c r="K645">
        <v>1.7350000000000001</v>
      </c>
      <c r="L645">
        <f>90.2*(5280/3600)</f>
        <v>132.29333333333332</v>
      </c>
      <c r="M645" s="2"/>
      <c r="N645" s="2"/>
      <c r="O645" s="2"/>
      <c r="P645" s="2"/>
    </row>
    <row r="646" spans="1:16" x14ac:dyDescent="0.3">
      <c r="A646" t="s">
        <v>154</v>
      </c>
      <c r="B646">
        <v>2.74</v>
      </c>
      <c r="C646">
        <v>1360</v>
      </c>
      <c r="D646" t="s">
        <v>150</v>
      </c>
      <c r="E646">
        <v>14.8</v>
      </c>
      <c r="F646">
        <v>15829</v>
      </c>
      <c r="G646">
        <v>21.58</v>
      </c>
      <c r="H646">
        <v>319.39999999999998</v>
      </c>
      <c r="I646">
        <f t="shared" si="23"/>
        <v>18.785222291797123</v>
      </c>
      <c r="J646">
        <f t="shared" si="22"/>
        <v>18.786163364476614</v>
      </c>
      <c r="K646">
        <v>2.4649999999999999</v>
      </c>
      <c r="L646">
        <f>60*(5280/3600)</f>
        <v>88</v>
      </c>
      <c r="M646" s="2"/>
      <c r="N646" s="2"/>
      <c r="O646" s="2"/>
      <c r="P646" s="2"/>
    </row>
    <row r="647" spans="1:16" x14ac:dyDescent="0.3">
      <c r="A647" t="s">
        <v>154</v>
      </c>
      <c r="B647">
        <v>2.74</v>
      </c>
      <c r="C647">
        <v>1360</v>
      </c>
      <c r="D647" t="s">
        <v>144</v>
      </c>
      <c r="E647">
        <v>14.8</v>
      </c>
      <c r="F647">
        <v>15976</v>
      </c>
      <c r="G647">
        <v>20.8</v>
      </c>
      <c r="H647">
        <v>307.8</v>
      </c>
      <c r="I647">
        <f t="shared" si="23"/>
        <v>19.49317738791423</v>
      </c>
      <c r="J647">
        <f t="shared" si="22"/>
        <v>19.490644490644488</v>
      </c>
      <c r="K647">
        <v>2.339375</v>
      </c>
      <c r="L647">
        <f>60.5*(5280/3600)</f>
        <v>88.73333333333332</v>
      </c>
    </row>
    <row r="648" spans="1:16" x14ac:dyDescent="0.3">
      <c r="A648" t="s">
        <v>167</v>
      </c>
      <c r="B648">
        <v>2.74</v>
      </c>
      <c r="C648">
        <v>1860</v>
      </c>
      <c r="D648" t="s">
        <v>148</v>
      </c>
      <c r="E648">
        <v>7.4</v>
      </c>
      <c r="F648">
        <v>11550</v>
      </c>
      <c r="G648">
        <v>19.21</v>
      </c>
      <c r="H648">
        <v>142.19999999999999</v>
      </c>
      <c r="I648">
        <f t="shared" si="23"/>
        <v>42.194092827004226</v>
      </c>
      <c r="J648">
        <f t="shared" si="22"/>
        <v>42.207746528412841</v>
      </c>
      <c r="K648">
        <v>1.2718750000000001</v>
      </c>
      <c r="L648">
        <f>54.7*(5280/3600)</f>
        <v>80.226666666666659</v>
      </c>
      <c r="M648" s="2"/>
      <c r="N648" s="2"/>
      <c r="O648" s="2"/>
      <c r="P648" s="2"/>
    </row>
    <row r="649" spans="1:16" x14ac:dyDescent="0.3">
      <c r="A649" t="s">
        <v>167</v>
      </c>
      <c r="B649">
        <v>2.74</v>
      </c>
      <c r="C649">
        <v>1860</v>
      </c>
      <c r="D649" t="s">
        <v>149</v>
      </c>
      <c r="E649">
        <v>7.4</v>
      </c>
      <c r="F649">
        <v>11427</v>
      </c>
      <c r="G649">
        <v>20.170000000000002</v>
      </c>
      <c r="H649">
        <v>149.19999999999999</v>
      </c>
      <c r="I649">
        <f t="shared" si="23"/>
        <v>40.21447721179625</v>
      </c>
      <c r="J649">
        <f t="shared" si="22"/>
        <v>40.198850312881042</v>
      </c>
      <c r="K649">
        <v>1.3912500000000001</v>
      </c>
      <c r="L649">
        <f>64.9*(5280/3600)</f>
        <v>95.186666666666667</v>
      </c>
      <c r="M649" s="2"/>
      <c r="N649" s="2"/>
      <c r="O649" s="2"/>
      <c r="P649" s="2"/>
    </row>
    <row r="650" spans="1:16" x14ac:dyDescent="0.3">
      <c r="A650" t="s">
        <v>167</v>
      </c>
      <c r="B650">
        <v>2.74</v>
      </c>
      <c r="C650">
        <v>1860</v>
      </c>
      <c r="D650" t="s">
        <v>125</v>
      </c>
      <c r="E650">
        <v>7.4</v>
      </c>
      <c r="F650">
        <v>10915</v>
      </c>
      <c r="G650">
        <v>23.67</v>
      </c>
      <c r="H650">
        <v>175.2</v>
      </c>
      <c r="I650">
        <f t="shared" si="23"/>
        <v>34.246575342465754</v>
      </c>
      <c r="J650">
        <f t="shared" si="22"/>
        <v>34.254787106498128</v>
      </c>
      <c r="K650">
        <v>1.345</v>
      </c>
      <c r="L650">
        <f>72.4*(5280/3600)</f>
        <v>106.18666666666667</v>
      </c>
      <c r="M650" s="2"/>
      <c r="N650" s="2"/>
      <c r="O650" s="2"/>
      <c r="P650" s="2"/>
    </row>
    <row r="651" spans="1:16" x14ac:dyDescent="0.3">
      <c r="A651" t="s">
        <v>167</v>
      </c>
      <c r="B651">
        <v>2.74</v>
      </c>
      <c r="C651">
        <v>1860</v>
      </c>
      <c r="D651" t="s">
        <v>126</v>
      </c>
      <c r="E651">
        <v>7.4</v>
      </c>
      <c r="F651">
        <v>11252</v>
      </c>
      <c r="G651">
        <v>22.49</v>
      </c>
      <c r="H651">
        <v>166.5</v>
      </c>
      <c r="I651">
        <f t="shared" si="23"/>
        <v>36.036036036036037</v>
      </c>
      <c r="J651">
        <f t="shared" si="22"/>
        <v>36.052059173446459</v>
      </c>
      <c r="K651">
        <v>1.76125</v>
      </c>
      <c r="L651">
        <f>42.6*(5280/3600)</f>
        <v>62.48</v>
      </c>
      <c r="M651" s="2"/>
      <c r="N651" s="2"/>
      <c r="O651" s="2"/>
      <c r="P651" s="2"/>
    </row>
    <row r="652" spans="1:16" x14ac:dyDescent="0.3">
      <c r="A652" t="s">
        <v>167</v>
      </c>
      <c r="B652">
        <v>2.74</v>
      </c>
      <c r="C652">
        <v>1860</v>
      </c>
      <c r="D652" t="s">
        <v>130</v>
      </c>
      <c r="E652">
        <v>7.4</v>
      </c>
      <c r="F652">
        <v>10577</v>
      </c>
      <c r="G652">
        <v>25.84</v>
      </c>
      <c r="H652">
        <v>191.2</v>
      </c>
      <c r="I652">
        <f t="shared" si="23"/>
        <v>31.380753138075313</v>
      </c>
      <c r="J652">
        <f t="shared" si="22"/>
        <v>31.378127353359545</v>
      </c>
      <c r="K652">
        <v>1.9025000000000001</v>
      </c>
      <c r="L652">
        <f>50.1*(5280/3600)</f>
        <v>73.48</v>
      </c>
      <c r="M652" s="2"/>
      <c r="N652" s="2"/>
      <c r="O652" s="2"/>
      <c r="P652" s="2"/>
    </row>
    <row r="653" spans="1:16" x14ac:dyDescent="0.3">
      <c r="A653" t="s">
        <v>167</v>
      </c>
      <c r="B653">
        <v>2.74</v>
      </c>
      <c r="C653">
        <v>1860</v>
      </c>
      <c r="D653" t="s">
        <v>141</v>
      </c>
      <c r="E653">
        <v>7.4</v>
      </c>
      <c r="F653">
        <v>10864</v>
      </c>
      <c r="G653">
        <v>23.94</v>
      </c>
      <c r="H653">
        <v>177.2</v>
      </c>
      <c r="I653">
        <f t="shared" si="23"/>
        <v>33.860045146726861</v>
      </c>
      <c r="J653">
        <f t="shared" si="22"/>
        <v>33.868454921086496</v>
      </c>
      <c r="K653">
        <v>1.0231250000000001</v>
      </c>
      <c r="L653">
        <f>61.7*(5280/3600)</f>
        <v>90.493333333333325</v>
      </c>
      <c r="M653" s="2"/>
      <c r="N653" s="2"/>
      <c r="O653" s="2"/>
      <c r="P653" s="2"/>
    </row>
    <row r="654" spans="1:16" x14ac:dyDescent="0.3">
      <c r="A654" t="s">
        <v>167</v>
      </c>
      <c r="B654">
        <v>2.74</v>
      </c>
      <c r="C654">
        <v>1860</v>
      </c>
      <c r="D654" t="s">
        <v>143</v>
      </c>
      <c r="E654">
        <v>7.4</v>
      </c>
      <c r="F654">
        <v>11066</v>
      </c>
      <c r="G654">
        <v>22.57</v>
      </c>
      <c r="H654">
        <v>167</v>
      </c>
      <c r="I654">
        <f t="shared" si="23"/>
        <v>35.928143712574844</v>
      </c>
      <c r="J654">
        <f t="shared" si="22"/>
        <v>35.924271635392586</v>
      </c>
      <c r="K654">
        <v>1.6712499999999999</v>
      </c>
      <c r="L654">
        <f>52.4*(5280/3600)</f>
        <v>76.853333333333325</v>
      </c>
      <c r="M654" s="2"/>
      <c r="N654" s="2"/>
      <c r="O654" s="2"/>
      <c r="P654" s="2"/>
    </row>
    <row r="655" spans="1:16" ht="15.6" x14ac:dyDescent="0.3">
      <c r="A655" t="s">
        <v>167</v>
      </c>
      <c r="B655">
        <v>2.74</v>
      </c>
      <c r="C655">
        <v>1860</v>
      </c>
      <c r="D655" t="s">
        <v>160</v>
      </c>
      <c r="E655">
        <v>11.1</v>
      </c>
      <c r="F655">
        <v>17208</v>
      </c>
      <c r="G655">
        <v>24.2</v>
      </c>
      <c r="H655">
        <v>268.60000000000002</v>
      </c>
      <c r="I655">
        <f t="shared" si="23"/>
        <v>22.338049143708115</v>
      </c>
      <c r="J655">
        <f t="shared" si="22"/>
        <v>22.336385972749611</v>
      </c>
      <c r="K655">
        <v>1.993125</v>
      </c>
      <c r="L655">
        <f>70.1*(5280/3600)</f>
        <v>102.81333333333332</v>
      </c>
      <c r="M655" s="2"/>
      <c r="N655" s="3"/>
      <c r="O655" s="2"/>
      <c r="P655" s="4"/>
    </row>
    <row r="656" spans="1:16" ht="15.6" x14ac:dyDescent="0.3">
      <c r="A656" t="s">
        <v>167</v>
      </c>
      <c r="B656">
        <v>2.74</v>
      </c>
      <c r="C656">
        <v>1860</v>
      </c>
      <c r="D656" t="s">
        <v>151</v>
      </c>
      <c r="E656">
        <v>11.1</v>
      </c>
      <c r="F656">
        <v>17375</v>
      </c>
      <c r="G656">
        <v>23.13</v>
      </c>
      <c r="H656">
        <v>256.7</v>
      </c>
      <c r="I656">
        <f t="shared" si="23"/>
        <v>23.37358784573432</v>
      </c>
      <c r="J656">
        <f t="shared" si="22"/>
        <v>23.369673175120649</v>
      </c>
      <c r="K656">
        <v>2.0175000000000001</v>
      </c>
      <c r="L656">
        <f>74*(5280/3600)</f>
        <v>108.53333333333333</v>
      </c>
      <c r="M656" s="2"/>
      <c r="N656" s="3"/>
      <c r="O656" s="2"/>
      <c r="P656" s="4"/>
    </row>
    <row r="657" spans="1:16" ht="15.6" x14ac:dyDescent="0.3">
      <c r="A657" t="s">
        <v>167</v>
      </c>
      <c r="B657">
        <v>2.74</v>
      </c>
      <c r="C657">
        <v>1860</v>
      </c>
      <c r="D657" t="s">
        <v>161</v>
      </c>
      <c r="E657">
        <v>11.1</v>
      </c>
      <c r="F657">
        <v>17501</v>
      </c>
      <c r="G657">
        <v>21.22</v>
      </c>
      <c r="H657">
        <v>235.5</v>
      </c>
      <c r="I657">
        <f t="shared" si="23"/>
        <v>25.477707006369428</v>
      </c>
      <c r="J657">
        <f t="shared" si="22"/>
        <v>25.473164021703138</v>
      </c>
      <c r="K657">
        <v>1.5718749999999999</v>
      </c>
      <c r="L657">
        <f>91.2*(5280/3600)</f>
        <v>133.76</v>
      </c>
      <c r="M657" s="2"/>
      <c r="N657" s="3"/>
      <c r="O657" s="2"/>
      <c r="P657" s="4"/>
    </row>
    <row r="658" spans="1:16" ht="15.6" x14ac:dyDescent="0.3">
      <c r="A658" t="s">
        <v>167</v>
      </c>
      <c r="B658">
        <v>2.74</v>
      </c>
      <c r="C658">
        <v>1860</v>
      </c>
      <c r="D658" t="s">
        <v>152</v>
      </c>
      <c r="E658">
        <v>11.1</v>
      </c>
      <c r="F658">
        <v>17076</v>
      </c>
      <c r="G658">
        <v>24.03</v>
      </c>
      <c r="H658">
        <v>266.8</v>
      </c>
      <c r="I658">
        <f t="shared" si="23"/>
        <v>22.488755622188904</v>
      </c>
      <c r="J658">
        <f t="shared" si="22"/>
        <v>22.494404516876426</v>
      </c>
      <c r="K658">
        <v>1.5431250000000001</v>
      </c>
      <c r="L658">
        <f>97*(5280/3600)</f>
        <v>142.26666666666665</v>
      </c>
      <c r="M658" s="2"/>
      <c r="N658" s="3"/>
      <c r="O658" s="2"/>
      <c r="P658" s="4"/>
    </row>
    <row r="659" spans="1:16" ht="15.6" x14ac:dyDescent="0.3">
      <c r="A659" t="s">
        <v>167</v>
      </c>
      <c r="B659">
        <v>2.74</v>
      </c>
      <c r="C659">
        <v>1860</v>
      </c>
      <c r="D659" t="s">
        <v>162</v>
      </c>
      <c r="E659">
        <v>11.1</v>
      </c>
      <c r="F659">
        <v>17361</v>
      </c>
      <c r="G659">
        <v>23.17</v>
      </c>
      <c r="H659">
        <v>257.2</v>
      </c>
      <c r="I659">
        <f t="shared" si="23"/>
        <v>23.32814930015552</v>
      </c>
      <c r="J659">
        <f t="shared" si="22"/>
        <v>23.329328465280128</v>
      </c>
      <c r="K659">
        <v>1.6556249999999999</v>
      </c>
      <c r="L659">
        <f>82.2*(5280/3600)</f>
        <v>120.56</v>
      </c>
      <c r="M659" s="2"/>
      <c r="N659" s="3"/>
      <c r="O659" s="2"/>
      <c r="P659" s="4"/>
    </row>
    <row r="660" spans="1:16" ht="15.6" x14ac:dyDescent="0.3">
      <c r="A660" t="s">
        <v>167</v>
      </c>
      <c r="B660">
        <v>2.74</v>
      </c>
      <c r="C660">
        <v>1860</v>
      </c>
      <c r="D660" t="s">
        <v>163</v>
      </c>
      <c r="E660">
        <v>11.1</v>
      </c>
      <c r="F660">
        <v>17171</v>
      </c>
      <c r="G660">
        <v>24.43</v>
      </c>
      <c r="H660">
        <v>271.2</v>
      </c>
      <c r="I660">
        <f t="shared" si="23"/>
        <v>22.123893805309738</v>
      </c>
      <c r="J660">
        <f t="shared" si="22"/>
        <v>22.126096624663962</v>
      </c>
      <c r="K660">
        <v>1.6581250000000001</v>
      </c>
      <c r="L660">
        <f>89.4*(5280/3600)</f>
        <v>131.12</v>
      </c>
      <c r="M660" s="2"/>
      <c r="N660" s="3"/>
      <c r="O660" s="2"/>
      <c r="P660" s="4"/>
    </row>
    <row r="661" spans="1:16" ht="15.6" x14ac:dyDescent="0.3">
      <c r="A661" t="s">
        <v>167</v>
      </c>
      <c r="B661">
        <v>2.74</v>
      </c>
      <c r="C661">
        <v>1860</v>
      </c>
      <c r="D661" t="s">
        <v>164</v>
      </c>
      <c r="E661">
        <v>11.1</v>
      </c>
      <c r="F661">
        <v>16722</v>
      </c>
      <c r="G661">
        <v>27.2</v>
      </c>
      <c r="H661">
        <v>302</v>
      </c>
      <c r="I661">
        <f t="shared" si="23"/>
        <v>19.867549668874172</v>
      </c>
      <c r="J661">
        <f t="shared" si="22"/>
        <v>19.872813990461051</v>
      </c>
      <c r="K661">
        <v>1.589375</v>
      </c>
      <c r="L661">
        <f>95*(5280/3600)</f>
        <v>139.33333333333331</v>
      </c>
      <c r="M661" s="2"/>
      <c r="N661" s="3"/>
      <c r="O661" s="2"/>
      <c r="P661" s="4"/>
    </row>
    <row r="662" spans="1:16" ht="15.6" x14ac:dyDescent="0.3">
      <c r="A662" t="s">
        <v>167</v>
      </c>
      <c r="B662">
        <v>2.74</v>
      </c>
      <c r="C662">
        <v>1860</v>
      </c>
      <c r="D662" t="s">
        <v>147</v>
      </c>
      <c r="E662">
        <v>11.1</v>
      </c>
      <c r="F662">
        <v>17339</v>
      </c>
      <c r="G662">
        <v>22.35</v>
      </c>
      <c r="H662">
        <v>248.1</v>
      </c>
      <c r="I662">
        <f t="shared" si="23"/>
        <v>24.183796856106408</v>
      </c>
      <c r="J662">
        <f t="shared" si="22"/>
        <v>24.185259084587944</v>
      </c>
      <c r="K662">
        <v>1.618125</v>
      </c>
      <c r="L662">
        <f>65.7*(5280/3600)</f>
        <v>96.36</v>
      </c>
      <c r="M662" s="2"/>
      <c r="N662" s="3"/>
      <c r="O662" s="2"/>
      <c r="P662" s="4"/>
    </row>
    <row r="663" spans="1:16" ht="15.6" x14ac:dyDescent="0.3">
      <c r="A663" t="s">
        <v>167</v>
      </c>
      <c r="B663">
        <v>2.74</v>
      </c>
      <c r="C663">
        <v>1860</v>
      </c>
      <c r="D663" t="s">
        <v>166</v>
      </c>
      <c r="E663">
        <v>11.1</v>
      </c>
      <c r="F663">
        <v>17759</v>
      </c>
      <c r="G663">
        <v>19.59</v>
      </c>
      <c r="H663">
        <v>217.5</v>
      </c>
      <c r="I663">
        <f t="shared" si="23"/>
        <v>27.586206896551722</v>
      </c>
      <c r="J663">
        <f t="shared" si="22"/>
        <v>27.592676903549798</v>
      </c>
      <c r="K663">
        <v>1.7506250000000001</v>
      </c>
      <c r="L663">
        <f>67.3*(5280/3600)</f>
        <v>98.706666666666649</v>
      </c>
      <c r="M663" s="2"/>
      <c r="N663" s="3"/>
      <c r="O663" s="2"/>
      <c r="P663" s="4"/>
    </row>
    <row r="664" spans="1:16" x14ac:dyDescent="0.3">
      <c r="A664" t="s">
        <v>167</v>
      </c>
      <c r="B664">
        <v>2.74</v>
      </c>
      <c r="C664">
        <v>1860</v>
      </c>
      <c r="D664" t="s">
        <v>198</v>
      </c>
      <c r="E664">
        <v>14.8</v>
      </c>
      <c r="F664">
        <v>23169</v>
      </c>
      <c r="G664">
        <v>24.02</v>
      </c>
      <c r="H664">
        <v>355.6</v>
      </c>
      <c r="I664">
        <f t="shared" si="23"/>
        <v>16.872890888638921</v>
      </c>
      <c r="J664">
        <f t="shared" si="22"/>
        <v>16.877827036028535</v>
      </c>
      <c r="K664">
        <v>1.9068750000000001</v>
      </c>
      <c r="L664">
        <f>94.3*(5280/3600)</f>
        <v>138.30666666666664</v>
      </c>
      <c r="M664" s="2"/>
      <c r="N664" s="2"/>
      <c r="O664" s="2"/>
      <c r="P664" s="2"/>
    </row>
    <row r="665" spans="1:16" x14ac:dyDescent="0.3">
      <c r="A665" t="s">
        <v>167</v>
      </c>
      <c r="B665">
        <v>2.74</v>
      </c>
      <c r="C665">
        <v>1860</v>
      </c>
      <c r="D665" t="s">
        <v>199</v>
      </c>
      <c r="E665">
        <v>14.8</v>
      </c>
      <c r="F665">
        <v>23020</v>
      </c>
      <c r="G665">
        <v>25.04</v>
      </c>
      <c r="H665">
        <v>370.6</v>
      </c>
      <c r="I665">
        <f t="shared" si="23"/>
        <v>16.189962223421478</v>
      </c>
      <c r="J665">
        <f t="shared" si="22"/>
        <v>16.190311717468266</v>
      </c>
      <c r="K665">
        <v>1.9312499999999999</v>
      </c>
      <c r="L665">
        <f>98.1*(5280/3600)</f>
        <v>143.88</v>
      </c>
      <c r="M665" s="2"/>
      <c r="N665" s="2"/>
      <c r="O665" s="2"/>
      <c r="P665" s="2"/>
    </row>
    <row r="666" spans="1:16" x14ac:dyDescent="0.3">
      <c r="A666" t="s">
        <v>167</v>
      </c>
      <c r="B666">
        <v>2.74</v>
      </c>
      <c r="C666">
        <v>1860</v>
      </c>
      <c r="D666" t="s">
        <v>200</v>
      </c>
      <c r="E666">
        <v>14.8</v>
      </c>
      <c r="F666">
        <v>23043</v>
      </c>
      <c r="G666">
        <v>24.89</v>
      </c>
      <c r="H666">
        <v>368.4</v>
      </c>
      <c r="I666">
        <f t="shared" si="23"/>
        <v>16.286644951140065</v>
      </c>
      <c r="J666">
        <f t="shared" si="22"/>
        <v>16.287882900980527</v>
      </c>
      <c r="K666">
        <v>2.0325000000000002</v>
      </c>
      <c r="L666">
        <f>100.4*(5280/3600)</f>
        <v>147.25333333333333</v>
      </c>
      <c r="M666" s="2"/>
      <c r="N666" s="2"/>
      <c r="O666" s="2"/>
      <c r="P666" s="2"/>
    </row>
    <row r="667" spans="1:16" x14ac:dyDescent="0.3">
      <c r="A667" t="s">
        <v>167</v>
      </c>
      <c r="B667">
        <v>2.74</v>
      </c>
      <c r="C667">
        <v>1860</v>
      </c>
      <c r="D667" t="s">
        <v>159</v>
      </c>
      <c r="E667">
        <v>14.8</v>
      </c>
      <c r="F667">
        <v>22523</v>
      </c>
      <c r="G667">
        <v>28.22</v>
      </c>
      <c r="H667">
        <v>417.6</v>
      </c>
      <c r="I667">
        <f t="shared" si="23"/>
        <v>14.367816091954023</v>
      </c>
      <c r="J667">
        <f t="shared" si="22"/>
        <v>14.36588963165859</v>
      </c>
      <c r="K667">
        <v>2.2731249999999998</v>
      </c>
      <c r="L667">
        <f>85.3*(5280/3600)</f>
        <v>125.10666666666665</v>
      </c>
      <c r="M667" s="2"/>
      <c r="N667" s="2"/>
      <c r="O667" s="2"/>
      <c r="P667" s="2"/>
    </row>
    <row r="668" spans="1:16" ht="15.6" x14ac:dyDescent="0.3">
      <c r="A668" t="s">
        <v>201</v>
      </c>
      <c r="B668">
        <v>3.77</v>
      </c>
      <c r="C668">
        <v>1050</v>
      </c>
      <c r="D668" t="s">
        <v>127</v>
      </c>
      <c r="E668">
        <v>11.1</v>
      </c>
      <c r="F668">
        <v>10813</v>
      </c>
      <c r="G668">
        <v>20.3</v>
      </c>
      <c r="H668">
        <v>225.3</v>
      </c>
      <c r="I668">
        <f t="shared" si="23"/>
        <v>26.631158455392807</v>
      </c>
      <c r="J668">
        <f t="shared" si="22"/>
        <v>26.627612834509389</v>
      </c>
      <c r="K668">
        <v>2.1012499999999998</v>
      </c>
      <c r="L668">
        <f>61.4*(5280/3600)</f>
        <v>90.053333333333327</v>
      </c>
      <c r="M668" s="3"/>
      <c r="N668" s="2"/>
      <c r="O668" s="4"/>
    </row>
    <row r="669" spans="1:16" ht="15.6" x14ac:dyDescent="0.3">
      <c r="A669" t="s">
        <v>201</v>
      </c>
      <c r="B669">
        <v>3.77</v>
      </c>
      <c r="C669">
        <v>1050</v>
      </c>
      <c r="D669" t="s">
        <v>128</v>
      </c>
      <c r="E669">
        <v>11.1</v>
      </c>
      <c r="F669">
        <v>10340</v>
      </c>
      <c r="G669">
        <v>25.08</v>
      </c>
      <c r="H669">
        <v>278.39999999999998</v>
      </c>
      <c r="I669">
        <f t="shared" si="23"/>
        <v>21.551724137931036</v>
      </c>
      <c r="J669">
        <f t="shared" si="22"/>
        <v>21.552653131600501</v>
      </c>
      <c r="K669">
        <v>1.993125</v>
      </c>
      <c r="L669">
        <f>78.3*(5280/3600)</f>
        <v>114.83999999999999</v>
      </c>
      <c r="M669" s="2"/>
      <c r="N669" s="3"/>
      <c r="O669" s="2"/>
      <c r="P669" s="4"/>
    </row>
    <row r="670" spans="1:16" ht="15.6" x14ac:dyDescent="0.3">
      <c r="A670" t="s">
        <v>201</v>
      </c>
      <c r="B670">
        <v>3.77</v>
      </c>
      <c r="C670">
        <v>1050</v>
      </c>
      <c r="D670" t="s">
        <v>129</v>
      </c>
      <c r="E670">
        <v>11.1</v>
      </c>
      <c r="F670">
        <v>10784</v>
      </c>
      <c r="G670">
        <v>20.62</v>
      </c>
      <c r="H670">
        <v>228.9</v>
      </c>
      <c r="I670">
        <f t="shared" si="23"/>
        <v>26.212319790301439</v>
      </c>
      <c r="J670">
        <f t="shared" si="22"/>
        <v>26.214381209531549</v>
      </c>
      <c r="K670">
        <v>2.5618750000000001</v>
      </c>
      <c r="L670">
        <f>46*(5280/3600)</f>
        <v>67.466666666666669</v>
      </c>
      <c r="M670" s="2"/>
      <c r="N670" s="3"/>
      <c r="O670" s="2"/>
      <c r="P670" s="4"/>
    </row>
    <row r="671" spans="1:16" ht="15.6" x14ac:dyDescent="0.3">
      <c r="A671" t="s">
        <v>201</v>
      </c>
      <c r="B671">
        <v>3.77</v>
      </c>
      <c r="C671">
        <v>1050</v>
      </c>
      <c r="D671" t="s">
        <v>107</v>
      </c>
      <c r="E671">
        <v>11.1</v>
      </c>
      <c r="F671">
        <v>10469</v>
      </c>
      <c r="G671">
        <v>23.77</v>
      </c>
      <c r="H671">
        <v>263.8</v>
      </c>
      <c r="I671">
        <f t="shared" si="23"/>
        <v>22.744503411675513</v>
      </c>
      <c r="J671">
        <f t="shared" si="22"/>
        <v>22.740451852778317</v>
      </c>
      <c r="K671">
        <v>2.5593750000000002</v>
      </c>
      <c r="L671">
        <f>59.5*(5280/3600)</f>
        <v>87.266666666666666</v>
      </c>
      <c r="M671" s="2"/>
      <c r="N671" s="3"/>
      <c r="O671" s="2"/>
      <c r="P671" s="4"/>
    </row>
    <row r="672" spans="1:16" ht="15.6" x14ac:dyDescent="0.3">
      <c r="A672" t="s">
        <v>201</v>
      </c>
      <c r="B672">
        <v>3.77</v>
      </c>
      <c r="C672">
        <v>1050</v>
      </c>
      <c r="D672" t="s">
        <v>99</v>
      </c>
      <c r="E672">
        <v>11.1</v>
      </c>
      <c r="F672">
        <v>10013</v>
      </c>
      <c r="G672">
        <v>27.1</v>
      </c>
      <c r="H672">
        <v>300.8</v>
      </c>
      <c r="I672">
        <f t="shared" si="23"/>
        <v>19.946808510638299</v>
      </c>
      <c r="J672">
        <f t="shared" si="22"/>
        <v>19.946145407400017</v>
      </c>
      <c r="K672">
        <v>3.11</v>
      </c>
      <c r="L672">
        <f>47.4*(5280/3600)</f>
        <v>69.52</v>
      </c>
      <c r="M672" s="2"/>
      <c r="N672" s="3"/>
      <c r="O672" s="2"/>
      <c r="P672" s="4"/>
    </row>
    <row r="673" spans="1:16" ht="15.6" x14ac:dyDescent="0.3">
      <c r="A673" t="s">
        <v>201</v>
      </c>
      <c r="B673">
        <v>3.77</v>
      </c>
      <c r="C673">
        <v>1050</v>
      </c>
      <c r="D673" t="s">
        <v>67</v>
      </c>
      <c r="E673">
        <v>11.1</v>
      </c>
      <c r="F673">
        <v>9730</v>
      </c>
      <c r="G673">
        <v>29.72</v>
      </c>
      <c r="H673">
        <v>329.8</v>
      </c>
      <c r="I673">
        <f t="shared" si="23"/>
        <v>18.192844147968465</v>
      </c>
      <c r="J673">
        <f t="shared" si="22"/>
        <v>18.187770543086828</v>
      </c>
      <c r="K673">
        <v>3.1924999999999999</v>
      </c>
      <c r="L673">
        <f>55.3*(5280/3600)</f>
        <v>81.106666666666655</v>
      </c>
      <c r="M673" s="2"/>
      <c r="N673" s="3"/>
      <c r="O673" s="2"/>
      <c r="P673" s="4"/>
    </row>
    <row r="674" spans="1:16" ht="15.6" x14ac:dyDescent="0.3">
      <c r="A674" t="s">
        <v>201</v>
      </c>
      <c r="B674">
        <v>3.77</v>
      </c>
      <c r="C674">
        <v>1050</v>
      </c>
      <c r="D674" t="s">
        <v>131</v>
      </c>
      <c r="E674">
        <v>11.1</v>
      </c>
      <c r="F674">
        <v>10299</v>
      </c>
      <c r="G674">
        <v>25.43</v>
      </c>
      <c r="H674">
        <v>282.2</v>
      </c>
      <c r="I674">
        <f t="shared" si="23"/>
        <v>21.261516654854717</v>
      </c>
      <c r="J674">
        <f t="shared" si="22"/>
        <v>21.256018110127432</v>
      </c>
      <c r="K674">
        <v>2.8768750000000001</v>
      </c>
      <c r="L674">
        <f>58.5*(5280/3600)</f>
        <v>85.8</v>
      </c>
      <c r="M674" s="2"/>
      <c r="N674" s="3"/>
      <c r="O674" s="2"/>
      <c r="P674" s="4"/>
    </row>
    <row r="675" spans="1:16" ht="15.6" x14ac:dyDescent="0.3">
      <c r="A675" t="s">
        <v>201</v>
      </c>
      <c r="B675">
        <v>3.77</v>
      </c>
      <c r="C675">
        <v>1050</v>
      </c>
      <c r="D675" t="s">
        <v>133</v>
      </c>
      <c r="E675">
        <v>11.1</v>
      </c>
      <c r="F675">
        <v>10325</v>
      </c>
      <c r="G675">
        <v>25.37</v>
      </c>
      <c r="H675">
        <v>281.60000000000002</v>
      </c>
      <c r="I675">
        <f t="shared" si="23"/>
        <v>21.30681818181818</v>
      </c>
      <c r="J675">
        <f t="shared" si="22"/>
        <v>21.306288551065848</v>
      </c>
      <c r="K675">
        <v>2.8149999999999999</v>
      </c>
      <c r="L675">
        <f>48.9*(5280/3600)</f>
        <v>71.72</v>
      </c>
      <c r="M675" s="2"/>
      <c r="N675" s="3"/>
      <c r="O675" s="2"/>
      <c r="P675" s="4"/>
    </row>
    <row r="676" spans="1:16" ht="15.6" x14ac:dyDescent="0.3">
      <c r="A676" t="s">
        <v>201</v>
      </c>
      <c r="B676">
        <v>3.77</v>
      </c>
      <c r="C676">
        <v>1050</v>
      </c>
      <c r="D676" t="s">
        <v>134</v>
      </c>
      <c r="E676">
        <v>11.1</v>
      </c>
      <c r="F676">
        <v>9560</v>
      </c>
      <c r="G676">
        <v>31.89</v>
      </c>
      <c r="H676">
        <v>354</v>
      </c>
      <c r="I676">
        <f t="shared" si="23"/>
        <v>16.949152542372882</v>
      </c>
      <c r="J676">
        <f t="shared" si="22"/>
        <v>16.950158060223909</v>
      </c>
      <c r="K676">
        <v>2.651875</v>
      </c>
      <c r="L676">
        <f>54.3*(5280/3600)</f>
        <v>79.639999999999986</v>
      </c>
      <c r="M676" s="2"/>
      <c r="N676" s="3"/>
      <c r="O676" s="2"/>
      <c r="P676" s="4"/>
    </row>
    <row r="677" spans="1:16" ht="15.6" x14ac:dyDescent="0.3">
      <c r="A677" t="s">
        <v>201</v>
      </c>
      <c r="B677">
        <v>3.77</v>
      </c>
      <c r="C677">
        <v>1050</v>
      </c>
      <c r="D677" t="s">
        <v>137</v>
      </c>
      <c r="E677">
        <v>11.1</v>
      </c>
      <c r="F677">
        <v>9629</v>
      </c>
      <c r="G677">
        <v>31.23</v>
      </c>
      <c r="H677">
        <v>346.6</v>
      </c>
      <c r="I677">
        <f t="shared" si="23"/>
        <v>17.311021350259665</v>
      </c>
      <c r="J677">
        <f t="shared" si="22"/>
        <v>17.308374657077827</v>
      </c>
      <c r="K677">
        <v>3.34</v>
      </c>
      <c r="L677">
        <f>45.6*(5280/3600)</f>
        <v>66.88</v>
      </c>
      <c r="M677" s="2"/>
      <c r="N677" s="3"/>
      <c r="O677" s="2"/>
      <c r="P677" s="4"/>
    </row>
    <row r="678" spans="1:16" ht="15.6" x14ac:dyDescent="0.3">
      <c r="A678" t="s">
        <v>201</v>
      </c>
      <c r="B678">
        <v>3.77</v>
      </c>
      <c r="C678">
        <v>1050</v>
      </c>
      <c r="D678" t="s">
        <v>142</v>
      </c>
      <c r="E678">
        <v>11.1</v>
      </c>
      <c r="F678">
        <v>10614</v>
      </c>
      <c r="G678">
        <v>22.46</v>
      </c>
      <c r="H678">
        <v>249.3</v>
      </c>
      <c r="I678">
        <f t="shared" si="23"/>
        <v>24.067388688327316</v>
      </c>
      <c r="J678">
        <f t="shared" si="22"/>
        <v>24.066809463069482</v>
      </c>
      <c r="K678">
        <v>1.59375</v>
      </c>
      <c r="L678">
        <f>40.2*(5280/3600)</f>
        <v>58.96</v>
      </c>
      <c r="M678" s="2"/>
      <c r="N678" s="3"/>
      <c r="O678" s="2"/>
      <c r="P678" s="4"/>
    </row>
    <row r="679" spans="1:16" ht="15.6" x14ac:dyDescent="0.3">
      <c r="A679" t="s">
        <v>201</v>
      </c>
      <c r="B679">
        <v>3.77</v>
      </c>
      <c r="C679">
        <v>1050</v>
      </c>
      <c r="D679" t="s">
        <v>130</v>
      </c>
      <c r="E679">
        <v>11.1</v>
      </c>
      <c r="F679">
        <v>10861</v>
      </c>
      <c r="G679">
        <v>20.03</v>
      </c>
      <c r="H679">
        <v>222.4</v>
      </c>
      <c r="I679">
        <f t="shared" si="23"/>
        <v>26.978417266187048</v>
      </c>
      <c r="J679">
        <f t="shared" si="22"/>
        <v>26.986547206217701</v>
      </c>
      <c r="K679">
        <v>2.4325000000000001</v>
      </c>
      <c r="L679">
        <f>51.4*(5280/3600)</f>
        <v>75.386666666666656</v>
      </c>
      <c r="M679" s="2"/>
      <c r="N679" s="3"/>
      <c r="O679" s="2"/>
      <c r="P679" s="4"/>
    </row>
    <row r="680" spans="1:16" ht="15.6" x14ac:dyDescent="0.3">
      <c r="A680" t="s">
        <v>201</v>
      </c>
      <c r="B680">
        <v>3.77</v>
      </c>
      <c r="C680">
        <v>1050</v>
      </c>
      <c r="D680" t="s">
        <v>131</v>
      </c>
      <c r="E680">
        <v>11.1</v>
      </c>
      <c r="F680">
        <v>10035</v>
      </c>
      <c r="G680">
        <v>27.62</v>
      </c>
      <c r="H680">
        <v>306.5</v>
      </c>
      <c r="I680">
        <f t="shared" si="23"/>
        <v>19.575856443719413</v>
      </c>
      <c r="J680">
        <f t="shared" si="22"/>
        <v>19.57062058437873</v>
      </c>
      <c r="K680">
        <v>3.1306250000000002</v>
      </c>
      <c r="L680">
        <f>57*(5280/3600)</f>
        <v>83.6</v>
      </c>
      <c r="M680" s="2"/>
      <c r="N680" s="3"/>
      <c r="O680" s="2"/>
      <c r="P680" s="4"/>
    </row>
    <row r="681" spans="1:16" ht="15.6" x14ac:dyDescent="0.3">
      <c r="A681" t="s">
        <v>201</v>
      </c>
      <c r="B681">
        <v>3.77</v>
      </c>
      <c r="C681">
        <v>1050</v>
      </c>
      <c r="D681" t="s">
        <v>145</v>
      </c>
      <c r="E681">
        <v>11.1</v>
      </c>
      <c r="F681">
        <v>10765</v>
      </c>
      <c r="G681">
        <v>21.03</v>
      </c>
      <c r="H681">
        <v>233.4</v>
      </c>
      <c r="I681">
        <f t="shared" si="23"/>
        <v>25.70694087403599</v>
      </c>
      <c r="J681">
        <f t="shared" si="22"/>
        <v>25.703306730410869</v>
      </c>
      <c r="K681">
        <v>2.319375</v>
      </c>
      <c r="L681">
        <f>61.2*(5280/3600)</f>
        <v>89.759999999999991</v>
      </c>
      <c r="M681" s="2"/>
      <c r="N681" s="3"/>
      <c r="O681" s="2"/>
      <c r="P681" s="4"/>
    </row>
    <row r="682" spans="1:16" ht="15.6" x14ac:dyDescent="0.3">
      <c r="A682" t="s">
        <v>201</v>
      </c>
      <c r="B682">
        <v>3.77</v>
      </c>
      <c r="C682">
        <v>1050</v>
      </c>
      <c r="D682" t="s">
        <v>101</v>
      </c>
      <c r="E682">
        <v>11.1</v>
      </c>
      <c r="F682">
        <v>9716</v>
      </c>
      <c r="G682">
        <v>30.6</v>
      </c>
      <c r="H682">
        <v>339.6</v>
      </c>
      <c r="I682">
        <f t="shared" si="23"/>
        <v>17.667844522968196</v>
      </c>
      <c r="J682">
        <f t="shared" si="22"/>
        <v>17.664723547076491</v>
      </c>
      <c r="K682">
        <v>3.1150000000000002</v>
      </c>
      <c r="L682">
        <f>64.4*(5280/3600)</f>
        <v>94.453333333333333</v>
      </c>
      <c r="M682" s="2"/>
      <c r="N682" s="3"/>
      <c r="O682" s="2"/>
      <c r="P682" s="4"/>
    </row>
    <row r="683" spans="1:16" ht="15.6" x14ac:dyDescent="0.3">
      <c r="A683" t="s">
        <v>201</v>
      </c>
      <c r="B683">
        <v>3.77</v>
      </c>
      <c r="C683">
        <v>1050</v>
      </c>
      <c r="D683" t="s">
        <v>79</v>
      </c>
      <c r="E683">
        <v>11.1</v>
      </c>
      <c r="F683">
        <v>9971</v>
      </c>
      <c r="G683">
        <v>28.24</v>
      </c>
      <c r="H683">
        <v>313.39999999999998</v>
      </c>
      <c r="I683">
        <f t="shared" si="23"/>
        <v>19.144862795149969</v>
      </c>
      <c r="J683">
        <f t="shared" si="22"/>
        <v>19.140953985146623</v>
      </c>
      <c r="K683">
        <v>3.2625000000000002</v>
      </c>
      <c r="L683">
        <f>47.2*(5280/3600)</f>
        <v>69.226666666666659</v>
      </c>
      <c r="M683" s="2"/>
      <c r="N683" s="3"/>
      <c r="O683" s="2"/>
      <c r="P683" s="4"/>
    </row>
    <row r="684" spans="1:16" x14ac:dyDescent="0.3">
      <c r="A684" t="s">
        <v>201</v>
      </c>
      <c r="B684">
        <v>3.77</v>
      </c>
      <c r="C684">
        <v>1050</v>
      </c>
      <c r="D684" t="s">
        <v>148</v>
      </c>
      <c r="E684">
        <v>14.8</v>
      </c>
      <c r="F684">
        <v>14634</v>
      </c>
      <c r="G684">
        <v>20.07</v>
      </c>
      <c r="H684">
        <v>297</v>
      </c>
      <c r="I684">
        <f t="shared" si="23"/>
        <v>20.202020202020204</v>
      </c>
      <c r="J684">
        <f t="shared" si="22"/>
        <v>20.199571769078492</v>
      </c>
      <c r="K684">
        <v>2.145</v>
      </c>
      <c r="L684">
        <f>69.3*(5280/3600)</f>
        <v>101.63999999999999</v>
      </c>
      <c r="M684" s="2"/>
      <c r="N684" s="2"/>
      <c r="O684" s="2"/>
      <c r="P684" s="2"/>
    </row>
    <row r="685" spans="1:16" x14ac:dyDescent="0.3">
      <c r="A685" t="s">
        <v>201</v>
      </c>
      <c r="B685">
        <v>3.77</v>
      </c>
      <c r="C685">
        <v>1050</v>
      </c>
      <c r="D685" t="s">
        <v>149</v>
      </c>
      <c r="E685">
        <v>14.8</v>
      </c>
      <c r="F685">
        <v>14559</v>
      </c>
      <c r="G685">
        <v>20.74</v>
      </c>
      <c r="H685">
        <v>307</v>
      </c>
      <c r="I685">
        <f t="shared" si="23"/>
        <v>19.543973941368076</v>
      </c>
      <c r="J685">
        <f t="shared" si="22"/>
        <v>19.547030154551852</v>
      </c>
      <c r="K685">
        <v>2.3343750000000001</v>
      </c>
      <c r="L685">
        <f>82.7*(5280/3600)</f>
        <v>121.29333333333332</v>
      </c>
      <c r="M685" s="2"/>
      <c r="N685" s="2"/>
      <c r="O685" s="2"/>
      <c r="P685" s="2"/>
    </row>
    <row r="686" spans="1:16" x14ac:dyDescent="0.3">
      <c r="A686" t="s">
        <v>201</v>
      </c>
      <c r="B686">
        <v>3.77</v>
      </c>
      <c r="C686">
        <v>1050</v>
      </c>
      <c r="D686" t="s">
        <v>125</v>
      </c>
      <c r="E686">
        <v>14.8</v>
      </c>
      <c r="F686">
        <v>14070</v>
      </c>
      <c r="G686">
        <v>25.3</v>
      </c>
      <c r="H686">
        <v>374.4</v>
      </c>
      <c r="I686">
        <f t="shared" si="23"/>
        <v>16.025641025641026</v>
      </c>
      <c r="J686">
        <f t="shared" si="22"/>
        <v>16.023929067407327</v>
      </c>
      <c r="K686">
        <v>2.2618749999999999</v>
      </c>
      <c r="L686">
        <f>93.3*(5280/3600)</f>
        <v>136.83999999999997</v>
      </c>
      <c r="M686" s="2"/>
      <c r="N686" s="2"/>
      <c r="O686" s="2"/>
      <c r="P686" s="2"/>
    </row>
    <row r="687" spans="1:16" x14ac:dyDescent="0.3">
      <c r="A687" t="s">
        <v>201</v>
      </c>
      <c r="B687">
        <v>3.77</v>
      </c>
      <c r="C687">
        <v>1050</v>
      </c>
      <c r="D687" t="s">
        <v>126</v>
      </c>
      <c r="E687">
        <v>14.8</v>
      </c>
      <c r="F687">
        <v>14260</v>
      </c>
      <c r="G687">
        <v>23.53</v>
      </c>
      <c r="H687">
        <v>348.2</v>
      </c>
      <c r="I687">
        <f t="shared" si="23"/>
        <v>17.23147616312464</v>
      </c>
      <c r="J687">
        <f t="shared" si="22"/>
        <v>17.229298997254794</v>
      </c>
      <c r="K687">
        <v>2.9518749999999998</v>
      </c>
      <c r="L687">
        <f>54*(5280/3600)</f>
        <v>79.199999999999989</v>
      </c>
      <c r="M687" s="2"/>
      <c r="N687" s="2"/>
      <c r="O687" s="2"/>
      <c r="P687" s="2"/>
    </row>
    <row r="688" spans="1:16" x14ac:dyDescent="0.3">
      <c r="A688" t="s">
        <v>201</v>
      </c>
      <c r="B688">
        <v>3.77</v>
      </c>
      <c r="C688">
        <v>1050</v>
      </c>
      <c r="D688" t="s">
        <v>141</v>
      </c>
      <c r="E688">
        <v>14.8</v>
      </c>
      <c r="F688">
        <v>14270</v>
      </c>
      <c r="G688">
        <v>23.53</v>
      </c>
      <c r="H688">
        <v>348.2</v>
      </c>
      <c r="I688">
        <f t="shared" si="23"/>
        <v>17.23147616312464</v>
      </c>
      <c r="J688">
        <f t="shared" si="22"/>
        <v>17.229298997254794</v>
      </c>
      <c r="K688">
        <v>1.8143750000000001</v>
      </c>
      <c r="L688">
        <f>81.1*(5280/3600)</f>
        <v>118.94666666666664</v>
      </c>
      <c r="M688" s="2"/>
      <c r="N688" s="2"/>
      <c r="O688" s="2"/>
      <c r="P688" s="2"/>
    </row>
    <row r="689" spans="1:16" x14ac:dyDescent="0.3">
      <c r="A689" t="s">
        <v>201</v>
      </c>
      <c r="B689">
        <v>3.77</v>
      </c>
      <c r="C689">
        <v>1050</v>
      </c>
      <c r="D689" t="s">
        <v>142</v>
      </c>
      <c r="E689">
        <v>14.8</v>
      </c>
      <c r="F689">
        <v>13399</v>
      </c>
      <c r="G689">
        <v>31.04</v>
      </c>
      <c r="H689">
        <v>459.3</v>
      </c>
      <c r="I689">
        <f t="shared" si="23"/>
        <v>13.063357282821684</v>
      </c>
      <c r="J689">
        <f t="shared" si="22"/>
        <v>13.060741153524658</v>
      </c>
      <c r="K689">
        <v>2.95</v>
      </c>
      <c r="L689">
        <f>50.8*(5280/3600)</f>
        <v>74.506666666666661</v>
      </c>
      <c r="M689" s="2"/>
      <c r="N689" s="2"/>
      <c r="O689" s="2"/>
      <c r="P689" s="2"/>
    </row>
    <row r="690" spans="1:16" x14ac:dyDescent="0.3">
      <c r="A690" t="s">
        <v>201</v>
      </c>
      <c r="B690">
        <v>3.77</v>
      </c>
      <c r="C690">
        <v>1050</v>
      </c>
      <c r="D690" t="s">
        <v>143</v>
      </c>
      <c r="E690">
        <v>14.8</v>
      </c>
      <c r="F690">
        <v>14435</v>
      </c>
      <c r="G690">
        <v>22.03</v>
      </c>
      <c r="H690">
        <v>326</v>
      </c>
      <c r="I690">
        <f t="shared" si="23"/>
        <v>18.404907975460123</v>
      </c>
      <c r="J690">
        <f t="shared" si="22"/>
        <v>18.402424212682948</v>
      </c>
      <c r="K690">
        <v>2.8</v>
      </c>
      <c r="L690">
        <f>68.3*(5280/3600)</f>
        <v>100.17333333333332</v>
      </c>
      <c r="M690" s="2"/>
      <c r="N690" s="2"/>
      <c r="O690" s="2"/>
      <c r="P690" s="2"/>
    </row>
    <row r="691" spans="1:16" x14ac:dyDescent="0.3">
      <c r="A691" t="s">
        <v>201</v>
      </c>
      <c r="B691">
        <v>3.77</v>
      </c>
      <c r="C691">
        <v>1050</v>
      </c>
      <c r="D691" t="s">
        <v>130</v>
      </c>
      <c r="E691">
        <v>14.8</v>
      </c>
      <c r="F691">
        <v>13573</v>
      </c>
      <c r="G691">
        <v>29.85</v>
      </c>
      <c r="H691">
        <v>441.7</v>
      </c>
      <c r="I691">
        <f t="shared" si="23"/>
        <v>13.583880461851937</v>
      </c>
      <c r="J691">
        <f t="shared" si="22"/>
        <v>13.581420616596494</v>
      </c>
      <c r="K691">
        <v>3.8006250000000001</v>
      </c>
      <c r="L691">
        <f>64.3*(5280/3600)</f>
        <v>94.306666666666658</v>
      </c>
      <c r="M691" s="2"/>
      <c r="N691" s="2"/>
      <c r="O691" s="2"/>
      <c r="P691" s="2"/>
    </row>
    <row r="692" spans="1:16" x14ac:dyDescent="0.3">
      <c r="A692" t="s">
        <v>201</v>
      </c>
      <c r="B692">
        <v>3.77</v>
      </c>
      <c r="C692">
        <v>1050</v>
      </c>
      <c r="D692" t="s">
        <v>145</v>
      </c>
      <c r="E692">
        <v>14.8</v>
      </c>
      <c r="F692">
        <v>13383</v>
      </c>
      <c r="G692">
        <v>31.41</v>
      </c>
      <c r="H692">
        <v>464.9</v>
      </c>
      <c r="I692">
        <f t="shared" si="23"/>
        <v>12.906001290600129</v>
      </c>
      <c r="J692">
        <f t="shared" si="22"/>
        <v>12.906889697720642</v>
      </c>
      <c r="K692">
        <v>3.6506249999999998</v>
      </c>
      <c r="L692">
        <f>76*(5280/3600)</f>
        <v>111.46666666666665</v>
      </c>
      <c r="M692" s="2"/>
      <c r="N692" s="2"/>
      <c r="O692" s="2"/>
      <c r="P692" s="2"/>
    </row>
    <row r="693" spans="1:16" x14ac:dyDescent="0.3">
      <c r="A693" t="s">
        <v>201</v>
      </c>
      <c r="B693">
        <v>3.77</v>
      </c>
      <c r="C693">
        <v>1050</v>
      </c>
      <c r="D693" t="s">
        <v>146</v>
      </c>
      <c r="E693">
        <v>18.5</v>
      </c>
      <c r="F693">
        <v>17904</v>
      </c>
      <c r="G693">
        <v>23.86</v>
      </c>
      <c r="H693">
        <v>441.5</v>
      </c>
      <c r="I693">
        <f t="shared" si="23"/>
        <v>13.590033975084937</v>
      </c>
      <c r="J693">
        <f t="shared" si="22"/>
        <v>13.592804875286015</v>
      </c>
      <c r="K693">
        <v>3.2275</v>
      </c>
      <c r="L693">
        <f>67.8*(5280/3600)</f>
        <v>99.439999999999984</v>
      </c>
      <c r="M693" s="2"/>
      <c r="N693" s="2"/>
      <c r="O693" s="2"/>
      <c r="P693" s="2"/>
    </row>
    <row r="694" spans="1:16" x14ac:dyDescent="0.3">
      <c r="A694" t="s">
        <v>201</v>
      </c>
      <c r="B694">
        <v>3.77</v>
      </c>
      <c r="C694">
        <v>1050</v>
      </c>
      <c r="D694" t="s">
        <v>148</v>
      </c>
      <c r="E694">
        <v>18.5</v>
      </c>
      <c r="F694">
        <v>17308</v>
      </c>
      <c r="G694">
        <v>29.15</v>
      </c>
      <c r="H694">
        <v>539.20000000000005</v>
      </c>
      <c r="I694">
        <f t="shared" si="23"/>
        <v>11.127596439169139</v>
      </c>
      <c r="J694">
        <f t="shared" si="22"/>
        <v>11.126048861897917</v>
      </c>
      <c r="K694">
        <v>3.0775000000000001</v>
      </c>
      <c r="L694">
        <f>82*(5280/3600)</f>
        <v>120.26666666666665</v>
      </c>
      <c r="M694" s="2"/>
      <c r="N694" s="2"/>
      <c r="O694" s="2"/>
      <c r="P694" s="2"/>
    </row>
    <row r="695" spans="1:16" x14ac:dyDescent="0.3">
      <c r="A695" t="s">
        <v>201</v>
      </c>
      <c r="B695">
        <v>3.77</v>
      </c>
      <c r="C695">
        <v>1050</v>
      </c>
      <c r="D695" t="s">
        <v>149</v>
      </c>
      <c r="E695">
        <v>18.5</v>
      </c>
      <c r="F695">
        <v>17214</v>
      </c>
      <c r="G695">
        <v>29.96</v>
      </c>
      <c r="H695">
        <v>554.20000000000005</v>
      </c>
      <c r="I695">
        <f t="shared" si="23"/>
        <v>10.826416456153012</v>
      </c>
      <c r="J695">
        <f t="shared" si="22"/>
        <v>10.825244470104282</v>
      </c>
      <c r="K695">
        <v>3.2718750000000001</v>
      </c>
      <c r="L695">
        <f>97.8*(5280/3600)</f>
        <v>143.44</v>
      </c>
      <c r="M695" s="2"/>
      <c r="N695" s="2"/>
      <c r="O695" s="2"/>
      <c r="P695" s="2"/>
    </row>
    <row r="696" spans="1:16" x14ac:dyDescent="0.3">
      <c r="A696" t="s">
        <v>201</v>
      </c>
      <c r="B696">
        <v>3.77</v>
      </c>
      <c r="C696">
        <v>1050</v>
      </c>
      <c r="D696" t="s">
        <v>141</v>
      </c>
      <c r="E696">
        <v>18.5</v>
      </c>
      <c r="F696">
        <v>17069</v>
      </c>
      <c r="G696">
        <v>31.09</v>
      </c>
      <c r="H696">
        <v>575.20000000000005</v>
      </c>
      <c r="I696">
        <f t="shared" si="23"/>
        <v>10.431154381084839</v>
      </c>
      <c r="J696">
        <f t="shared" si="22"/>
        <v>10.431789138768874</v>
      </c>
      <c r="K696">
        <v>2.6081249999999998</v>
      </c>
      <c r="L696">
        <f>97*(5280/3600)</f>
        <v>142.26666666666665</v>
      </c>
      <c r="M696" s="2"/>
      <c r="N696" s="2"/>
      <c r="O696" s="2"/>
      <c r="P696" s="2"/>
    </row>
    <row r="697" spans="1:16" x14ac:dyDescent="0.3">
      <c r="A697" t="s">
        <v>201</v>
      </c>
      <c r="B697">
        <v>3.77</v>
      </c>
      <c r="C697">
        <v>1050</v>
      </c>
      <c r="D697" t="s">
        <v>143</v>
      </c>
      <c r="E697">
        <v>18.5</v>
      </c>
      <c r="F697">
        <v>17215</v>
      </c>
      <c r="G697">
        <v>29.9</v>
      </c>
      <c r="H697">
        <v>553.20000000000005</v>
      </c>
      <c r="I697">
        <f t="shared" si="23"/>
        <v>10.845986984815617</v>
      </c>
      <c r="J697">
        <f t="shared" si="22"/>
        <v>10.846967368706499</v>
      </c>
      <c r="K697">
        <v>3.9662500000000001</v>
      </c>
      <c r="L697">
        <f>81.5*(5280/3600)</f>
        <v>119.53333333333333</v>
      </c>
      <c r="M697" s="2"/>
      <c r="N697" s="2"/>
      <c r="O697" s="2"/>
      <c r="P697" s="2"/>
    </row>
    <row r="698" spans="1:16" x14ac:dyDescent="0.3">
      <c r="A698" t="s">
        <v>201</v>
      </c>
      <c r="B698">
        <v>3.77</v>
      </c>
      <c r="C698">
        <v>1050</v>
      </c>
      <c r="D698" t="s">
        <v>144</v>
      </c>
      <c r="E698">
        <v>18.5</v>
      </c>
      <c r="F698">
        <v>18001</v>
      </c>
      <c r="G698">
        <v>23.06</v>
      </c>
      <c r="H698">
        <v>426.6</v>
      </c>
      <c r="I698">
        <f t="shared" si="23"/>
        <v>14.064697609001405</v>
      </c>
      <c r="J698">
        <f t="shared" si="22"/>
        <v>14.064367923864889</v>
      </c>
      <c r="K698">
        <v>3.0137499999999999</v>
      </c>
      <c r="L698">
        <f>68.2*(5280/3600)</f>
        <v>100.02666666666667</v>
      </c>
      <c r="M698" s="2"/>
      <c r="N698" s="2"/>
      <c r="O698" s="2"/>
      <c r="P698" s="2"/>
    </row>
    <row r="699" spans="1:16" x14ac:dyDescent="0.3">
      <c r="A699" t="s">
        <v>201</v>
      </c>
      <c r="B699">
        <v>3.77</v>
      </c>
      <c r="C699">
        <v>1050</v>
      </c>
      <c r="D699" t="s">
        <v>202</v>
      </c>
      <c r="E699">
        <v>22.2</v>
      </c>
      <c r="F699">
        <v>21532</v>
      </c>
      <c r="G699">
        <v>23.65</v>
      </c>
      <c r="H699">
        <v>525</v>
      </c>
      <c r="I699">
        <f t="shared" si="23"/>
        <v>11.428571428571427</v>
      </c>
      <c r="J699">
        <f t="shared" si="22"/>
        <v>11.427918404662591</v>
      </c>
      <c r="K699">
        <v>3.2075</v>
      </c>
      <c r="L699">
        <f>87.7*(5280/3600)</f>
        <v>128.62666666666667</v>
      </c>
      <c r="M699" s="2"/>
      <c r="N699" s="2"/>
      <c r="O699" s="2"/>
      <c r="P699" s="2"/>
    </row>
    <row r="700" spans="1:16" x14ac:dyDescent="0.3">
      <c r="A700" t="s">
        <v>201</v>
      </c>
      <c r="B700">
        <v>3.77</v>
      </c>
      <c r="C700">
        <v>1050</v>
      </c>
      <c r="D700" t="s">
        <v>151</v>
      </c>
      <c r="E700">
        <v>22.2</v>
      </c>
      <c r="F700">
        <v>21695</v>
      </c>
      <c r="G700">
        <v>22.3</v>
      </c>
      <c r="H700">
        <v>495</v>
      </c>
      <c r="I700">
        <f t="shared" si="23"/>
        <v>12.121212121212121</v>
      </c>
      <c r="J700">
        <f t="shared" si="22"/>
        <v>12.119743061447096</v>
      </c>
      <c r="K700">
        <v>3.1837499999999999</v>
      </c>
      <c r="L700">
        <f>92.5*(5280/3600)</f>
        <v>135.66666666666666</v>
      </c>
      <c r="M700" s="2"/>
      <c r="N700" s="2"/>
      <c r="O700" s="2"/>
      <c r="P700" s="2"/>
    </row>
    <row r="701" spans="1:16" x14ac:dyDescent="0.3">
      <c r="A701" t="s">
        <v>201</v>
      </c>
      <c r="B701">
        <v>3.77</v>
      </c>
      <c r="C701">
        <v>1050</v>
      </c>
      <c r="D701" t="s">
        <v>161</v>
      </c>
      <c r="E701">
        <v>22.2</v>
      </c>
      <c r="F701">
        <v>21795</v>
      </c>
      <c r="G701">
        <v>21.39</v>
      </c>
      <c r="H701">
        <v>474.9</v>
      </c>
      <c r="I701">
        <f t="shared" si="23"/>
        <v>12.634238787113077</v>
      </c>
      <c r="J701">
        <f t="shared" si="22"/>
        <v>12.635356253869578</v>
      </c>
      <c r="K701">
        <v>2.4049999999999998</v>
      </c>
      <c r="L701">
        <f>113.5*(5280/3600)</f>
        <v>166.46666666666667</v>
      </c>
      <c r="M701" s="2"/>
      <c r="N701" s="2"/>
      <c r="O701" s="2"/>
      <c r="P701" s="2"/>
    </row>
    <row r="702" spans="1:16" x14ac:dyDescent="0.3">
      <c r="A702" t="s">
        <v>201</v>
      </c>
      <c r="B702">
        <v>3.77</v>
      </c>
      <c r="C702">
        <v>1050</v>
      </c>
      <c r="D702" t="s">
        <v>152</v>
      </c>
      <c r="E702">
        <v>22.2</v>
      </c>
      <c r="F702">
        <v>21404</v>
      </c>
      <c r="G702">
        <v>24.42</v>
      </c>
      <c r="H702">
        <v>542.1</v>
      </c>
      <c r="I702">
        <f t="shared" si="23"/>
        <v>11.068068622025455</v>
      </c>
      <c r="J702">
        <f t="shared" si="22"/>
        <v>11.067578635146203</v>
      </c>
      <c r="K702">
        <v>2.4449999999999998</v>
      </c>
      <c r="L702">
        <f>121.6*(5280/3600)</f>
        <v>178.34666666666664</v>
      </c>
      <c r="M702" s="2"/>
      <c r="N702" s="2"/>
      <c r="O702" s="2"/>
      <c r="P702" s="2"/>
    </row>
    <row r="703" spans="1:16" x14ac:dyDescent="0.3">
      <c r="A703" t="s">
        <v>201</v>
      </c>
      <c r="B703">
        <v>3.77</v>
      </c>
      <c r="C703">
        <v>1050</v>
      </c>
      <c r="D703" t="s">
        <v>162</v>
      </c>
      <c r="E703">
        <v>22.2</v>
      </c>
      <c r="F703">
        <v>21621</v>
      </c>
      <c r="G703">
        <v>23.03</v>
      </c>
      <c r="H703">
        <v>511.3</v>
      </c>
      <c r="I703">
        <f t="shared" si="23"/>
        <v>11.734793663211422</v>
      </c>
      <c r="J703">
        <f t="shared" si="22"/>
        <v>11.735574045604441</v>
      </c>
      <c r="K703">
        <v>2.6037499999999998</v>
      </c>
      <c r="L703">
        <f>102.4*(5280/3600)</f>
        <v>150.18666666666667</v>
      </c>
      <c r="M703" s="2"/>
      <c r="N703" s="2"/>
      <c r="O703" s="2"/>
      <c r="P703" s="2"/>
    </row>
    <row r="704" spans="1:16" x14ac:dyDescent="0.3">
      <c r="A704" t="s">
        <v>201</v>
      </c>
      <c r="B704">
        <v>3.77</v>
      </c>
      <c r="C704">
        <v>1050</v>
      </c>
      <c r="D704" t="s">
        <v>163</v>
      </c>
      <c r="E704">
        <v>22.2</v>
      </c>
      <c r="F704">
        <v>21451</v>
      </c>
      <c r="G704">
        <v>24.36</v>
      </c>
      <c r="H704">
        <v>540.70000000000005</v>
      </c>
      <c r="I704">
        <f t="shared" si="23"/>
        <v>11.096726465692619</v>
      </c>
      <c r="J704">
        <f t="shared" si="22"/>
        <v>11.094838681045578</v>
      </c>
      <c r="K704">
        <v>2.67</v>
      </c>
      <c r="L704">
        <f>111.7*(5280/3600)</f>
        <v>163.82666666666665</v>
      </c>
      <c r="M704" s="2"/>
      <c r="N704" s="2"/>
      <c r="O704" s="2"/>
      <c r="P704" s="2"/>
    </row>
    <row r="705" spans="1:16" x14ac:dyDescent="0.3">
      <c r="A705" t="s">
        <v>201</v>
      </c>
      <c r="B705">
        <v>3.77</v>
      </c>
      <c r="C705">
        <v>1050</v>
      </c>
      <c r="D705" t="s">
        <v>164</v>
      </c>
      <c r="E705">
        <v>22.2</v>
      </c>
      <c r="F705">
        <v>21171</v>
      </c>
      <c r="G705">
        <v>26.94</v>
      </c>
      <c r="H705">
        <v>598.1</v>
      </c>
      <c r="I705">
        <f t="shared" si="23"/>
        <v>10.031767262999498</v>
      </c>
      <c r="J705">
        <f t="shared" si="22"/>
        <v>10.032304018940989</v>
      </c>
      <c r="K705">
        <v>2.67875</v>
      </c>
      <c r="L705">
        <f>120.3*(5280/3600)</f>
        <v>176.43999999999997</v>
      </c>
      <c r="M705" s="2"/>
      <c r="N705" s="2"/>
      <c r="O705" s="2"/>
      <c r="P705" s="2"/>
    </row>
    <row r="706" spans="1:16" x14ac:dyDescent="0.3">
      <c r="A706" t="s">
        <v>201</v>
      </c>
      <c r="B706">
        <v>3.77</v>
      </c>
      <c r="C706">
        <v>1050</v>
      </c>
      <c r="D706" t="s">
        <v>165</v>
      </c>
      <c r="E706">
        <v>22.2</v>
      </c>
      <c r="F706">
        <v>21011</v>
      </c>
      <c r="G706">
        <v>28.29</v>
      </c>
      <c r="H706">
        <v>628</v>
      </c>
      <c r="I706">
        <f t="shared" si="23"/>
        <v>9.5541401273885338</v>
      </c>
      <c r="J706">
        <f t="shared" si="22"/>
        <v>9.5535620456087056</v>
      </c>
      <c r="K706">
        <v>2.6168749999999998</v>
      </c>
      <c r="L706">
        <f>129.3*(5280/3600)</f>
        <v>189.64000000000001</v>
      </c>
      <c r="M706" s="2"/>
      <c r="N706" s="2"/>
      <c r="O706" s="2"/>
      <c r="P706" s="2"/>
    </row>
    <row r="707" spans="1:16" x14ac:dyDescent="0.3">
      <c r="A707" t="s">
        <v>201</v>
      </c>
      <c r="B707">
        <v>3.77</v>
      </c>
      <c r="C707">
        <v>1050</v>
      </c>
      <c r="D707" t="s">
        <v>144</v>
      </c>
      <c r="E707">
        <v>22.2</v>
      </c>
      <c r="F707">
        <v>20804</v>
      </c>
      <c r="G707">
        <v>29.98</v>
      </c>
      <c r="H707">
        <v>665.5</v>
      </c>
      <c r="I707">
        <f t="shared" si="23"/>
        <v>9.0157776108189331</v>
      </c>
      <c r="J707">
        <f t="shared" ref="J707:J770" si="24">( ($N$1/E707)/G707)*60</f>
        <v>9.0150190216901365</v>
      </c>
      <c r="K707">
        <v>4.0125000000000002</v>
      </c>
      <c r="L707">
        <f>78.8*(5280/3600)</f>
        <v>115.57333333333332</v>
      </c>
      <c r="M707" s="2"/>
      <c r="N707" s="2"/>
      <c r="O707" s="2"/>
      <c r="P707" s="2"/>
    </row>
    <row r="708" spans="1:16" x14ac:dyDescent="0.3">
      <c r="A708" t="s">
        <v>203</v>
      </c>
      <c r="B708">
        <v>3.81</v>
      </c>
      <c r="C708">
        <v>1400</v>
      </c>
      <c r="D708" t="s">
        <v>125</v>
      </c>
      <c r="E708">
        <v>11.1</v>
      </c>
      <c r="F708">
        <v>13444</v>
      </c>
      <c r="G708">
        <v>28.3</v>
      </c>
      <c r="H708">
        <v>314.10000000000002</v>
      </c>
      <c r="I708">
        <f t="shared" ref="I708:I771" si="25" xml:space="preserve"> ($N$1/H708)*60</f>
        <v>19.102196752626551</v>
      </c>
      <c r="J708">
        <f t="shared" si="24"/>
        <v>19.100372457262917</v>
      </c>
      <c r="K708">
        <v>2.0568749999999998</v>
      </c>
      <c r="L708">
        <f>89.1*(5280/3600)</f>
        <v>130.67999999999998</v>
      </c>
      <c r="M708" s="2"/>
      <c r="N708" s="2"/>
      <c r="O708" s="2"/>
      <c r="P708" s="2"/>
    </row>
    <row r="709" spans="1:16" x14ac:dyDescent="0.3">
      <c r="A709" t="s">
        <v>203</v>
      </c>
      <c r="B709">
        <v>3.81</v>
      </c>
      <c r="C709">
        <v>1400</v>
      </c>
      <c r="D709" t="s">
        <v>126</v>
      </c>
      <c r="E709">
        <v>11.1</v>
      </c>
      <c r="F709">
        <v>13523</v>
      </c>
      <c r="G709">
        <v>25.75</v>
      </c>
      <c r="H709">
        <v>285.89999999999998</v>
      </c>
      <c r="I709">
        <f t="shared" si="25"/>
        <v>20.986358866736623</v>
      </c>
      <c r="J709">
        <f t="shared" si="24"/>
        <v>20.991865652059825</v>
      </c>
      <c r="K709">
        <v>2.65</v>
      </c>
      <c r="L709">
        <f>51.2*(5280/3600)</f>
        <v>75.093333333333334</v>
      </c>
      <c r="M709" s="2"/>
      <c r="N709" s="2"/>
      <c r="O709" s="2"/>
      <c r="P709" s="2"/>
    </row>
    <row r="710" spans="1:16" x14ac:dyDescent="0.3">
      <c r="A710" t="s">
        <v>203</v>
      </c>
      <c r="B710">
        <v>3.81</v>
      </c>
      <c r="C710">
        <v>1400</v>
      </c>
      <c r="D710" t="s">
        <v>127</v>
      </c>
      <c r="E710">
        <v>11.1</v>
      </c>
      <c r="F710">
        <v>12643</v>
      </c>
      <c r="G710">
        <v>35.47</v>
      </c>
      <c r="H710">
        <v>393.7</v>
      </c>
      <c r="I710">
        <f t="shared" si="25"/>
        <v>15.240030480060963</v>
      </c>
      <c r="J710">
        <f t="shared" si="24"/>
        <v>15.239372442642814</v>
      </c>
      <c r="K710">
        <v>2.9631249999999998</v>
      </c>
      <c r="L710">
        <f>71.8*(5280/3600)</f>
        <v>105.30666666666666</v>
      </c>
      <c r="M710" s="33"/>
      <c r="N710" s="33"/>
      <c r="O710" s="33"/>
      <c r="P710" s="33"/>
    </row>
    <row r="711" spans="1:16" x14ac:dyDescent="0.3">
      <c r="A711" t="s">
        <v>203</v>
      </c>
      <c r="B711">
        <v>3.81</v>
      </c>
      <c r="C711">
        <v>1400</v>
      </c>
      <c r="D711" t="s">
        <v>129</v>
      </c>
      <c r="E711">
        <v>11.1</v>
      </c>
      <c r="F711">
        <v>12610</v>
      </c>
      <c r="G711">
        <v>35.79</v>
      </c>
      <c r="H711">
        <v>397.3</v>
      </c>
      <c r="I711">
        <f t="shared" si="25"/>
        <v>15.101938082053861</v>
      </c>
      <c r="J711">
        <f t="shared" si="24"/>
        <v>15.103116528095574</v>
      </c>
      <c r="K711">
        <v>3.6775000000000002</v>
      </c>
      <c r="L711">
        <f>53.7*(5280/3600)</f>
        <v>78.760000000000005</v>
      </c>
      <c r="M711" s="33"/>
      <c r="N711" s="33"/>
      <c r="O711" s="33"/>
      <c r="P711" s="33"/>
    </row>
    <row r="712" spans="1:16" x14ac:dyDescent="0.3">
      <c r="A712" t="s">
        <v>203</v>
      </c>
      <c r="B712">
        <v>3.81</v>
      </c>
      <c r="C712">
        <v>1400</v>
      </c>
      <c r="D712" t="s">
        <v>130</v>
      </c>
      <c r="E712">
        <v>11.1</v>
      </c>
      <c r="F712">
        <v>12897</v>
      </c>
      <c r="G712">
        <v>28.09</v>
      </c>
      <c r="H712">
        <v>311.8</v>
      </c>
      <c r="I712">
        <f t="shared" si="25"/>
        <v>19.243104554201409</v>
      </c>
      <c r="J712">
        <f t="shared" si="24"/>
        <v>19.243166270578161</v>
      </c>
      <c r="K712">
        <v>2.9275000000000002</v>
      </c>
      <c r="L712">
        <f>61.1*(5280/3600)</f>
        <v>89.61333333333333</v>
      </c>
      <c r="M712" s="33"/>
      <c r="N712" s="33"/>
      <c r="O712" s="33"/>
      <c r="P712" s="33"/>
    </row>
    <row r="713" spans="1:16" x14ac:dyDescent="0.3">
      <c r="A713" t="s">
        <v>203</v>
      </c>
      <c r="B713">
        <v>3.81</v>
      </c>
      <c r="C713">
        <v>1400</v>
      </c>
      <c r="D713" t="s">
        <v>131</v>
      </c>
      <c r="E713">
        <v>11.1</v>
      </c>
      <c r="F713">
        <v>11882</v>
      </c>
      <c r="G713">
        <v>39.71</v>
      </c>
      <c r="H713">
        <v>440.8</v>
      </c>
      <c r="I713">
        <f t="shared" si="25"/>
        <v>13.611615245009073</v>
      </c>
      <c r="J713">
        <f t="shared" si="24"/>
        <v>13.612201977852948</v>
      </c>
      <c r="K713">
        <v>3.8824999999999998</v>
      </c>
      <c r="L713">
        <f>67.5*(5280/3600)</f>
        <v>99</v>
      </c>
      <c r="M713" s="33"/>
      <c r="N713" s="33"/>
      <c r="O713" s="33"/>
      <c r="P713" s="33"/>
    </row>
    <row r="714" spans="1:16" x14ac:dyDescent="0.3">
      <c r="A714" t="s">
        <v>203</v>
      </c>
      <c r="B714">
        <v>3.81</v>
      </c>
      <c r="C714">
        <v>1400</v>
      </c>
      <c r="D714" t="s">
        <v>142</v>
      </c>
      <c r="E714">
        <v>11.1</v>
      </c>
      <c r="F714">
        <v>12475</v>
      </c>
      <c r="G714">
        <v>32.17</v>
      </c>
      <c r="H714">
        <v>357</v>
      </c>
      <c r="I714">
        <f t="shared" si="25"/>
        <v>16.806722689075631</v>
      </c>
      <c r="J714">
        <f t="shared" si="24"/>
        <v>16.802627931008409</v>
      </c>
      <c r="K714">
        <v>2.5531250000000001</v>
      </c>
      <c r="L714">
        <f>47.3*(5280/3600)</f>
        <v>69.373333333333321</v>
      </c>
      <c r="M714" s="33"/>
      <c r="N714" s="33"/>
      <c r="O714" s="33"/>
      <c r="P714" s="33"/>
    </row>
    <row r="715" spans="1:16" x14ac:dyDescent="0.3">
      <c r="A715" t="s">
        <v>203</v>
      </c>
      <c r="B715">
        <v>3.81</v>
      </c>
      <c r="C715">
        <v>1400</v>
      </c>
      <c r="D715" t="s">
        <v>130</v>
      </c>
      <c r="E715">
        <v>11.1</v>
      </c>
      <c r="F715">
        <v>12620</v>
      </c>
      <c r="G715">
        <v>31.02</v>
      </c>
      <c r="H715">
        <v>344.3</v>
      </c>
      <c r="I715">
        <f t="shared" si="25"/>
        <v>17.426662794074932</v>
      </c>
      <c r="J715">
        <f t="shared" si="24"/>
        <v>17.425549340442956</v>
      </c>
      <c r="K715">
        <v>3.2868750000000002</v>
      </c>
      <c r="L715">
        <f>59.8*(5280/3600)</f>
        <v>87.706666666666649</v>
      </c>
      <c r="M715" s="33"/>
      <c r="N715" s="33"/>
      <c r="O715" s="33"/>
      <c r="P715" s="33"/>
    </row>
    <row r="716" spans="1:16" x14ac:dyDescent="0.3">
      <c r="A716" t="s">
        <v>203</v>
      </c>
      <c r="B716">
        <v>3.81</v>
      </c>
      <c r="C716">
        <v>1400</v>
      </c>
      <c r="D716" t="s">
        <v>145</v>
      </c>
      <c r="E716">
        <v>11.1</v>
      </c>
      <c r="F716">
        <v>12462</v>
      </c>
      <c r="G716">
        <v>32.85</v>
      </c>
      <c r="H716">
        <v>364.7</v>
      </c>
      <c r="I716">
        <f t="shared" si="25"/>
        <v>16.451878256100905</v>
      </c>
      <c r="J716">
        <f t="shared" si="24"/>
        <v>16.454810975358921</v>
      </c>
      <c r="K716">
        <v>3.1612499999999999</v>
      </c>
      <c r="L716">
        <f>70.8*(5280/3600)</f>
        <v>103.83999999999999</v>
      </c>
      <c r="M716" s="33"/>
      <c r="N716" s="33"/>
      <c r="O716" s="33"/>
      <c r="P716" s="33"/>
    </row>
    <row r="717" spans="1:16" x14ac:dyDescent="0.3">
      <c r="A717" t="s">
        <v>203</v>
      </c>
      <c r="B717">
        <v>3.81</v>
      </c>
      <c r="C717">
        <v>1400</v>
      </c>
      <c r="D717" t="s">
        <v>146</v>
      </c>
      <c r="E717">
        <v>14.8</v>
      </c>
      <c r="F717">
        <v>17690</v>
      </c>
      <c r="G717">
        <v>27.83</v>
      </c>
      <c r="H717">
        <v>411.9</v>
      </c>
      <c r="I717">
        <f t="shared" si="25"/>
        <v>14.566642388929353</v>
      </c>
      <c r="J717">
        <f t="shared" si="24"/>
        <v>14.56720824309757</v>
      </c>
      <c r="K717">
        <v>3.1218750000000002</v>
      </c>
      <c r="L717">
        <f>67*(5280/3600)</f>
        <v>98.266666666666666</v>
      </c>
      <c r="M717" s="33"/>
      <c r="N717" s="33"/>
      <c r="O717" s="33"/>
      <c r="P717" s="33"/>
    </row>
    <row r="718" spans="1:16" x14ac:dyDescent="0.3">
      <c r="A718" t="s">
        <v>203</v>
      </c>
      <c r="B718">
        <v>3.81</v>
      </c>
      <c r="C718">
        <v>1400</v>
      </c>
      <c r="D718" t="s">
        <v>148</v>
      </c>
      <c r="E718">
        <v>14.8</v>
      </c>
      <c r="F718">
        <v>17285</v>
      </c>
      <c r="G718">
        <v>34.39</v>
      </c>
      <c r="H718">
        <v>508.9</v>
      </c>
      <c r="I718">
        <f t="shared" si="25"/>
        <v>11.790135586559245</v>
      </c>
      <c r="J718">
        <f t="shared" si="24"/>
        <v>11.788467734963808</v>
      </c>
      <c r="K718">
        <v>2.9893749999999999</v>
      </c>
      <c r="L718">
        <f>81.8*(5280/3600)</f>
        <v>119.97333333333331</v>
      </c>
      <c r="M718" s="33"/>
      <c r="N718" s="33"/>
      <c r="O718" s="33"/>
      <c r="P718" s="33"/>
    </row>
    <row r="719" spans="1:16" x14ac:dyDescent="0.3">
      <c r="A719" t="s">
        <v>203</v>
      </c>
      <c r="B719">
        <v>3.81</v>
      </c>
      <c r="C719">
        <v>1400</v>
      </c>
      <c r="D719" t="s">
        <v>149</v>
      </c>
      <c r="E719">
        <v>14.8</v>
      </c>
      <c r="F719">
        <v>17177</v>
      </c>
      <c r="G719">
        <v>37.18</v>
      </c>
      <c r="H719">
        <v>550.20000000000005</v>
      </c>
      <c r="I719">
        <f t="shared" si="25"/>
        <v>10.905125408942203</v>
      </c>
      <c r="J719">
        <f t="shared" si="24"/>
        <v>10.903857057703211</v>
      </c>
      <c r="K719">
        <v>3.2625000000000002</v>
      </c>
      <c r="L719">
        <f>97.6*(5280/3600)</f>
        <v>143.14666666666665</v>
      </c>
      <c r="M719" s="33"/>
      <c r="N719" s="33"/>
      <c r="O719" s="33"/>
      <c r="P719" s="33"/>
    </row>
    <row r="720" spans="1:16" x14ac:dyDescent="0.3">
      <c r="A720" t="s">
        <v>203</v>
      </c>
      <c r="B720">
        <v>3.81</v>
      </c>
      <c r="C720">
        <v>1400</v>
      </c>
      <c r="D720" t="s">
        <v>141</v>
      </c>
      <c r="E720">
        <v>14.8</v>
      </c>
      <c r="F720">
        <v>17666</v>
      </c>
      <c r="G720">
        <v>27.44</v>
      </c>
      <c r="H720">
        <v>406.1</v>
      </c>
      <c r="I720">
        <f t="shared" si="25"/>
        <v>14.774686037921693</v>
      </c>
      <c r="J720">
        <f t="shared" si="24"/>
        <v>14.774249468127017</v>
      </c>
      <c r="K720">
        <v>2.145</v>
      </c>
      <c r="L720">
        <f>100.4*(5280/3600)</f>
        <v>147.25333333333333</v>
      </c>
      <c r="M720" s="33"/>
      <c r="N720" s="33"/>
      <c r="O720" s="33"/>
      <c r="P720" s="33"/>
    </row>
    <row r="721" spans="1:16" x14ac:dyDescent="0.3">
      <c r="A721" t="s">
        <v>203</v>
      </c>
      <c r="B721">
        <v>3.81</v>
      </c>
      <c r="C721">
        <v>1400</v>
      </c>
      <c r="D721" t="s">
        <v>141</v>
      </c>
      <c r="E721">
        <v>14.8</v>
      </c>
      <c r="F721">
        <v>16811</v>
      </c>
      <c r="G721">
        <v>36.26</v>
      </c>
      <c r="H721">
        <v>536.70000000000005</v>
      </c>
      <c r="I721">
        <f t="shared" si="25"/>
        <v>11.179429849077696</v>
      </c>
      <c r="J721">
        <f t="shared" si="24"/>
        <v>11.180513111015042</v>
      </c>
      <c r="K721">
        <v>2.51125</v>
      </c>
      <c r="L721">
        <f>95.5*(5280/3600)</f>
        <v>140.06666666666666</v>
      </c>
      <c r="M721" s="33"/>
      <c r="N721" s="33"/>
      <c r="O721" s="33"/>
      <c r="P721" s="33"/>
    </row>
    <row r="722" spans="1:16" x14ac:dyDescent="0.3">
      <c r="A722" t="s">
        <v>203</v>
      </c>
      <c r="B722">
        <v>3.81</v>
      </c>
      <c r="C722">
        <v>1400</v>
      </c>
      <c r="D722" t="s">
        <v>143</v>
      </c>
      <c r="E722">
        <v>14.8</v>
      </c>
      <c r="F722">
        <v>16955</v>
      </c>
      <c r="G722">
        <v>34.74</v>
      </c>
      <c r="H722">
        <v>514.1</v>
      </c>
      <c r="I722">
        <f t="shared" si="25"/>
        <v>11.670881151526938</v>
      </c>
      <c r="J722">
        <f t="shared" si="24"/>
        <v>11.669700788871772</v>
      </c>
      <c r="K722">
        <v>3.8093750000000002</v>
      </c>
      <c r="L722">
        <f>80.3*(5280/3600)</f>
        <v>117.77333333333333</v>
      </c>
      <c r="M722" s="33"/>
      <c r="N722" s="33"/>
      <c r="O722" s="33"/>
      <c r="P722" s="33"/>
    </row>
    <row r="723" spans="1:16" x14ac:dyDescent="0.3">
      <c r="A723" t="s">
        <v>203</v>
      </c>
      <c r="B723">
        <v>3.81</v>
      </c>
      <c r="C723">
        <v>1400</v>
      </c>
      <c r="D723" t="s">
        <v>144</v>
      </c>
      <c r="E723">
        <v>14.8</v>
      </c>
      <c r="F723">
        <v>17728</v>
      </c>
      <c r="G723">
        <v>26.82</v>
      </c>
      <c r="H723">
        <v>397</v>
      </c>
      <c r="I723">
        <f t="shared" si="25"/>
        <v>15.113350125944585</v>
      </c>
      <c r="J723">
        <f t="shared" si="24"/>
        <v>15.115786927867463</v>
      </c>
      <c r="K723">
        <v>2.9456250000000002</v>
      </c>
      <c r="L723">
        <f>67.2*(5280/3600)</f>
        <v>98.56</v>
      </c>
      <c r="M723" s="33"/>
      <c r="N723" s="33"/>
      <c r="O723" s="33"/>
      <c r="P723" s="33"/>
    </row>
    <row r="724" spans="1:16" x14ac:dyDescent="0.3">
      <c r="A724" t="s">
        <v>203</v>
      </c>
      <c r="B724">
        <v>3.81</v>
      </c>
      <c r="C724">
        <v>1400</v>
      </c>
      <c r="D724" t="s">
        <v>160</v>
      </c>
      <c r="E724">
        <v>18.5</v>
      </c>
      <c r="F724">
        <v>22190</v>
      </c>
      <c r="G724">
        <v>30.99</v>
      </c>
      <c r="H724">
        <v>573.29999999999995</v>
      </c>
      <c r="I724">
        <f t="shared" si="25"/>
        <v>10.465724751439037</v>
      </c>
      <c r="J724">
        <f t="shared" si="24"/>
        <v>10.465450930116951</v>
      </c>
      <c r="K724">
        <v>3.42625</v>
      </c>
      <c r="L724">
        <f>90.4*(5280/3600)</f>
        <v>132.58666666666667</v>
      </c>
      <c r="M724" s="33"/>
      <c r="N724" s="33"/>
      <c r="O724" s="33"/>
      <c r="P724" s="33"/>
    </row>
    <row r="725" spans="1:16" x14ac:dyDescent="0.3">
      <c r="A725" t="s">
        <v>203</v>
      </c>
      <c r="B725">
        <v>3.81</v>
      </c>
      <c r="C725">
        <v>1400</v>
      </c>
      <c r="D725" t="s">
        <v>151</v>
      </c>
      <c r="E725">
        <v>18.5</v>
      </c>
      <c r="F725">
        <v>22425</v>
      </c>
      <c r="G725">
        <v>28.75</v>
      </c>
      <c r="H725">
        <v>531.79999999999995</v>
      </c>
      <c r="I725">
        <f t="shared" si="25"/>
        <v>11.282437006393382</v>
      </c>
      <c r="J725">
        <f t="shared" si="24"/>
        <v>11.28084606345476</v>
      </c>
      <c r="K725">
        <v>3.3887499999999999</v>
      </c>
      <c r="L725">
        <f>95.6*(5280/3600)</f>
        <v>140.21333333333331</v>
      </c>
      <c r="M725" s="33"/>
      <c r="N725" s="33"/>
      <c r="O725" s="33"/>
      <c r="P725" s="33"/>
    </row>
    <row r="726" spans="1:16" x14ac:dyDescent="0.3">
      <c r="A726" t="s">
        <v>203</v>
      </c>
      <c r="B726">
        <v>3.81</v>
      </c>
      <c r="C726">
        <v>1400</v>
      </c>
      <c r="D726" t="s">
        <v>161</v>
      </c>
      <c r="E726">
        <v>18.5</v>
      </c>
      <c r="F726">
        <v>22512</v>
      </c>
      <c r="G726">
        <v>27.73</v>
      </c>
      <c r="H726">
        <v>513</v>
      </c>
      <c r="I726">
        <f t="shared" si="25"/>
        <v>11.695906432748536</v>
      </c>
      <c r="J726">
        <f t="shared" si="24"/>
        <v>11.695792438670187</v>
      </c>
      <c r="K726">
        <v>2.5818750000000001</v>
      </c>
      <c r="L726">
        <f>117.3*(5280/3600)</f>
        <v>172.04</v>
      </c>
      <c r="M726" s="33"/>
      <c r="N726" s="33"/>
      <c r="O726" s="33"/>
      <c r="P726" s="33"/>
    </row>
    <row r="727" spans="1:16" x14ac:dyDescent="0.3">
      <c r="A727" t="s">
        <v>203</v>
      </c>
      <c r="B727">
        <v>3.81</v>
      </c>
      <c r="C727">
        <v>1400</v>
      </c>
      <c r="D727" t="s">
        <v>152</v>
      </c>
      <c r="E727">
        <v>18.5</v>
      </c>
      <c r="F727">
        <v>22100</v>
      </c>
      <c r="G727">
        <v>31.64</v>
      </c>
      <c r="H727">
        <v>585.29999999999995</v>
      </c>
      <c r="I727">
        <f t="shared" si="25"/>
        <v>10.25115325474116</v>
      </c>
      <c r="J727">
        <f t="shared" si="24"/>
        <v>10.250452728328835</v>
      </c>
      <c r="K727">
        <v>2.5993750000000002</v>
      </c>
      <c r="L727">
        <f>125.6*(5280/3600)</f>
        <v>184.21333333333331</v>
      </c>
      <c r="M727" s="33"/>
      <c r="N727" s="33"/>
      <c r="O727" s="33"/>
      <c r="P727" s="33"/>
    </row>
    <row r="728" spans="1:16" x14ac:dyDescent="0.3">
      <c r="A728" t="s">
        <v>203</v>
      </c>
      <c r="B728">
        <v>3.81</v>
      </c>
      <c r="C728">
        <v>1400</v>
      </c>
      <c r="D728" t="s">
        <v>162</v>
      </c>
      <c r="E728">
        <v>18.5</v>
      </c>
      <c r="F728">
        <v>22261</v>
      </c>
      <c r="G728">
        <v>29.97</v>
      </c>
      <c r="H728">
        <v>554.4</v>
      </c>
      <c r="I728">
        <f t="shared" si="25"/>
        <v>10.822510822510823</v>
      </c>
      <c r="J728">
        <f t="shared" si="24"/>
        <v>10.821632443254064</v>
      </c>
      <c r="K728">
        <v>2.7643749999999998</v>
      </c>
      <c r="L728">
        <f>105.4*(5280/3600)</f>
        <v>154.58666666666667</v>
      </c>
      <c r="M728" s="33"/>
      <c r="N728" s="33"/>
      <c r="O728" s="33"/>
      <c r="P728" s="33"/>
    </row>
    <row r="729" spans="1:16" x14ac:dyDescent="0.3">
      <c r="A729" t="s">
        <v>203</v>
      </c>
      <c r="B729">
        <v>3.81</v>
      </c>
      <c r="C729">
        <v>1400</v>
      </c>
      <c r="D729" t="s">
        <v>163</v>
      </c>
      <c r="E729">
        <v>18.5</v>
      </c>
      <c r="F729">
        <v>22088</v>
      </c>
      <c r="G729">
        <v>31.74</v>
      </c>
      <c r="H729">
        <v>587.20000000000005</v>
      </c>
      <c r="I729">
        <f t="shared" si="25"/>
        <v>10.217983651226158</v>
      </c>
      <c r="J729">
        <f t="shared" si="24"/>
        <v>10.21815766617279</v>
      </c>
      <c r="K729">
        <v>2.8131249999999999</v>
      </c>
      <c r="L729">
        <f>115*(5280/3600)</f>
        <v>168.66666666666666</v>
      </c>
      <c r="M729" s="33"/>
      <c r="N729" s="33"/>
      <c r="O729" s="33"/>
      <c r="P729" s="33"/>
    </row>
    <row r="730" spans="1:16" x14ac:dyDescent="0.3">
      <c r="A730" t="s">
        <v>203</v>
      </c>
      <c r="B730">
        <v>3.81</v>
      </c>
      <c r="C730">
        <v>1400</v>
      </c>
      <c r="D730" t="s">
        <v>164</v>
      </c>
      <c r="E730">
        <v>18.5</v>
      </c>
      <c r="F730">
        <v>21710</v>
      </c>
      <c r="G730">
        <v>35.21</v>
      </c>
      <c r="H730">
        <v>651.29999999999995</v>
      </c>
      <c r="I730">
        <f t="shared" si="25"/>
        <v>9.2123445416858587</v>
      </c>
      <c r="J730">
        <f t="shared" si="24"/>
        <v>9.2111424119376402</v>
      </c>
      <c r="K730">
        <v>2.8287499999999999</v>
      </c>
      <c r="L730">
        <f>123.4*(5280/3600)</f>
        <v>180.98666666666665</v>
      </c>
      <c r="M730" s="33"/>
      <c r="N730" s="33"/>
      <c r="O730" s="33"/>
      <c r="P730" s="33"/>
    </row>
    <row r="731" spans="1:16" x14ac:dyDescent="0.3">
      <c r="A731" t="s">
        <v>203</v>
      </c>
      <c r="B731">
        <v>3.81</v>
      </c>
      <c r="C731">
        <v>1400</v>
      </c>
      <c r="D731" t="s">
        <v>165</v>
      </c>
      <c r="E731">
        <v>18.5</v>
      </c>
      <c r="F731">
        <v>21551</v>
      </c>
      <c r="G731">
        <v>36.869999999999997</v>
      </c>
      <c r="H731">
        <v>682.2</v>
      </c>
      <c r="I731">
        <f t="shared" si="25"/>
        <v>8.7950747581354438</v>
      </c>
      <c r="J731">
        <f t="shared" si="24"/>
        <v>8.7964286499681119</v>
      </c>
      <c r="K731">
        <v>2.7625000000000002</v>
      </c>
      <c r="L731">
        <f>132.7*(5280/3600)</f>
        <v>194.62666666666664</v>
      </c>
      <c r="M731" s="33"/>
      <c r="N731" s="33"/>
      <c r="O731" s="33"/>
      <c r="P731" s="33"/>
    </row>
    <row r="732" spans="1:16" x14ac:dyDescent="0.3">
      <c r="A732" t="s">
        <v>203</v>
      </c>
      <c r="B732">
        <v>3.81</v>
      </c>
      <c r="C732">
        <v>1400</v>
      </c>
      <c r="D732" t="s">
        <v>144</v>
      </c>
      <c r="E732">
        <v>18.5</v>
      </c>
      <c r="F732">
        <v>21392</v>
      </c>
      <c r="G732">
        <v>38.65</v>
      </c>
      <c r="H732">
        <v>715</v>
      </c>
      <c r="I732">
        <f t="shared" si="25"/>
        <v>8.3916083916083917</v>
      </c>
      <c r="J732">
        <f t="shared" si="24"/>
        <v>8.3913149889863998</v>
      </c>
      <c r="K732">
        <v>4.1887499999999998</v>
      </c>
      <c r="L732">
        <f>81*(5280/3600)</f>
        <v>118.8</v>
      </c>
      <c r="M732" s="33"/>
      <c r="N732" s="33"/>
      <c r="O732" s="33"/>
      <c r="P732" s="33"/>
    </row>
    <row r="733" spans="1:16" x14ac:dyDescent="0.3">
      <c r="A733" t="s">
        <v>203</v>
      </c>
      <c r="B733">
        <v>3.81</v>
      </c>
      <c r="C733">
        <v>1400</v>
      </c>
      <c r="D733" t="s">
        <v>204</v>
      </c>
      <c r="E733">
        <v>22.2</v>
      </c>
      <c r="F733">
        <v>27438</v>
      </c>
      <c r="G733">
        <v>27.02</v>
      </c>
      <c r="H733">
        <v>599.9</v>
      </c>
      <c r="I733">
        <f t="shared" si="25"/>
        <v>10.001666944490749</v>
      </c>
      <c r="J733">
        <f t="shared" si="24"/>
        <v>10.002600676175806</v>
      </c>
      <c r="K733">
        <v>2.76</v>
      </c>
      <c r="L733">
        <f>111.7*(5280/3600)</f>
        <v>163.82666666666665</v>
      </c>
      <c r="M733" s="33"/>
      <c r="N733" s="33"/>
      <c r="O733" s="33"/>
      <c r="P733" s="33"/>
    </row>
    <row r="734" spans="1:16" x14ac:dyDescent="0.3">
      <c r="A734" t="s">
        <v>203</v>
      </c>
      <c r="B734">
        <v>3.81</v>
      </c>
      <c r="C734">
        <v>1400</v>
      </c>
      <c r="D734" t="s">
        <v>199</v>
      </c>
      <c r="E734">
        <v>22.2</v>
      </c>
      <c r="F734">
        <v>27185</v>
      </c>
      <c r="G734">
        <v>29.26</v>
      </c>
      <c r="H734">
        <v>649.5</v>
      </c>
      <c r="I734">
        <f t="shared" si="25"/>
        <v>9.2378752886836022</v>
      </c>
      <c r="J734">
        <f t="shared" si="24"/>
        <v>9.2368513421145</v>
      </c>
      <c r="K734">
        <v>2.7493750000000001</v>
      </c>
      <c r="L734">
        <f>115.8*(5280/3600)</f>
        <v>169.83999999999997</v>
      </c>
      <c r="M734" s="33"/>
      <c r="N734" s="33"/>
      <c r="O734" s="33"/>
      <c r="P734" s="33"/>
    </row>
    <row r="735" spans="1:16" x14ac:dyDescent="0.3">
      <c r="A735" t="s">
        <v>203</v>
      </c>
      <c r="B735">
        <v>3.81</v>
      </c>
      <c r="C735">
        <v>1400</v>
      </c>
      <c r="D735" t="s">
        <v>200</v>
      </c>
      <c r="E735">
        <v>22.2</v>
      </c>
      <c r="F735">
        <v>27330</v>
      </c>
      <c r="G735">
        <v>28.05</v>
      </c>
      <c r="H735">
        <v>622.70000000000005</v>
      </c>
      <c r="I735">
        <f t="shared" si="25"/>
        <v>9.6354584872330165</v>
      </c>
      <c r="J735">
        <f t="shared" si="24"/>
        <v>9.6353037529508114</v>
      </c>
      <c r="K735">
        <v>2.9212500000000001</v>
      </c>
      <c r="L735">
        <f>119.1*(5280/3600)</f>
        <v>174.67999999999998</v>
      </c>
      <c r="M735" s="33"/>
      <c r="N735" s="33"/>
      <c r="O735" s="33"/>
      <c r="P735" s="33"/>
    </row>
    <row r="736" spans="1:16" x14ac:dyDescent="0.3">
      <c r="A736" t="s">
        <v>203</v>
      </c>
      <c r="B736">
        <v>3.81</v>
      </c>
      <c r="C736">
        <v>1400</v>
      </c>
      <c r="D736" t="s">
        <v>159</v>
      </c>
      <c r="E736">
        <v>22.2</v>
      </c>
      <c r="F736">
        <v>26790</v>
      </c>
      <c r="G736">
        <v>32.83</v>
      </c>
      <c r="H736">
        <v>728.9</v>
      </c>
      <c r="I736">
        <f t="shared" si="25"/>
        <v>8.2315818356427499</v>
      </c>
      <c r="J736">
        <f t="shared" si="24"/>
        <v>8.2324176140807275</v>
      </c>
      <c r="K736">
        <v>3.234375</v>
      </c>
      <c r="L736">
        <f>101.5*(5280/3600)</f>
        <v>148.86666666666665</v>
      </c>
      <c r="M736" s="33"/>
      <c r="N736" s="33"/>
      <c r="O736" s="33"/>
      <c r="P736" s="33"/>
    </row>
    <row r="737" spans="1:16" x14ac:dyDescent="0.3">
      <c r="A737" t="s">
        <v>203</v>
      </c>
      <c r="B737">
        <v>3.81</v>
      </c>
      <c r="C737">
        <v>1400</v>
      </c>
      <c r="D737" t="s">
        <v>151</v>
      </c>
      <c r="E737">
        <v>22.2</v>
      </c>
      <c r="F737">
        <v>26102</v>
      </c>
      <c r="G737">
        <v>38.99</v>
      </c>
      <c r="H737">
        <v>865.6</v>
      </c>
      <c r="I737">
        <f t="shared" si="25"/>
        <v>6.9316081330868755</v>
      </c>
      <c r="J737">
        <f t="shared" si="24"/>
        <v>6.931784310599391</v>
      </c>
      <c r="K737">
        <v>4.6431250000000004</v>
      </c>
      <c r="L737">
        <f>111.2*(5280/3600)</f>
        <v>163.09333333333333</v>
      </c>
      <c r="M737" s="33"/>
      <c r="N737" s="33"/>
      <c r="O737" s="33"/>
      <c r="P737" s="33"/>
    </row>
    <row r="738" spans="1:16" x14ac:dyDescent="0.3">
      <c r="A738" t="s">
        <v>203</v>
      </c>
      <c r="B738">
        <v>3.81</v>
      </c>
      <c r="C738">
        <v>1400</v>
      </c>
      <c r="D738" t="s">
        <v>161</v>
      </c>
      <c r="E738">
        <v>22.2</v>
      </c>
      <c r="F738">
        <v>26125</v>
      </c>
      <c r="G738">
        <v>38.72</v>
      </c>
      <c r="H738">
        <v>859.5</v>
      </c>
      <c r="I738">
        <f t="shared" si="25"/>
        <v>6.9808027923211169</v>
      </c>
      <c r="J738">
        <f t="shared" si="24"/>
        <v>6.9801206164842533</v>
      </c>
      <c r="K738">
        <v>3.4037500000000001</v>
      </c>
      <c r="L738">
        <f>136.1*(5280/3600)</f>
        <v>199.61333333333332</v>
      </c>
      <c r="M738" s="33"/>
      <c r="N738" s="33"/>
      <c r="O738" s="33"/>
      <c r="P738" s="33"/>
    </row>
    <row r="739" spans="1:16" x14ac:dyDescent="0.3">
      <c r="A739" t="s">
        <v>203</v>
      </c>
      <c r="B739">
        <v>3.81</v>
      </c>
      <c r="C739">
        <v>1400</v>
      </c>
      <c r="D739" t="s">
        <v>166</v>
      </c>
      <c r="E739">
        <v>22.2</v>
      </c>
      <c r="F739">
        <v>26812</v>
      </c>
      <c r="G739">
        <v>32.68</v>
      </c>
      <c r="H739">
        <v>725.4</v>
      </c>
      <c r="I739">
        <f t="shared" si="25"/>
        <v>8.2712985938792389</v>
      </c>
      <c r="J739">
        <f t="shared" si="24"/>
        <v>8.270204108637401</v>
      </c>
      <c r="K739">
        <v>3.8887499999999999</v>
      </c>
      <c r="L739">
        <f>101.6*(5280/3600)</f>
        <v>149.01333333333332</v>
      </c>
      <c r="M739" s="33"/>
      <c r="N739" s="33"/>
      <c r="O739" s="33"/>
      <c r="P739" s="33"/>
    </row>
    <row r="740" spans="1:16" x14ac:dyDescent="0.3">
      <c r="A740" t="s">
        <v>205</v>
      </c>
      <c r="B740">
        <v>3.81</v>
      </c>
      <c r="C740">
        <v>1700</v>
      </c>
      <c r="D740" t="s">
        <v>148</v>
      </c>
      <c r="E740">
        <v>11.1</v>
      </c>
      <c r="F740">
        <v>15689</v>
      </c>
      <c r="G740">
        <v>34.49</v>
      </c>
      <c r="H740">
        <v>382.8</v>
      </c>
      <c r="I740">
        <f t="shared" si="25"/>
        <v>15.67398119122257</v>
      </c>
      <c r="J740">
        <f t="shared" si="24"/>
        <v>15.672384474935937</v>
      </c>
      <c r="K740">
        <v>2.48</v>
      </c>
      <c r="L740">
        <f>74.3*(5280/3600)</f>
        <v>108.97333333333331</v>
      </c>
      <c r="M740" s="2"/>
      <c r="N740" s="2"/>
      <c r="O740" s="2"/>
      <c r="P740" s="2"/>
    </row>
    <row r="741" spans="1:16" x14ac:dyDescent="0.3">
      <c r="A741" t="s">
        <v>205</v>
      </c>
      <c r="B741">
        <v>3.81</v>
      </c>
      <c r="C741">
        <v>1700</v>
      </c>
      <c r="D741" t="s">
        <v>149</v>
      </c>
      <c r="E741">
        <v>11.1</v>
      </c>
      <c r="F741">
        <v>15675</v>
      </c>
      <c r="G741">
        <v>36.159999999999997</v>
      </c>
      <c r="H741">
        <v>401.4</v>
      </c>
      <c r="I741">
        <f t="shared" si="25"/>
        <v>14.947683109118087</v>
      </c>
      <c r="J741">
        <f t="shared" si="24"/>
        <v>14.948576895479553</v>
      </c>
      <c r="K741">
        <v>2.7425000000000002</v>
      </c>
      <c r="L741">
        <f>89.1*(5280/3600)</f>
        <v>130.67999999999998</v>
      </c>
      <c r="M741" s="2"/>
      <c r="N741" s="2"/>
      <c r="O741" s="2"/>
      <c r="P741" s="2"/>
    </row>
    <row r="742" spans="1:16" x14ac:dyDescent="0.3">
      <c r="A742" t="s">
        <v>205</v>
      </c>
      <c r="B742">
        <v>3.81</v>
      </c>
      <c r="C742">
        <v>1700</v>
      </c>
      <c r="D742" t="s">
        <v>125</v>
      </c>
      <c r="E742">
        <v>11.1</v>
      </c>
      <c r="F742">
        <v>15013</v>
      </c>
      <c r="G742">
        <v>43.22</v>
      </c>
      <c r="H742">
        <v>479.7</v>
      </c>
      <c r="I742">
        <f t="shared" si="25"/>
        <v>12.507817385866167</v>
      </c>
      <c r="J742">
        <f t="shared" si="24"/>
        <v>12.506722363270258</v>
      </c>
      <c r="K742">
        <v>2.5768749999999998</v>
      </c>
      <c r="L742">
        <f>99.5*(5280/3600)</f>
        <v>145.93333333333334</v>
      </c>
      <c r="M742" s="2"/>
      <c r="N742" s="2"/>
      <c r="O742" s="2"/>
      <c r="P742" s="2"/>
    </row>
    <row r="743" spans="1:16" x14ac:dyDescent="0.3">
      <c r="A743" t="s">
        <v>205</v>
      </c>
      <c r="B743">
        <v>3.81</v>
      </c>
      <c r="C743">
        <v>1700</v>
      </c>
      <c r="D743" t="s">
        <v>126</v>
      </c>
      <c r="E743">
        <v>11.1</v>
      </c>
      <c r="F743">
        <v>15244</v>
      </c>
      <c r="G743">
        <v>40.76</v>
      </c>
      <c r="H743">
        <v>452.4</v>
      </c>
      <c r="I743">
        <f t="shared" si="25"/>
        <v>13.262599469496021</v>
      </c>
      <c r="J743">
        <f t="shared" si="24"/>
        <v>13.261544174203644</v>
      </c>
      <c r="K743">
        <v>3.3731249999999999</v>
      </c>
      <c r="L743">
        <f>57.7*(5280/3600)</f>
        <v>84.626666666666665</v>
      </c>
      <c r="M743" s="2"/>
      <c r="N743" s="2"/>
      <c r="O743" s="2"/>
      <c r="P743" s="2"/>
    </row>
    <row r="744" spans="1:16" x14ac:dyDescent="0.3">
      <c r="A744" t="s">
        <v>205</v>
      </c>
      <c r="B744">
        <v>3.81</v>
      </c>
      <c r="C744">
        <v>1700</v>
      </c>
      <c r="D744" t="s">
        <v>141</v>
      </c>
      <c r="E744">
        <v>11.1</v>
      </c>
      <c r="F744">
        <v>15364</v>
      </c>
      <c r="G744">
        <v>39.340000000000003</v>
      </c>
      <c r="H744">
        <v>436.7</v>
      </c>
      <c r="I744">
        <f t="shared" si="25"/>
        <v>13.739409205404167</v>
      </c>
      <c r="J744">
        <f t="shared" si="24"/>
        <v>13.740227263358936</v>
      </c>
      <c r="K744">
        <v>2.120625</v>
      </c>
      <c r="L744">
        <f>87.3*(5280/3600)</f>
        <v>128.04</v>
      </c>
      <c r="M744" s="33"/>
      <c r="N744" s="33"/>
      <c r="O744" s="33"/>
      <c r="P744" s="33"/>
    </row>
    <row r="745" spans="1:16" x14ac:dyDescent="0.3">
      <c r="A745" t="s">
        <v>205</v>
      </c>
      <c r="B745">
        <v>3.81</v>
      </c>
      <c r="C745">
        <v>1700</v>
      </c>
      <c r="D745" t="s">
        <v>143</v>
      </c>
      <c r="E745">
        <v>11.1</v>
      </c>
      <c r="F745">
        <v>15588</v>
      </c>
      <c r="G745">
        <v>37.21</v>
      </c>
      <c r="H745">
        <v>413.1</v>
      </c>
      <c r="I745">
        <f t="shared" si="25"/>
        <v>14.524328249818446</v>
      </c>
      <c r="J745">
        <f t="shared" si="24"/>
        <v>14.526754650377333</v>
      </c>
      <c r="K745">
        <v>3.2318750000000001</v>
      </c>
      <c r="L745">
        <f>73.8*(5280/3600)</f>
        <v>108.24</v>
      </c>
      <c r="M745" s="33"/>
      <c r="N745" s="33"/>
      <c r="O745" s="33"/>
      <c r="P745" s="33"/>
    </row>
    <row r="746" spans="1:16" x14ac:dyDescent="0.3">
      <c r="A746" t="s">
        <v>205</v>
      </c>
      <c r="B746">
        <v>3.81</v>
      </c>
      <c r="C746">
        <v>1700</v>
      </c>
      <c r="D746" t="s">
        <v>160</v>
      </c>
      <c r="E746">
        <v>14.8</v>
      </c>
      <c r="F746">
        <v>21375</v>
      </c>
      <c r="G746">
        <v>35.39</v>
      </c>
      <c r="H746">
        <v>523.70000000000005</v>
      </c>
      <c r="I746">
        <f t="shared" si="25"/>
        <v>11.456940996753865</v>
      </c>
      <c r="J746">
        <f t="shared" si="24"/>
        <v>11.455366075315212</v>
      </c>
      <c r="K746">
        <v>3.1881249999999999</v>
      </c>
      <c r="L746">
        <f>87*(5280/3600)</f>
        <v>127.6</v>
      </c>
      <c r="M746" s="33"/>
      <c r="N746" s="33"/>
      <c r="O746" s="33"/>
      <c r="P746" s="33"/>
    </row>
    <row r="747" spans="1:16" x14ac:dyDescent="0.3">
      <c r="A747" t="s">
        <v>205</v>
      </c>
      <c r="B747">
        <v>3.81</v>
      </c>
      <c r="C747">
        <v>1700</v>
      </c>
      <c r="D747" t="s">
        <v>151</v>
      </c>
      <c r="E747">
        <v>14.8</v>
      </c>
      <c r="F747">
        <v>21590</v>
      </c>
      <c r="G747">
        <v>33.58</v>
      </c>
      <c r="H747">
        <v>497</v>
      </c>
      <c r="I747">
        <f t="shared" si="25"/>
        <v>12.072434607645876</v>
      </c>
      <c r="J747">
        <f t="shared" si="24"/>
        <v>12.072823269964426</v>
      </c>
      <c r="K747">
        <v>3.2012499999999999</v>
      </c>
      <c r="L747">
        <f>92*(5280/3600)</f>
        <v>134.93333333333334</v>
      </c>
      <c r="M747" s="33"/>
      <c r="N747" s="33"/>
      <c r="O747" s="33"/>
      <c r="P747" s="33"/>
    </row>
    <row r="748" spans="1:16" x14ac:dyDescent="0.3">
      <c r="A748" t="s">
        <v>205</v>
      </c>
      <c r="B748">
        <v>3.81</v>
      </c>
      <c r="C748">
        <v>1700</v>
      </c>
      <c r="D748" t="s">
        <v>161</v>
      </c>
      <c r="E748">
        <v>14.8</v>
      </c>
      <c r="F748">
        <v>21743</v>
      </c>
      <c r="G748">
        <v>31.79</v>
      </c>
      <c r="H748">
        <v>470.5</v>
      </c>
      <c r="I748">
        <f t="shared" si="25"/>
        <v>12.752391073326249</v>
      </c>
      <c r="J748">
        <f t="shared" si="24"/>
        <v>12.75260790831725</v>
      </c>
      <c r="K748">
        <v>2.4006249999999998</v>
      </c>
      <c r="L748">
        <f>113.2*(5280/3600)</f>
        <v>166.02666666666667</v>
      </c>
      <c r="M748" s="33"/>
      <c r="N748" s="33"/>
      <c r="O748" s="33"/>
      <c r="P748" s="33"/>
    </row>
    <row r="749" spans="1:16" x14ac:dyDescent="0.3">
      <c r="A749" t="s">
        <v>205</v>
      </c>
      <c r="B749">
        <v>3.81</v>
      </c>
      <c r="C749">
        <v>1700</v>
      </c>
      <c r="D749" t="s">
        <v>152</v>
      </c>
      <c r="E749">
        <v>14.8</v>
      </c>
      <c r="F749">
        <v>21290</v>
      </c>
      <c r="G749">
        <v>36.299999999999997</v>
      </c>
      <c r="H749">
        <v>537.20000000000005</v>
      </c>
      <c r="I749">
        <f t="shared" si="25"/>
        <v>11.169024571854058</v>
      </c>
      <c r="J749">
        <f t="shared" si="24"/>
        <v>11.168192986374805</v>
      </c>
      <c r="K749">
        <v>2.4249999999999998</v>
      </c>
      <c r="L749">
        <f>121*(5280/3600)</f>
        <v>177.46666666666664</v>
      </c>
      <c r="M749" s="33"/>
      <c r="N749" s="33"/>
      <c r="O749" s="33"/>
      <c r="P749" s="33"/>
    </row>
    <row r="750" spans="1:16" x14ac:dyDescent="0.3">
      <c r="A750" t="s">
        <v>205</v>
      </c>
      <c r="B750">
        <v>3.81</v>
      </c>
      <c r="C750">
        <v>1700</v>
      </c>
      <c r="D750" t="s">
        <v>162</v>
      </c>
      <c r="E750">
        <v>14.8</v>
      </c>
      <c r="F750">
        <v>21600</v>
      </c>
      <c r="G750">
        <v>34.92</v>
      </c>
      <c r="H750">
        <v>516.79999999999995</v>
      </c>
      <c r="I750">
        <f t="shared" si="25"/>
        <v>11.609907120743035</v>
      </c>
      <c r="J750">
        <f t="shared" si="24"/>
        <v>11.609547692021916</v>
      </c>
      <c r="K750">
        <v>2.61</v>
      </c>
      <c r="L750">
        <f>102.3*(5280/3600)</f>
        <v>150.04</v>
      </c>
      <c r="M750" s="33"/>
      <c r="N750" s="33"/>
      <c r="O750" s="33"/>
      <c r="P750" s="33"/>
    </row>
    <row r="751" spans="1:16" x14ac:dyDescent="0.3">
      <c r="A751" t="s">
        <v>205</v>
      </c>
      <c r="B751">
        <v>3.81</v>
      </c>
      <c r="C751">
        <v>1700</v>
      </c>
      <c r="D751" t="s">
        <v>163</v>
      </c>
      <c r="E751">
        <v>14.8</v>
      </c>
      <c r="F751">
        <v>21420</v>
      </c>
      <c r="G751">
        <v>36.71</v>
      </c>
      <c r="H751">
        <v>543.29999999999995</v>
      </c>
      <c r="I751">
        <f t="shared" si="25"/>
        <v>11.043622308117063</v>
      </c>
      <c r="J751">
        <f t="shared" si="24"/>
        <v>11.043459695053265</v>
      </c>
      <c r="K751">
        <v>2.6456249999999999</v>
      </c>
      <c r="L751">
        <f>111.6*(5280/3600)</f>
        <v>163.67999999999998</v>
      </c>
      <c r="M751" s="33"/>
      <c r="N751" s="33"/>
      <c r="O751" s="33"/>
      <c r="P751" s="33"/>
    </row>
    <row r="752" spans="1:16" x14ac:dyDescent="0.3">
      <c r="A752" t="s">
        <v>205</v>
      </c>
      <c r="B752">
        <v>3.81</v>
      </c>
      <c r="C752">
        <v>1700</v>
      </c>
      <c r="D752" t="s">
        <v>164</v>
      </c>
      <c r="E752">
        <v>14.8</v>
      </c>
      <c r="F752">
        <v>21030</v>
      </c>
      <c r="G752">
        <v>40.409999999999997</v>
      </c>
      <c r="H752">
        <v>598.1</v>
      </c>
      <c r="I752">
        <f t="shared" si="25"/>
        <v>10.031767262999498</v>
      </c>
      <c r="J752">
        <f t="shared" si="24"/>
        <v>10.032304018940989</v>
      </c>
      <c r="K752">
        <v>2.6387499999999999</v>
      </c>
      <c r="L752">
        <f>119.5*(5280/3600)</f>
        <v>175.26666666666665</v>
      </c>
      <c r="M752" s="33"/>
      <c r="N752" s="33"/>
      <c r="O752" s="33"/>
      <c r="P752" s="33"/>
    </row>
    <row r="753" spans="1:16" x14ac:dyDescent="0.3">
      <c r="A753" t="s">
        <v>205</v>
      </c>
      <c r="B753">
        <v>3.81</v>
      </c>
      <c r="C753">
        <v>1700</v>
      </c>
      <c r="D753" t="s">
        <v>165</v>
      </c>
      <c r="E753">
        <v>14.8</v>
      </c>
      <c r="F753">
        <v>20850</v>
      </c>
      <c r="G753">
        <v>42.31</v>
      </c>
      <c r="H753">
        <v>626.1</v>
      </c>
      <c r="I753">
        <f t="shared" si="25"/>
        <v>9.5831336847149018</v>
      </c>
      <c r="J753">
        <f t="shared" si="24"/>
        <v>9.5817869393856139</v>
      </c>
      <c r="K753">
        <v>2.5724999999999998</v>
      </c>
      <c r="L753">
        <f>128.3*(5280/3600)</f>
        <v>188.17333333333335</v>
      </c>
      <c r="M753" s="33"/>
      <c r="N753" s="33"/>
      <c r="O753" s="33"/>
      <c r="P753" s="33"/>
    </row>
    <row r="754" spans="1:16" x14ac:dyDescent="0.3">
      <c r="A754" t="s">
        <v>205</v>
      </c>
      <c r="B754">
        <v>3.81</v>
      </c>
      <c r="C754">
        <v>1700</v>
      </c>
      <c r="D754" t="s">
        <v>144</v>
      </c>
      <c r="E754">
        <v>14.8</v>
      </c>
      <c r="F754">
        <v>20633</v>
      </c>
      <c r="G754">
        <v>44.32</v>
      </c>
      <c r="H754">
        <v>655.9</v>
      </c>
      <c r="I754">
        <f t="shared" si="25"/>
        <v>9.1477359353559997</v>
      </c>
      <c r="J754">
        <f t="shared" si="24"/>
        <v>9.1472338764757524</v>
      </c>
      <c r="K754">
        <v>3.9750000000000001</v>
      </c>
      <c r="L754">
        <f>78.2*(5280/3600)</f>
        <v>114.69333333333333</v>
      </c>
      <c r="M754" s="33"/>
      <c r="N754" s="33"/>
      <c r="O754" s="33"/>
      <c r="P754" s="33"/>
    </row>
    <row r="755" spans="1:16" x14ac:dyDescent="0.3">
      <c r="A755" t="s">
        <v>205</v>
      </c>
      <c r="B755">
        <v>3.81</v>
      </c>
      <c r="C755">
        <v>1700</v>
      </c>
      <c r="D755" t="s">
        <v>204</v>
      </c>
      <c r="E755">
        <v>18.5</v>
      </c>
      <c r="F755">
        <v>27367</v>
      </c>
      <c r="G755">
        <v>33.44</v>
      </c>
      <c r="H755">
        <v>618.6</v>
      </c>
      <c r="I755">
        <f t="shared" si="25"/>
        <v>9.6993210475266736</v>
      </c>
      <c r="J755">
        <f t="shared" si="24"/>
        <v>9.6986939092202249</v>
      </c>
      <c r="K755">
        <v>2.7293750000000001</v>
      </c>
      <c r="L755">
        <f>111.4*(5280/3600)</f>
        <v>163.38666666666666</v>
      </c>
      <c r="M755" s="33"/>
      <c r="N755" s="33"/>
      <c r="O755" s="33"/>
      <c r="P755" s="33"/>
    </row>
    <row r="756" spans="1:16" x14ac:dyDescent="0.3">
      <c r="A756" t="s">
        <v>205</v>
      </c>
      <c r="B756">
        <v>3.81</v>
      </c>
      <c r="C756">
        <v>1700</v>
      </c>
      <c r="D756" t="s">
        <v>199</v>
      </c>
      <c r="E756">
        <v>18.5</v>
      </c>
      <c r="F756">
        <v>27003</v>
      </c>
      <c r="G756">
        <v>36.22</v>
      </c>
      <c r="H756">
        <v>670</v>
      </c>
      <c r="I756">
        <f t="shared" si="25"/>
        <v>8.9552238805970141</v>
      </c>
      <c r="J756">
        <f t="shared" si="24"/>
        <v>8.9542883579327537</v>
      </c>
      <c r="K756">
        <v>2.7225000000000001</v>
      </c>
      <c r="L756">
        <f>115.1*(5280/3600)</f>
        <v>168.8133333333333</v>
      </c>
      <c r="M756" s="33"/>
      <c r="N756" s="33"/>
      <c r="O756" s="33"/>
      <c r="P756" s="33"/>
    </row>
    <row r="757" spans="1:16" x14ac:dyDescent="0.3">
      <c r="A757" t="s">
        <v>205</v>
      </c>
      <c r="B757">
        <v>3.81</v>
      </c>
      <c r="C757">
        <v>1700</v>
      </c>
      <c r="D757" t="s">
        <v>200</v>
      </c>
      <c r="E757">
        <v>18.5</v>
      </c>
      <c r="F757">
        <v>27176</v>
      </c>
      <c r="G757">
        <v>34.69</v>
      </c>
      <c r="H757">
        <v>641.79999999999995</v>
      </c>
      <c r="I757">
        <f t="shared" si="25"/>
        <v>9.3487067622312257</v>
      </c>
      <c r="J757">
        <f t="shared" si="24"/>
        <v>9.3492166135579211</v>
      </c>
      <c r="K757">
        <v>2.8987500000000002</v>
      </c>
      <c r="L757">
        <f>118.4*(5280/3600)</f>
        <v>173.65333333333334</v>
      </c>
      <c r="M757" s="33"/>
      <c r="N757" s="33"/>
      <c r="O757" s="33"/>
      <c r="P757" s="33"/>
    </row>
    <row r="758" spans="1:16" x14ac:dyDescent="0.3">
      <c r="A758" t="s">
        <v>205</v>
      </c>
      <c r="B758">
        <v>3.81</v>
      </c>
      <c r="C758">
        <v>1700</v>
      </c>
      <c r="D758" t="s">
        <v>159</v>
      </c>
      <c r="E758">
        <v>18.5</v>
      </c>
      <c r="F758">
        <v>26605</v>
      </c>
      <c r="G758">
        <v>40.17</v>
      </c>
      <c r="H758">
        <v>743.1</v>
      </c>
      <c r="I758">
        <f t="shared" si="25"/>
        <v>8.0742834073475986</v>
      </c>
      <c r="J758">
        <f t="shared" si="24"/>
        <v>8.0737944815614711</v>
      </c>
      <c r="K758">
        <v>3.214375</v>
      </c>
      <c r="L758">
        <f>100.8*(5280/3600)</f>
        <v>147.83999999999997</v>
      </c>
      <c r="M758" s="33"/>
      <c r="N758" s="33"/>
      <c r="O758" s="33"/>
      <c r="P758" s="33"/>
    </row>
    <row r="759" spans="1:16" x14ac:dyDescent="0.3">
      <c r="A759" t="s">
        <v>205</v>
      </c>
      <c r="B759">
        <v>3.81</v>
      </c>
      <c r="C759">
        <v>1700</v>
      </c>
      <c r="D759" t="s">
        <v>151</v>
      </c>
      <c r="E759">
        <v>18.5</v>
      </c>
      <c r="F759">
        <v>25968</v>
      </c>
      <c r="G759">
        <v>47.69</v>
      </c>
      <c r="H759">
        <v>882.3</v>
      </c>
      <c r="I759">
        <f t="shared" si="25"/>
        <v>6.8004080244814693</v>
      </c>
      <c r="J759">
        <f t="shared" si="24"/>
        <v>6.8006778008874882</v>
      </c>
      <c r="K759">
        <v>4.5549999999999997</v>
      </c>
      <c r="L759">
        <f>110.7*(5280/3600)</f>
        <v>162.35999999999999</v>
      </c>
      <c r="M759" s="33"/>
      <c r="N759" s="33"/>
      <c r="O759" s="33"/>
      <c r="P759" s="33"/>
    </row>
    <row r="760" spans="1:16" x14ac:dyDescent="0.3">
      <c r="A760" t="s">
        <v>205</v>
      </c>
      <c r="B760">
        <v>3.81</v>
      </c>
      <c r="C760">
        <v>1700</v>
      </c>
      <c r="D760" t="s">
        <v>161</v>
      </c>
      <c r="E760">
        <v>18.5</v>
      </c>
      <c r="F760">
        <v>25882</v>
      </c>
      <c r="G760">
        <v>47</v>
      </c>
      <c r="H760">
        <v>869.6</v>
      </c>
      <c r="I760">
        <f t="shared" si="25"/>
        <v>6.8997240110395586</v>
      </c>
      <c r="J760">
        <f t="shared" si="24"/>
        <v>6.9005175388154107</v>
      </c>
      <c r="K760">
        <v>3.3418749999999999</v>
      </c>
      <c r="L760">
        <f>134.8*(5280/3600)</f>
        <v>197.70666666666668</v>
      </c>
      <c r="M760" s="33"/>
      <c r="N760" s="33"/>
      <c r="O760" s="33"/>
      <c r="P760" s="33"/>
    </row>
    <row r="761" spans="1:16" x14ac:dyDescent="0.3">
      <c r="A761" t="s">
        <v>205</v>
      </c>
      <c r="B761">
        <v>3.81</v>
      </c>
      <c r="C761">
        <v>1700</v>
      </c>
      <c r="D761" t="s">
        <v>166</v>
      </c>
      <c r="E761">
        <v>18.5</v>
      </c>
      <c r="F761">
        <v>26666</v>
      </c>
      <c r="G761">
        <v>40</v>
      </c>
      <c r="H761">
        <v>740</v>
      </c>
      <c r="I761">
        <f t="shared" si="25"/>
        <v>8.1081081081081088</v>
      </c>
      <c r="J761">
        <f t="shared" si="24"/>
        <v>8.1081081081081088</v>
      </c>
      <c r="K761">
        <v>3.8381249999999998</v>
      </c>
      <c r="L761">
        <f>101*(5280/3600)</f>
        <v>148.13333333333333</v>
      </c>
      <c r="M761" s="33"/>
      <c r="N761" s="33"/>
      <c r="O761" s="33"/>
      <c r="P761" s="33"/>
    </row>
    <row r="762" spans="1:16" x14ac:dyDescent="0.3">
      <c r="A762" t="s">
        <v>205</v>
      </c>
      <c r="B762">
        <v>3.81</v>
      </c>
      <c r="C762">
        <v>1700</v>
      </c>
      <c r="D762" t="s">
        <v>204</v>
      </c>
      <c r="E762">
        <v>22.2</v>
      </c>
      <c r="F762">
        <v>31604</v>
      </c>
      <c r="G762">
        <v>46.75</v>
      </c>
      <c r="H762">
        <v>1037.9000000000001</v>
      </c>
      <c r="I762">
        <f t="shared" si="25"/>
        <v>5.7809037479525962</v>
      </c>
      <c r="J762">
        <f t="shared" si="24"/>
        <v>5.7811822517704874</v>
      </c>
      <c r="K762">
        <v>3.6862499999999998</v>
      </c>
      <c r="L762">
        <f>128.7*(5280/3600)</f>
        <v>188.75999999999996</v>
      </c>
      <c r="M762" s="33"/>
      <c r="N762" s="33"/>
      <c r="O762" s="33"/>
      <c r="P762" s="33"/>
    </row>
    <row r="763" spans="1:16" x14ac:dyDescent="0.3">
      <c r="A763" t="s">
        <v>206</v>
      </c>
      <c r="B763">
        <v>3.84</v>
      </c>
      <c r="C763">
        <v>2100</v>
      </c>
      <c r="D763" t="s">
        <v>152</v>
      </c>
      <c r="E763">
        <v>11.1</v>
      </c>
      <c r="F763">
        <v>19341</v>
      </c>
      <c r="G763">
        <v>35.06</v>
      </c>
      <c r="H763">
        <v>389.2</v>
      </c>
      <c r="I763">
        <f t="shared" si="25"/>
        <v>15.416238437821171</v>
      </c>
      <c r="J763">
        <f t="shared" si="24"/>
        <v>15.417585297790659</v>
      </c>
      <c r="K763">
        <v>1.9775</v>
      </c>
      <c r="L763">
        <f>109.9*(5280/3600)</f>
        <v>161.18666666666667</v>
      </c>
      <c r="M763" s="33"/>
      <c r="N763" s="33"/>
      <c r="O763" s="33"/>
      <c r="P763" s="33"/>
    </row>
    <row r="764" spans="1:16" x14ac:dyDescent="0.3">
      <c r="A764" t="s">
        <v>206</v>
      </c>
      <c r="B764">
        <v>3.84</v>
      </c>
      <c r="C764">
        <v>2100</v>
      </c>
      <c r="D764" t="s">
        <v>163</v>
      </c>
      <c r="E764">
        <v>11.1</v>
      </c>
      <c r="F764">
        <v>19250</v>
      </c>
      <c r="G764">
        <v>35.08</v>
      </c>
      <c r="H764">
        <v>389.4</v>
      </c>
      <c r="I764">
        <f t="shared" si="25"/>
        <v>15.408320493066258</v>
      </c>
      <c r="J764">
        <f t="shared" si="24"/>
        <v>15.408795340380291</v>
      </c>
      <c r="K764">
        <v>2.120625</v>
      </c>
      <c r="L764">
        <f>100.3*(5280/3600)</f>
        <v>147.10666666666665</v>
      </c>
      <c r="M764" s="33"/>
      <c r="N764" s="33"/>
      <c r="O764" s="33"/>
      <c r="P764" s="33"/>
    </row>
    <row r="765" spans="1:16" x14ac:dyDescent="0.3">
      <c r="A765" t="s">
        <v>206</v>
      </c>
      <c r="B765">
        <v>3.84</v>
      </c>
      <c r="C765">
        <v>2100</v>
      </c>
      <c r="D765" t="s">
        <v>164</v>
      </c>
      <c r="E765">
        <v>11.1</v>
      </c>
      <c r="F765">
        <v>18896</v>
      </c>
      <c r="G765">
        <v>38.65</v>
      </c>
      <c r="H765">
        <v>429</v>
      </c>
      <c r="I765">
        <f t="shared" si="25"/>
        <v>13.986013986013985</v>
      </c>
      <c r="J765">
        <f t="shared" si="24"/>
        <v>13.985524981644</v>
      </c>
      <c r="K765">
        <v>2.0768749999999998</v>
      </c>
      <c r="L765">
        <f>107.4*(5280/3600)</f>
        <v>157.52000000000001</v>
      </c>
      <c r="M765" s="33"/>
      <c r="N765" s="33"/>
      <c r="O765" s="33"/>
      <c r="P765" s="33"/>
    </row>
    <row r="766" spans="1:16" x14ac:dyDescent="0.3">
      <c r="A766" t="s">
        <v>206</v>
      </c>
      <c r="B766">
        <v>3.84</v>
      </c>
      <c r="C766">
        <v>2100</v>
      </c>
      <c r="D766" t="s">
        <v>165</v>
      </c>
      <c r="E766">
        <v>11.1</v>
      </c>
      <c r="F766">
        <v>18695</v>
      </c>
      <c r="G766">
        <v>40.99</v>
      </c>
      <c r="H766">
        <v>455</v>
      </c>
      <c r="I766">
        <f t="shared" si="25"/>
        <v>13.186813186813186</v>
      </c>
      <c r="J766">
        <f t="shared" si="24"/>
        <v>13.187131996597721</v>
      </c>
      <c r="K766">
        <v>1.944375</v>
      </c>
      <c r="L766">
        <f>115.1*(5280/3600)</f>
        <v>168.8133333333333</v>
      </c>
      <c r="M766" s="33"/>
      <c r="N766" s="33"/>
      <c r="O766" s="33"/>
      <c r="P766" s="33"/>
    </row>
    <row r="767" spans="1:16" x14ac:dyDescent="0.3">
      <c r="A767" t="s">
        <v>206</v>
      </c>
      <c r="B767">
        <v>3.84</v>
      </c>
      <c r="C767">
        <v>2100</v>
      </c>
      <c r="D767" t="s">
        <v>146</v>
      </c>
      <c r="E767">
        <v>11.1</v>
      </c>
      <c r="F767">
        <v>18331</v>
      </c>
      <c r="G767">
        <v>45.82</v>
      </c>
      <c r="H767">
        <v>508.6</v>
      </c>
      <c r="I767">
        <f t="shared" si="25"/>
        <v>11.797090051120723</v>
      </c>
      <c r="J767">
        <f t="shared" si="24"/>
        <v>11.79704366085859</v>
      </c>
      <c r="K767">
        <v>3.36</v>
      </c>
      <c r="L767">
        <f>69.4*(5280/3600)</f>
        <v>101.78666666666666</v>
      </c>
      <c r="M767" s="33"/>
      <c r="N767" s="33"/>
      <c r="O767" s="33"/>
      <c r="P767" s="33"/>
    </row>
    <row r="768" spans="1:16" x14ac:dyDescent="0.3">
      <c r="A768" t="s">
        <v>206</v>
      </c>
      <c r="B768">
        <v>3.84</v>
      </c>
      <c r="C768">
        <v>2100</v>
      </c>
      <c r="D768" t="s">
        <v>148</v>
      </c>
      <c r="E768">
        <v>11.1</v>
      </c>
      <c r="F768">
        <v>17549</v>
      </c>
      <c r="G768">
        <v>53.7</v>
      </c>
      <c r="H768">
        <v>596.1</v>
      </c>
      <c r="I768">
        <f t="shared" si="25"/>
        <v>10.065425264217414</v>
      </c>
      <c r="J768">
        <f t="shared" si="24"/>
        <v>10.06593185364135</v>
      </c>
      <c r="K768">
        <v>3.1612499999999999</v>
      </c>
      <c r="L768">
        <f>83.1*(5280/3600)</f>
        <v>121.87999999999998</v>
      </c>
      <c r="M768" s="33"/>
      <c r="N768" s="33"/>
      <c r="O768" s="33"/>
      <c r="P768" s="33"/>
    </row>
    <row r="769" spans="1:16" x14ac:dyDescent="0.3">
      <c r="A769" t="s">
        <v>206</v>
      </c>
      <c r="B769">
        <v>3.84</v>
      </c>
      <c r="C769">
        <v>2100</v>
      </c>
      <c r="D769" t="s">
        <v>166</v>
      </c>
      <c r="E769">
        <v>11.1</v>
      </c>
      <c r="F769">
        <v>20127</v>
      </c>
      <c r="G769">
        <v>27.91</v>
      </c>
      <c r="H769">
        <v>309.8</v>
      </c>
      <c r="I769">
        <f t="shared" si="25"/>
        <v>19.367333763718527</v>
      </c>
      <c r="J769">
        <f t="shared" si="24"/>
        <v>19.367271248317468</v>
      </c>
      <c r="K769">
        <v>2.2400000000000002</v>
      </c>
      <c r="L769">
        <f>76.2*(5280/3600)</f>
        <v>111.75999999999999</v>
      </c>
      <c r="M769" s="33"/>
      <c r="N769" s="33"/>
      <c r="O769" s="33"/>
      <c r="P769" s="33"/>
    </row>
    <row r="770" spans="1:16" x14ac:dyDescent="0.3">
      <c r="A770" t="s">
        <v>206</v>
      </c>
      <c r="B770">
        <v>3.84</v>
      </c>
      <c r="C770">
        <v>2100</v>
      </c>
      <c r="D770" t="s">
        <v>144</v>
      </c>
      <c r="E770">
        <v>11.1</v>
      </c>
      <c r="F770">
        <v>18611</v>
      </c>
      <c r="G770">
        <v>43.11</v>
      </c>
      <c r="H770">
        <v>478.6</v>
      </c>
      <c r="I770">
        <f t="shared" si="25"/>
        <v>12.536564981195152</v>
      </c>
      <c r="J770">
        <f t="shared" si="24"/>
        <v>12.538634668070994</v>
      </c>
      <c r="K770">
        <v>3.2056249999999999</v>
      </c>
      <c r="L770">
        <f>70.5*(5280/3600)</f>
        <v>103.39999999999999</v>
      </c>
      <c r="M770" s="33"/>
      <c r="N770" s="33"/>
      <c r="O770" s="33"/>
      <c r="P770" s="33"/>
    </row>
    <row r="771" spans="1:16" x14ac:dyDescent="0.3">
      <c r="A771" t="s">
        <v>206</v>
      </c>
      <c r="B771">
        <v>3.84</v>
      </c>
      <c r="C771">
        <v>2100</v>
      </c>
      <c r="D771" t="s">
        <v>198</v>
      </c>
      <c r="E771">
        <v>14.8</v>
      </c>
      <c r="F771">
        <v>26285</v>
      </c>
      <c r="G771">
        <v>36.39</v>
      </c>
      <c r="H771">
        <v>538.5</v>
      </c>
      <c r="I771">
        <f t="shared" si="25"/>
        <v>11.142061281337046</v>
      </c>
      <c r="J771">
        <f t="shared" ref="J771:J834" si="26">( ($N$1/E771)/G771)*60</f>
        <v>11.140571734141396</v>
      </c>
      <c r="K771">
        <v>2.5306250000000001</v>
      </c>
      <c r="L771">
        <f>107*(5280/3600)</f>
        <v>156.93333333333331</v>
      </c>
      <c r="M771" s="33"/>
      <c r="N771" s="33"/>
      <c r="O771" s="33"/>
      <c r="P771" s="33"/>
    </row>
    <row r="772" spans="1:16" x14ac:dyDescent="0.3">
      <c r="A772" t="s">
        <v>206</v>
      </c>
      <c r="B772">
        <v>3.84</v>
      </c>
      <c r="C772">
        <v>2100</v>
      </c>
      <c r="D772" t="s">
        <v>199</v>
      </c>
      <c r="E772">
        <v>14.8</v>
      </c>
      <c r="F772">
        <v>26034</v>
      </c>
      <c r="G772">
        <v>38.75</v>
      </c>
      <c r="H772">
        <v>573.5</v>
      </c>
      <c r="I772">
        <f t="shared" ref="I772:I835" si="27" xml:space="preserve"> ($N$1/H772)*60</f>
        <v>10.462074978204011</v>
      </c>
      <c r="J772">
        <f t="shared" si="26"/>
        <v>10.46207497820401</v>
      </c>
      <c r="K772">
        <v>2.49125</v>
      </c>
      <c r="L772">
        <f>110.9*(5280/3600)</f>
        <v>162.65333333333334</v>
      </c>
      <c r="M772" s="33"/>
      <c r="N772" s="33"/>
      <c r="O772" s="33"/>
      <c r="P772" s="33"/>
    </row>
    <row r="773" spans="1:16" x14ac:dyDescent="0.3">
      <c r="A773" t="s">
        <v>206</v>
      </c>
      <c r="B773">
        <v>3.84</v>
      </c>
      <c r="C773">
        <v>2100</v>
      </c>
      <c r="D773" t="s">
        <v>200</v>
      </c>
      <c r="E773">
        <v>14.8</v>
      </c>
      <c r="F773">
        <v>26121</v>
      </c>
      <c r="G773">
        <v>37.78</v>
      </c>
      <c r="H773">
        <v>559.1</v>
      </c>
      <c r="I773">
        <f t="shared" si="27"/>
        <v>10.731532820604542</v>
      </c>
      <c r="J773">
        <f t="shared" si="26"/>
        <v>10.730688337887912</v>
      </c>
      <c r="K773">
        <v>2.65</v>
      </c>
      <c r="L773">
        <f>113.8*(5280/3600)</f>
        <v>166.90666666666664</v>
      </c>
      <c r="M773" s="33"/>
      <c r="N773" s="33"/>
      <c r="O773" s="33"/>
      <c r="P773" s="33"/>
    </row>
    <row r="774" spans="1:16" x14ac:dyDescent="0.3">
      <c r="A774" t="s">
        <v>206</v>
      </c>
      <c r="B774">
        <v>3.84</v>
      </c>
      <c r="C774">
        <v>2100</v>
      </c>
      <c r="D774" t="s">
        <v>159</v>
      </c>
      <c r="E774">
        <v>14.8</v>
      </c>
      <c r="F774">
        <v>25506</v>
      </c>
      <c r="G774">
        <v>43.16</v>
      </c>
      <c r="H774">
        <v>638.70000000000005</v>
      </c>
      <c r="I774">
        <f t="shared" si="27"/>
        <v>9.3940817285110363</v>
      </c>
      <c r="J774">
        <f t="shared" si="26"/>
        <v>9.3930816822383072</v>
      </c>
      <c r="K774">
        <v>2.9343750000000002</v>
      </c>
      <c r="L774">
        <f>96.6*(5280/3600)</f>
        <v>141.67999999999998</v>
      </c>
      <c r="M774" s="33"/>
      <c r="N774" s="33"/>
      <c r="O774" s="33"/>
      <c r="P774" s="33"/>
    </row>
    <row r="775" spans="1:16" x14ac:dyDescent="0.3">
      <c r="A775" t="s">
        <v>206</v>
      </c>
      <c r="B775">
        <v>3.84</v>
      </c>
      <c r="C775">
        <v>2100</v>
      </c>
      <c r="D775" t="s">
        <v>151</v>
      </c>
      <c r="E775">
        <v>14.8</v>
      </c>
      <c r="F775">
        <v>24651</v>
      </c>
      <c r="G775">
        <v>50.98</v>
      </c>
      <c r="H775">
        <v>754.4</v>
      </c>
      <c r="I775">
        <f t="shared" si="27"/>
        <v>7.9533404029692472</v>
      </c>
      <c r="J775">
        <f t="shared" si="26"/>
        <v>7.9522441232915924</v>
      </c>
      <c r="K775">
        <v>4.0631250000000003</v>
      </c>
      <c r="L775">
        <f>105*(5280/3600)</f>
        <v>154</v>
      </c>
      <c r="M775" s="33"/>
      <c r="N775" s="33"/>
      <c r="O775" s="33"/>
      <c r="P775" s="33"/>
    </row>
    <row r="776" spans="1:16" x14ac:dyDescent="0.3">
      <c r="A776" t="s">
        <v>206</v>
      </c>
      <c r="B776">
        <v>3.84</v>
      </c>
      <c r="C776">
        <v>2100</v>
      </c>
      <c r="D776" t="s">
        <v>161</v>
      </c>
      <c r="E776">
        <v>14.8</v>
      </c>
      <c r="F776">
        <v>24741</v>
      </c>
      <c r="G776">
        <v>50.23</v>
      </c>
      <c r="H776">
        <v>743.4</v>
      </c>
      <c r="I776">
        <f t="shared" si="27"/>
        <v>8.0710250201775633</v>
      </c>
      <c r="J776">
        <f t="shared" si="26"/>
        <v>8.0709815927813153</v>
      </c>
      <c r="K776">
        <v>3.0643750000000001</v>
      </c>
      <c r="L776">
        <f>128.9*(5280/3600)</f>
        <v>189.05333333333334</v>
      </c>
      <c r="M776" s="33"/>
      <c r="N776" s="33"/>
      <c r="O776" s="33"/>
      <c r="P776" s="33"/>
    </row>
    <row r="777" spans="1:16" x14ac:dyDescent="0.3">
      <c r="A777" t="s">
        <v>206</v>
      </c>
      <c r="B777">
        <v>3.84</v>
      </c>
      <c r="C777">
        <v>2100</v>
      </c>
      <c r="D777" t="s">
        <v>162</v>
      </c>
      <c r="E777">
        <v>14.8</v>
      </c>
      <c r="F777">
        <v>24238</v>
      </c>
      <c r="G777">
        <v>53.3</v>
      </c>
      <c r="H777">
        <v>788.9</v>
      </c>
      <c r="I777">
        <f t="shared" si="27"/>
        <v>7.6055266827227781</v>
      </c>
      <c r="J777">
        <f t="shared" si="26"/>
        <v>7.6061051670807771</v>
      </c>
      <c r="K777">
        <v>3.2693750000000001</v>
      </c>
      <c r="L777">
        <f>114.8*(5280/3600)</f>
        <v>168.37333333333331</v>
      </c>
      <c r="M777" s="33"/>
      <c r="N777" s="33"/>
      <c r="O777" s="33"/>
      <c r="P777" s="33"/>
    </row>
    <row r="778" spans="1:16" x14ac:dyDescent="0.3">
      <c r="A778" t="s">
        <v>206</v>
      </c>
      <c r="B778">
        <v>3.84</v>
      </c>
      <c r="C778">
        <v>2100</v>
      </c>
      <c r="D778" t="s">
        <v>198</v>
      </c>
      <c r="E778">
        <v>18.5</v>
      </c>
      <c r="F778">
        <v>31273</v>
      </c>
      <c r="G778">
        <v>53.98</v>
      </c>
      <c r="H778">
        <v>998.6</v>
      </c>
      <c r="I778">
        <f t="shared" si="27"/>
        <v>6.0084117764870815</v>
      </c>
      <c r="J778">
        <f t="shared" si="26"/>
        <v>6.0082312768492834</v>
      </c>
      <c r="K778">
        <v>3.59375</v>
      </c>
      <c r="L778">
        <f>127.3*(5280/3600)</f>
        <v>186.70666666666665</v>
      </c>
      <c r="M778" s="33"/>
      <c r="N778" s="33"/>
      <c r="O778" s="33"/>
      <c r="P778" s="33"/>
    </row>
    <row r="779" spans="1:16" ht="15.6" x14ac:dyDescent="0.3">
      <c r="A779" t="s">
        <v>207</v>
      </c>
      <c r="B779">
        <v>3.77</v>
      </c>
      <c r="C779">
        <v>850</v>
      </c>
      <c r="D779" t="s">
        <v>104</v>
      </c>
      <c r="E779">
        <v>11.1</v>
      </c>
      <c r="F779">
        <v>8421</v>
      </c>
      <c r="G779">
        <v>21.19</v>
      </c>
      <c r="H779">
        <v>235.2</v>
      </c>
      <c r="I779">
        <f t="shared" si="27"/>
        <v>25.510204081632654</v>
      </c>
      <c r="J779">
        <f t="shared" si="26"/>
        <v>25.509227963215693</v>
      </c>
      <c r="K779">
        <v>1.9706250000000001</v>
      </c>
      <c r="L779">
        <f>59.8*(5280/3600)</f>
        <v>87.706666666666649</v>
      </c>
      <c r="M779" s="2"/>
      <c r="N779" s="3"/>
      <c r="O779" s="2"/>
      <c r="P779" s="4"/>
    </row>
    <row r="780" spans="1:16" ht="15.6" x14ac:dyDescent="0.3">
      <c r="A780" t="s">
        <v>207</v>
      </c>
      <c r="B780">
        <v>3.77</v>
      </c>
      <c r="C780">
        <v>850</v>
      </c>
      <c r="D780" t="s">
        <v>103</v>
      </c>
      <c r="E780">
        <v>11.1</v>
      </c>
      <c r="F780">
        <v>8084</v>
      </c>
      <c r="G780">
        <v>24.41</v>
      </c>
      <c r="H780">
        <v>270.89999999999998</v>
      </c>
      <c r="I780">
        <f t="shared" si="27"/>
        <v>22.148394241417499</v>
      </c>
      <c r="J780">
        <f t="shared" si="26"/>
        <v>22.144225339637057</v>
      </c>
      <c r="K780">
        <v>1.8825000000000001</v>
      </c>
      <c r="L780">
        <f>68.9*(5280/3600)</f>
        <v>101.05333333333333</v>
      </c>
      <c r="M780" s="2"/>
      <c r="N780" s="3"/>
      <c r="O780" s="2"/>
      <c r="P780" s="4"/>
    </row>
    <row r="781" spans="1:16" ht="15.6" x14ac:dyDescent="0.3">
      <c r="A781" t="s">
        <v>207</v>
      </c>
      <c r="B781">
        <v>3.77</v>
      </c>
      <c r="C781">
        <v>850</v>
      </c>
      <c r="D781" t="s">
        <v>99</v>
      </c>
      <c r="E781">
        <v>11.1</v>
      </c>
      <c r="F781">
        <v>8808</v>
      </c>
      <c r="G781">
        <v>17.14</v>
      </c>
      <c r="H781">
        <v>190.3</v>
      </c>
      <c r="I781">
        <f t="shared" si="27"/>
        <v>31.52916447714135</v>
      </c>
      <c r="J781">
        <f t="shared" si="26"/>
        <v>31.536787662808667</v>
      </c>
      <c r="K781">
        <v>2.3587500000000001</v>
      </c>
      <c r="L781">
        <f>41.7*(5280/3600)</f>
        <v>61.16</v>
      </c>
      <c r="M781" s="2"/>
      <c r="N781" s="3"/>
      <c r="O781" s="2"/>
      <c r="P781" s="4"/>
    </row>
    <row r="782" spans="1:16" ht="15.6" x14ac:dyDescent="0.3">
      <c r="A782" t="s">
        <v>207</v>
      </c>
      <c r="B782">
        <v>3.77</v>
      </c>
      <c r="C782">
        <v>850</v>
      </c>
      <c r="D782" t="s">
        <v>67</v>
      </c>
      <c r="E782">
        <v>11.1</v>
      </c>
      <c r="F782">
        <v>8630</v>
      </c>
      <c r="G782">
        <v>19.16</v>
      </c>
      <c r="H782">
        <v>212.7</v>
      </c>
      <c r="I782">
        <f t="shared" si="27"/>
        <v>28.208744710860369</v>
      </c>
      <c r="J782">
        <f t="shared" si="26"/>
        <v>28.211928003159738</v>
      </c>
      <c r="K782">
        <v>2.495625</v>
      </c>
      <c r="L782">
        <f>49*(5280/3600)</f>
        <v>71.86666666666666</v>
      </c>
      <c r="M782" s="2"/>
      <c r="N782" s="3"/>
      <c r="O782" s="2"/>
      <c r="P782" s="4"/>
    </row>
    <row r="783" spans="1:16" ht="15.6" x14ac:dyDescent="0.3">
      <c r="A783" t="s">
        <v>207</v>
      </c>
      <c r="B783">
        <v>3.77</v>
      </c>
      <c r="C783">
        <v>850</v>
      </c>
      <c r="D783" t="s">
        <v>131</v>
      </c>
      <c r="E783">
        <v>11.1</v>
      </c>
      <c r="F783">
        <v>9036</v>
      </c>
      <c r="G783">
        <v>16.11</v>
      </c>
      <c r="H783">
        <v>178.8</v>
      </c>
      <c r="I783">
        <f t="shared" si="27"/>
        <v>33.557046979865774</v>
      </c>
      <c r="J783">
        <f t="shared" si="26"/>
        <v>33.553106178804505</v>
      </c>
      <c r="K783">
        <v>2.1712500000000001</v>
      </c>
      <c r="L783">
        <f>51.3*(5280/3600)</f>
        <v>75.239999999999995</v>
      </c>
      <c r="M783" s="2"/>
      <c r="N783" s="3"/>
      <c r="O783" s="2"/>
      <c r="P783" s="4"/>
    </row>
    <row r="784" spans="1:16" ht="15.6" x14ac:dyDescent="0.3">
      <c r="A784" t="s">
        <v>207</v>
      </c>
      <c r="B784">
        <v>3.77</v>
      </c>
      <c r="C784">
        <v>850</v>
      </c>
      <c r="D784" t="s">
        <v>68</v>
      </c>
      <c r="E784">
        <v>11.1</v>
      </c>
      <c r="F784">
        <v>8341</v>
      </c>
      <c r="G784">
        <v>21.97</v>
      </c>
      <c r="H784">
        <v>243.9</v>
      </c>
      <c r="I784">
        <f t="shared" si="27"/>
        <v>24.600246002460025</v>
      </c>
      <c r="J784">
        <f t="shared" si="26"/>
        <v>24.603574899432889</v>
      </c>
      <c r="K784">
        <v>2.5175000000000001</v>
      </c>
      <c r="L784">
        <f>55.3*(5280/3600)</f>
        <v>81.106666666666655</v>
      </c>
      <c r="M784" s="2"/>
      <c r="N784" s="3"/>
      <c r="O784" s="2"/>
      <c r="P784" s="4"/>
    </row>
    <row r="785" spans="1:16" ht="15.6" x14ac:dyDescent="0.3">
      <c r="A785" t="s">
        <v>207</v>
      </c>
      <c r="B785">
        <v>3.77</v>
      </c>
      <c r="C785">
        <v>850</v>
      </c>
      <c r="D785" t="s">
        <v>69</v>
      </c>
      <c r="E785">
        <v>11.1</v>
      </c>
      <c r="F785">
        <v>8083</v>
      </c>
      <c r="G785">
        <v>24.26</v>
      </c>
      <c r="H785">
        <v>269.3</v>
      </c>
      <c r="I785">
        <f t="shared" si="27"/>
        <v>22.279985146676566</v>
      </c>
      <c r="J785">
        <f t="shared" si="26"/>
        <v>22.281143468282792</v>
      </c>
      <c r="K785">
        <v>2.4693749999999999</v>
      </c>
      <c r="L785">
        <f>61.2*(5280/3600)</f>
        <v>89.759999999999991</v>
      </c>
      <c r="M785" s="2"/>
      <c r="N785" s="3"/>
      <c r="O785" s="2"/>
      <c r="P785" s="4"/>
    </row>
    <row r="786" spans="1:16" ht="15.6" x14ac:dyDescent="0.3">
      <c r="A786" t="s">
        <v>207</v>
      </c>
      <c r="B786">
        <v>3.77</v>
      </c>
      <c r="C786">
        <v>850</v>
      </c>
      <c r="D786" t="s">
        <v>70</v>
      </c>
      <c r="E786">
        <v>11.1</v>
      </c>
      <c r="F786">
        <v>8243</v>
      </c>
      <c r="G786">
        <v>23.77</v>
      </c>
      <c r="H786">
        <v>263.89999999999998</v>
      </c>
      <c r="I786">
        <f t="shared" si="27"/>
        <v>22.735884804850325</v>
      </c>
      <c r="J786">
        <f t="shared" si="26"/>
        <v>22.740451852778317</v>
      </c>
      <c r="K786">
        <v>3.1193749999999998</v>
      </c>
      <c r="L786">
        <f>42.9*(5280/3600)</f>
        <v>62.919999999999995</v>
      </c>
      <c r="M786" s="2"/>
      <c r="N786" s="3"/>
      <c r="O786" s="2"/>
      <c r="P786" s="4"/>
    </row>
    <row r="787" spans="1:16" ht="15.6" x14ac:dyDescent="0.3">
      <c r="A787" t="s">
        <v>207</v>
      </c>
      <c r="B787">
        <v>3.77</v>
      </c>
      <c r="C787">
        <v>850</v>
      </c>
      <c r="D787" t="s">
        <v>132</v>
      </c>
      <c r="E787">
        <v>11.1</v>
      </c>
      <c r="F787">
        <v>8044</v>
      </c>
      <c r="G787">
        <v>25.45</v>
      </c>
      <c r="H787">
        <v>282.5</v>
      </c>
      <c r="I787">
        <f t="shared" si="27"/>
        <v>21.238938053097346</v>
      </c>
      <c r="J787">
        <f t="shared" si="26"/>
        <v>21.239313970158765</v>
      </c>
      <c r="K787">
        <v>3.026875</v>
      </c>
      <c r="L787">
        <f>60.9*(5280/3600)</f>
        <v>89.32</v>
      </c>
      <c r="M787" s="2"/>
      <c r="N787" s="3"/>
      <c r="O787" s="2"/>
      <c r="P787" s="4"/>
    </row>
    <row r="788" spans="1:16" ht="15.6" x14ac:dyDescent="0.3">
      <c r="A788" t="s">
        <v>207</v>
      </c>
      <c r="B788">
        <v>3.77</v>
      </c>
      <c r="C788">
        <v>850</v>
      </c>
      <c r="D788" t="s">
        <v>133</v>
      </c>
      <c r="E788">
        <v>11.1</v>
      </c>
      <c r="F788">
        <v>8955</v>
      </c>
      <c r="G788">
        <v>16.059999999999999</v>
      </c>
      <c r="H788">
        <v>178.2</v>
      </c>
      <c r="I788">
        <f t="shared" si="27"/>
        <v>33.670033670033668</v>
      </c>
      <c r="J788">
        <f t="shared" si="26"/>
        <v>33.657567904143249</v>
      </c>
      <c r="K788">
        <v>2.1231249999999999</v>
      </c>
      <c r="L788">
        <f>42.4*(5280/3600)</f>
        <v>62.18666666666666</v>
      </c>
      <c r="M788" s="2"/>
      <c r="N788" s="3"/>
      <c r="O788" s="2"/>
      <c r="P788" s="4"/>
    </row>
    <row r="789" spans="1:16" ht="15.6" x14ac:dyDescent="0.3">
      <c r="A789" t="s">
        <v>207</v>
      </c>
      <c r="B789">
        <v>3.77</v>
      </c>
      <c r="C789">
        <v>850</v>
      </c>
      <c r="D789" t="s">
        <v>134</v>
      </c>
      <c r="E789">
        <v>11.1</v>
      </c>
      <c r="F789">
        <v>8500</v>
      </c>
      <c r="G789">
        <v>20.420000000000002</v>
      </c>
      <c r="H789">
        <v>226.7</v>
      </c>
      <c r="I789">
        <f t="shared" si="27"/>
        <v>26.46669607410675</v>
      </c>
      <c r="J789">
        <f t="shared" si="26"/>
        <v>26.471133229213539</v>
      </c>
      <c r="K789">
        <v>2.1781250000000001</v>
      </c>
      <c r="L789">
        <f>48.3*(5280/3600)</f>
        <v>70.839999999999989</v>
      </c>
      <c r="M789" s="2"/>
      <c r="N789" s="3"/>
      <c r="O789" s="2"/>
      <c r="P789" s="4"/>
    </row>
    <row r="790" spans="1:16" ht="15.6" x14ac:dyDescent="0.3">
      <c r="A790" t="s">
        <v>207</v>
      </c>
      <c r="B790">
        <v>3.77</v>
      </c>
      <c r="C790">
        <v>850</v>
      </c>
      <c r="D790" t="s">
        <v>135</v>
      </c>
      <c r="E790">
        <v>11.1</v>
      </c>
      <c r="F790">
        <v>8311</v>
      </c>
      <c r="G790">
        <v>22.3</v>
      </c>
      <c r="H790">
        <v>247.6</v>
      </c>
      <c r="I790">
        <f t="shared" si="27"/>
        <v>24.232633279483039</v>
      </c>
      <c r="J790">
        <f t="shared" si="26"/>
        <v>24.239486122894192</v>
      </c>
      <c r="K790">
        <v>1.96</v>
      </c>
      <c r="L790">
        <f>55.1*(5280/3600)</f>
        <v>80.813333333333333</v>
      </c>
      <c r="M790" s="2"/>
      <c r="N790" s="3"/>
      <c r="O790" s="2"/>
      <c r="P790" s="4"/>
    </row>
    <row r="791" spans="1:16" ht="15.6" x14ac:dyDescent="0.3">
      <c r="A791" t="s">
        <v>207</v>
      </c>
      <c r="B791">
        <v>3.77</v>
      </c>
      <c r="C791">
        <v>850</v>
      </c>
      <c r="D791" t="s">
        <v>136</v>
      </c>
      <c r="E791">
        <v>11.1</v>
      </c>
      <c r="F791">
        <v>8035</v>
      </c>
      <c r="G791">
        <v>24.63</v>
      </c>
      <c r="H791">
        <v>273.39999999999998</v>
      </c>
      <c r="I791">
        <f t="shared" si="27"/>
        <v>21.945866861741042</v>
      </c>
      <c r="J791">
        <f t="shared" si="26"/>
        <v>21.94642876737883</v>
      </c>
      <c r="K791">
        <v>2.131875</v>
      </c>
      <c r="L791">
        <f>60.9*(5280/3600)</f>
        <v>89.32</v>
      </c>
      <c r="M791" s="2"/>
      <c r="N791" s="3"/>
      <c r="O791" s="2"/>
      <c r="P791" s="4"/>
    </row>
    <row r="792" spans="1:16" ht="15.6" x14ac:dyDescent="0.3">
      <c r="A792" t="s">
        <v>207</v>
      </c>
      <c r="B792">
        <v>3.77</v>
      </c>
      <c r="C792">
        <v>850</v>
      </c>
      <c r="D792" t="s">
        <v>137</v>
      </c>
      <c r="E792">
        <v>11.1</v>
      </c>
      <c r="F792">
        <v>8580</v>
      </c>
      <c r="G792">
        <v>20.62</v>
      </c>
      <c r="H792">
        <v>228.9</v>
      </c>
      <c r="I792">
        <f t="shared" si="27"/>
        <v>26.212319790301439</v>
      </c>
      <c r="J792">
        <f t="shared" si="26"/>
        <v>26.214381209531549</v>
      </c>
      <c r="K792">
        <v>2.65625</v>
      </c>
      <c r="L792">
        <f>40.6*(5280/3600)</f>
        <v>59.546666666666667</v>
      </c>
      <c r="M792" s="2"/>
      <c r="N792" s="3"/>
      <c r="O792" s="2"/>
      <c r="P792" s="4"/>
    </row>
    <row r="793" spans="1:16" ht="15.6" x14ac:dyDescent="0.3">
      <c r="A793" t="s">
        <v>207</v>
      </c>
      <c r="B793">
        <v>3.77</v>
      </c>
      <c r="C793">
        <v>850</v>
      </c>
      <c r="D793" t="s">
        <v>138</v>
      </c>
      <c r="E793">
        <v>11.1</v>
      </c>
      <c r="F793">
        <v>8241</v>
      </c>
      <c r="G793">
        <v>23.64</v>
      </c>
      <c r="H793">
        <v>262.39999999999998</v>
      </c>
      <c r="I793">
        <f t="shared" si="27"/>
        <v>22.865853658536587</v>
      </c>
      <c r="J793">
        <f t="shared" si="26"/>
        <v>22.865505099007635</v>
      </c>
      <c r="K793">
        <v>2.9362499999999998</v>
      </c>
      <c r="L793">
        <f>46.8*(5280/3600)</f>
        <v>68.639999999999986</v>
      </c>
      <c r="M793" s="2"/>
      <c r="N793" s="3"/>
      <c r="O793" s="2"/>
      <c r="P793" s="4"/>
    </row>
    <row r="794" spans="1:16" ht="15.6" x14ac:dyDescent="0.3">
      <c r="A794" t="s">
        <v>207</v>
      </c>
      <c r="B794">
        <v>3.77</v>
      </c>
      <c r="C794">
        <v>850</v>
      </c>
      <c r="D794" t="s">
        <v>139</v>
      </c>
      <c r="E794">
        <v>11.1</v>
      </c>
      <c r="F794">
        <v>8205</v>
      </c>
      <c r="G794">
        <v>23.93</v>
      </c>
      <c r="H794">
        <v>265.60000000000002</v>
      </c>
      <c r="I794">
        <f t="shared" si="27"/>
        <v>22.590361445783131</v>
      </c>
      <c r="J794">
        <f t="shared" si="26"/>
        <v>22.5884053715228</v>
      </c>
      <c r="K794">
        <v>2.9187500000000002</v>
      </c>
      <c r="L794">
        <f>54.4*(5280/3600)</f>
        <v>79.786666666666662</v>
      </c>
      <c r="M794" s="2"/>
      <c r="N794" s="3"/>
      <c r="O794" s="2"/>
      <c r="P794" s="4"/>
    </row>
    <row r="795" spans="1:16" ht="15.6" x14ac:dyDescent="0.3">
      <c r="A795" t="s">
        <v>207</v>
      </c>
      <c r="B795">
        <v>3.77</v>
      </c>
      <c r="C795">
        <v>850</v>
      </c>
      <c r="D795" t="s">
        <v>131</v>
      </c>
      <c r="E795">
        <v>11.1</v>
      </c>
      <c r="F795">
        <v>8860</v>
      </c>
      <c r="G795">
        <v>17.86</v>
      </c>
      <c r="H795">
        <v>198.2</v>
      </c>
      <c r="I795">
        <f t="shared" si="27"/>
        <v>30.272452068617557</v>
      </c>
      <c r="J795">
        <f t="shared" si="26"/>
        <v>30.265427801821978</v>
      </c>
      <c r="K795">
        <v>2.4231250000000002</v>
      </c>
      <c r="L795">
        <f>50.3*(5280/3600)</f>
        <v>73.773333333333326</v>
      </c>
      <c r="M795" s="2"/>
      <c r="N795" s="3"/>
      <c r="O795" s="2"/>
      <c r="P795" s="4"/>
    </row>
    <row r="796" spans="1:16" ht="15.6" x14ac:dyDescent="0.3">
      <c r="A796" t="s">
        <v>207</v>
      </c>
      <c r="B796">
        <v>3.77</v>
      </c>
      <c r="C796">
        <v>850</v>
      </c>
      <c r="D796" t="s">
        <v>101</v>
      </c>
      <c r="E796">
        <v>11.1</v>
      </c>
      <c r="F796">
        <v>8631</v>
      </c>
      <c r="G796">
        <v>20.11</v>
      </c>
      <c r="H796">
        <v>223.2</v>
      </c>
      <c r="I796">
        <f t="shared" si="27"/>
        <v>26.881720430107528</v>
      </c>
      <c r="J796">
        <f t="shared" si="26"/>
        <v>26.879191473920468</v>
      </c>
      <c r="K796">
        <v>2.4162499999999998</v>
      </c>
      <c r="L796">
        <f>57.2*(5280/3600)</f>
        <v>83.893333333333331</v>
      </c>
      <c r="M796" s="2"/>
      <c r="N796" s="3"/>
      <c r="O796" s="2"/>
      <c r="P796" s="4"/>
    </row>
    <row r="797" spans="1:16" ht="15.6" x14ac:dyDescent="0.3">
      <c r="A797" t="s">
        <v>207</v>
      </c>
      <c r="B797">
        <v>3.77</v>
      </c>
      <c r="C797">
        <v>850</v>
      </c>
      <c r="D797" t="s">
        <v>79</v>
      </c>
      <c r="E797">
        <v>11.1</v>
      </c>
      <c r="F797">
        <v>8818</v>
      </c>
      <c r="G797">
        <v>18.350000000000001</v>
      </c>
      <c r="H797">
        <v>203.7</v>
      </c>
      <c r="I797">
        <f t="shared" si="27"/>
        <v>29.455081001472756</v>
      </c>
      <c r="J797">
        <f t="shared" si="26"/>
        <v>29.45725016569703</v>
      </c>
      <c r="K797">
        <v>2.50875</v>
      </c>
      <c r="L797">
        <f>41.8*(5280/3600)</f>
        <v>61.306666666666658</v>
      </c>
      <c r="M797" s="2"/>
      <c r="N797" s="3"/>
      <c r="O797" s="2"/>
      <c r="P797" s="4"/>
    </row>
    <row r="798" spans="1:16" ht="15.6" x14ac:dyDescent="0.3">
      <c r="A798" t="s">
        <v>207</v>
      </c>
      <c r="B798">
        <v>3.77</v>
      </c>
      <c r="C798">
        <v>850</v>
      </c>
      <c r="D798" t="s">
        <v>80</v>
      </c>
      <c r="E798">
        <v>11.1</v>
      </c>
      <c r="F798">
        <v>8082</v>
      </c>
      <c r="G798">
        <v>25.16</v>
      </c>
      <c r="H798">
        <v>279.2</v>
      </c>
      <c r="I798">
        <f t="shared" si="27"/>
        <v>21.48997134670487</v>
      </c>
      <c r="J798">
        <f t="shared" si="26"/>
        <v>21.484123232930866</v>
      </c>
      <c r="K798">
        <v>2.9737499999999999</v>
      </c>
      <c r="L798">
        <f>53.6*(5280/3600)</f>
        <v>78.61333333333333</v>
      </c>
      <c r="M798" s="2"/>
      <c r="N798" s="3"/>
      <c r="O798" s="2"/>
      <c r="P798" s="4"/>
    </row>
    <row r="799" spans="1:16" x14ac:dyDescent="0.3">
      <c r="A799" t="s">
        <v>207</v>
      </c>
      <c r="B799">
        <v>3.77</v>
      </c>
      <c r="C799">
        <v>850</v>
      </c>
      <c r="D799" t="s">
        <v>127</v>
      </c>
      <c r="E799">
        <v>14.8</v>
      </c>
      <c r="F799">
        <v>11529</v>
      </c>
      <c r="G799">
        <v>20.010000000000002</v>
      </c>
      <c r="H799">
        <v>296.10000000000002</v>
      </c>
      <c r="I799">
        <f t="shared" si="27"/>
        <v>20.263424518743665</v>
      </c>
      <c r="J799">
        <f t="shared" si="26"/>
        <v>20.260140200170181</v>
      </c>
      <c r="K799">
        <v>2.5506250000000001</v>
      </c>
      <c r="L799">
        <f>65.5*(5280/3600)</f>
        <v>96.066666666666663</v>
      </c>
      <c r="M799" s="2"/>
      <c r="N799" s="2"/>
      <c r="O799" s="2"/>
      <c r="P799" s="2"/>
    </row>
    <row r="800" spans="1:16" x14ac:dyDescent="0.3">
      <c r="A800" t="s">
        <v>207</v>
      </c>
      <c r="B800">
        <v>3.77</v>
      </c>
      <c r="C800">
        <v>850</v>
      </c>
      <c r="D800" t="s">
        <v>128</v>
      </c>
      <c r="E800">
        <v>14.8</v>
      </c>
      <c r="F800">
        <v>11261</v>
      </c>
      <c r="G800">
        <v>24.45</v>
      </c>
      <c r="H800">
        <v>361.8</v>
      </c>
      <c r="I800">
        <f t="shared" si="27"/>
        <v>16.58374792703151</v>
      </c>
      <c r="J800">
        <f t="shared" si="26"/>
        <v>16.580998176090198</v>
      </c>
      <c r="K800">
        <v>2.39</v>
      </c>
      <c r="L800">
        <f>85.3*(5280/3600)</f>
        <v>125.10666666666665</v>
      </c>
      <c r="M800" s="2"/>
      <c r="N800" s="2"/>
      <c r="O800" s="2"/>
      <c r="P800" s="2"/>
    </row>
    <row r="801" spans="1:16" x14ac:dyDescent="0.3">
      <c r="A801" t="s">
        <v>207</v>
      </c>
      <c r="B801">
        <v>3.77</v>
      </c>
      <c r="C801">
        <v>850</v>
      </c>
      <c r="D801" t="s">
        <v>129</v>
      </c>
      <c r="E801">
        <v>14.8</v>
      </c>
      <c r="F801">
        <v>11739</v>
      </c>
      <c r="G801">
        <v>20.12</v>
      </c>
      <c r="H801">
        <v>297.8</v>
      </c>
      <c r="I801">
        <f t="shared" si="27"/>
        <v>20.147750167897918</v>
      </c>
      <c r="J801">
        <f t="shared" si="26"/>
        <v>20.149374026113588</v>
      </c>
      <c r="K801">
        <v>3.0931250000000001</v>
      </c>
      <c r="L801">
        <f>50*(5280/3600)</f>
        <v>73.333333333333329</v>
      </c>
      <c r="M801" s="2"/>
      <c r="N801" s="2"/>
      <c r="O801" s="2"/>
      <c r="P801" s="2"/>
    </row>
    <row r="802" spans="1:16" x14ac:dyDescent="0.3">
      <c r="A802" t="s">
        <v>207</v>
      </c>
      <c r="B802">
        <v>3.77</v>
      </c>
      <c r="C802">
        <v>850</v>
      </c>
      <c r="D802" t="s">
        <v>130</v>
      </c>
      <c r="E802">
        <v>14.8</v>
      </c>
      <c r="F802">
        <v>12130</v>
      </c>
      <c r="G802">
        <v>17.23</v>
      </c>
      <c r="H802">
        <v>255</v>
      </c>
      <c r="I802">
        <f t="shared" si="27"/>
        <v>23.52941176470588</v>
      </c>
      <c r="J802">
        <f t="shared" si="26"/>
        <v>23.529042681683421</v>
      </c>
      <c r="K802">
        <v>2.5818750000000001</v>
      </c>
      <c r="L802">
        <f>57.4*(5280/3600)</f>
        <v>84.186666666666653</v>
      </c>
      <c r="M802" s="2"/>
      <c r="N802" s="2"/>
      <c r="O802" s="2"/>
      <c r="P802" s="2"/>
    </row>
    <row r="803" spans="1:16" x14ac:dyDescent="0.3">
      <c r="A803" t="s">
        <v>207</v>
      </c>
      <c r="B803">
        <v>3.77</v>
      </c>
      <c r="C803">
        <v>850</v>
      </c>
      <c r="D803" t="s">
        <v>107</v>
      </c>
      <c r="E803">
        <v>14.8</v>
      </c>
      <c r="F803">
        <v>11434</v>
      </c>
      <c r="G803">
        <v>23.53</v>
      </c>
      <c r="H803">
        <v>348.2</v>
      </c>
      <c r="I803">
        <f t="shared" si="27"/>
        <v>17.23147616312464</v>
      </c>
      <c r="J803">
        <f t="shared" si="26"/>
        <v>17.229298997254794</v>
      </c>
      <c r="K803">
        <v>3.0756250000000001</v>
      </c>
      <c r="L803">
        <f>65*(5280/3600)</f>
        <v>95.333333333333329</v>
      </c>
      <c r="M803" s="2"/>
      <c r="N803" s="2"/>
      <c r="O803" s="2"/>
      <c r="P803" s="2"/>
    </row>
    <row r="804" spans="1:16" x14ac:dyDescent="0.3">
      <c r="A804" t="s">
        <v>207</v>
      </c>
      <c r="B804">
        <v>3.77</v>
      </c>
      <c r="C804">
        <v>850</v>
      </c>
      <c r="D804" t="s">
        <v>131</v>
      </c>
      <c r="E804">
        <v>14.8</v>
      </c>
      <c r="F804">
        <v>11295</v>
      </c>
      <c r="G804">
        <v>24.71</v>
      </c>
      <c r="H804">
        <v>365.6</v>
      </c>
      <c r="I804">
        <f t="shared" si="27"/>
        <v>16.411378555798684</v>
      </c>
      <c r="J804">
        <f t="shared" si="26"/>
        <v>16.406531987268529</v>
      </c>
      <c r="K804">
        <v>3.49</v>
      </c>
      <c r="L804">
        <f>64.2*(5280/3600)</f>
        <v>94.16</v>
      </c>
      <c r="M804" s="2"/>
      <c r="N804" s="2"/>
      <c r="O804" s="2"/>
      <c r="P804" s="2"/>
    </row>
    <row r="805" spans="1:16" x14ac:dyDescent="0.3">
      <c r="A805" t="s">
        <v>207</v>
      </c>
      <c r="B805">
        <v>3.77</v>
      </c>
      <c r="C805">
        <v>850</v>
      </c>
      <c r="D805" t="s">
        <v>142</v>
      </c>
      <c r="E805">
        <v>14.8</v>
      </c>
      <c r="F805">
        <v>11672</v>
      </c>
      <c r="G805">
        <v>21.43</v>
      </c>
      <c r="H805">
        <v>317.10000000000002</v>
      </c>
      <c r="I805">
        <f t="shared" si="27"/>
        <v>18.921475875118258</v>
      </c>
      <c r="J805">
        <f t="shared" si="26"/>
        <v>18.917657741736136</v>
      </c>
      <c r="K805">
        <v>2.0062500000000001</v>
      </c>
      <c r="L805">
        <f>44.2*(5280/3600)</f>
        <v>64.826666666666668</v>
      </c>
      <c r="M805" s="2"/>
      <c r="N805" s="2"/>
      <c r="O805" s="2"/>
      <c r="P805" s="2"/>
    </row>
    <row r="806" spans="1:16" x14ac:dyDescent="0.3">
      <c r="A806" t="s">
        <v>207</v>
      </c>
      <c r="B806">
        <v>3.77</v>
      </c>
      <c r="C806">
        <v>850</v>
      </c>
      <c r="D806" t="s">
        <v>130</v>
      </c>
      <c r="E806">
        <v>14.8</v>
      </c>
      <c r="F806">
        <v>11899</v>
      </c>
      <c r="G806">
        <v>19.37</v>
      </c>
      <c r="H806">
        <v>286.60000000000002</v>
      </c>
      <c r="I806">
        <f t="shared" si="27"/>
        <v>20.935101186322399</v>
      </c>
      <c r="J806">
        <f t="shared" si="26"/>
        <v>20.929551130893408</v>
      </c>
      <c r="K806">
        <v>2.9256250000000001</v>
      </c>
      <c r="L806">
        <f>56.3*(5280/3600)</f>
        <v>82.573333333333323</v>
      </c>
      <c r="M806" s="2"/>
      <c r="N806" s="2"/>
      <c r="O806" s="2"/>
      <c r="P806" s="2"/>
    </row>
    <row r="807" spans="1:16" x14ac:dyDescent="0.3">
      <c r="A807" t="s">
        <v>207</v>
      </c>
      <c r="B807">
        <v>3.77</v>
      </c>
      <c r="C807">
        <v>850</v>
      </c>
      <c r="D807" t="s">
        <v>145</v>
      </c>
      <c r="E807">
        <v>14.8</v>
      </c>
      <c r="F807">
        <v>11804</v>
      </c>
      <c r="G807">
        <v>20.309999999999999</v>
      </c>
      <c r="H807">
        <v>300.60000000000002</v>
      </c>
      <c r="I807">
        <f t="shared" si="27"/>
        <v>19.960079840319359</v>
      </c>
      <c r="J807">
        <f t="shared" si="26"/>
        <v>19.960876681703859</v>
      </c>
      <c r="K807">
        <v>2.7818749999999999</v>
      </c>
      <c r="L807">
        <f>67.1*(5280/3600)</f>
        <v>98.413333333333313</v>
      </c>
      <c r="M807" s="2"/>
      <c r="N807" s="2"/>
      <c r="O807" s="2"/>
      <c r="P807" s="2"/>
    </row>
    <row r="808" spans="1:16" x14ac:dyDescent="0.3">
      <c r="A808" t="s">
        <v>207</v>
      </c>
      <c r="B808">
        <v>3.77</v>
      </c>
      <c r="C808">
        <v>850</v>
      </c>
      <c r="D808" t="s">
        <v>148</v>
      </c>
      <c r="E808">
        <v>18.5</v>
      </c>
      <c r="F808">
        <v>15195</v>
      </c>
      <c r="G808">
        <v>17.649999999999999</v>
      </c>
      <c r="H808">
        <v>326.60000000000002</v>
      </c>
      <c r="I808">
        <f t="shared" si="27"/>
        <v>18.37109614206981</v>
      </c>
      <c r="J808">
        <f t="shared" si="26"/>
        <v>18.375315825740756</v>
      </c>
      <c r="K808">
        <v>2.316875</v>
      </c>
      <c r="L808">
        <f>71.9*(5280/3600)</f>
        <v>105.45333333333333</v>
      </c>
      <c r="M808" s="2"/>
      <c r="N808" s="2"/>
      <c r="O808" s="2"/>
      <c r="P808" s="2"/>
    </row>
    <row r="809" spans="1:16" x14ac:dyDescent="0.3">
      <c r="A809" t="s">
        <v>207</v>
      </c>
      <c r="B809">
        <v>3.77</v>
      </c>
      <c r="C809">
        <v>850</v>
      </c>
      <c r="D809" t="s">
        <v>149</v>
      </c>
      <c r="E809">
        <v>18.5</v>
      </c>
      <c r="F809">
        <v>15110</v>
      </c>
      <c r="G809">
        <v>18.39</v>
      </c>
      <c r="H809">
        <v>340.3</v>
      </c>
      <c r="I809">
        <f t="shared" si="27"/>
        <v>17.63150161622098</v>
      </c>
      <c r="J809">
        <f t="shared" si="26"/>
        <v>17.635906706053525</v>
      </c>
      <c r="K809">
        <v>2.5487500000000001</v>
      </c>
      <c r="L809">
        <f>85.9*(5280/3600)</f>
        <v>125.98666666666666</v>
      </c>
      <c r="M809" s="2"/>
      <c r="N809" s="2"/>
      <c r="O809" s="2"/>
      <c r="P809" s="2"/>
    </row>
    <row r="810" spans="1:16" x14ac:dyDescent="0.3">
      <c r="A810" t="s">
        <v>207</v>
      </c>
      <c r="B810">
        <v>3.77</v>
      </c>
      <c r="C810">
        <v>850</v>
      </c>
      <c r="D810" t="s">
        <v>125</v>
      </c>
      <c r="E810">
        <v>18.5</v>
      </c>
      <c r="F810">
        <v>14652</v>
      </c>
      <c r="G810">
        <v>22.41</v>
      </c>
      <c r="H810">
        <v>414.5</v>
      </c>
      <c r="I810">
        <f t="shared" si="27"/>
        <v>14.475271411338962</v>
      </c>
      <c r="J810">
        <f t="shared" si="26"/>
        <v>14.472303628930135</v>
      </c>
      <c r="K810">
        <v>2.4424999999999999</v>
      </c>
      <c r="L810">
        <f>97.1*(5280/3600)</f>
        <v>142.41333333333333</v>
      </c>
      <c r="M810" s="2"/>
      <c r="N810" s="2"/>
      <c r="O810" s="2"/>
      <c r="P810" s="2"/>
    </row>
    <row r="811" spans="1:16" x14ac:dyDescent="0.3">
      <c r="A811" t="s">
        <v>207</v>
      </c>
      <c r="B811">
        <v>3.77</v>
      </c>
      <c r="C811">
        <v>850</v>
      </c>
      <c r="D811" t="s">
        <v>126</v>
      </c>
      <c r="E811">
        <v>18.5</v>
      </c>
      <c r="F811">
        <v>14832</v>
      </c>
      <c r="G811">
        <v>20.84</v>
      </c>
      <c r="H811">
        <v>385.5</v>
      </c>
      <c r="I811">
        <f t="shared" si="27"/>
        <v>15.564202334630352</v>
      </c>
      <c r="J811">
        <f t="shared" si="26"/>
        <v>15.56258753955491</v>
      </c>
      <c r="K811">
        <v>3.19</v>
      </c>
      <c r="L811">
        <f>56.2*(5280/3600)</f>
        <v>82.426666666666662</v>
      </c>
      <c r="M811" s="2"/>
      <c r="N811" s="2"/>
      <c r="O811" s="2"/>
      <c r="P811" s="2"/>
    </row>
    <row r="812" spans="1:16" x14ac:dyDescent="0.3">
      <c r="A812" t="s">
        <v>207</v>
      </c>
      <c r="B812">
        <v>3.77</v>
      </c>
      <c r="C812">
        <v>850</v>
      </c>
      <c r="D812" t="s">
        <v>141</v>
      </c>
      <c r="E812">
        <v>18.5</v>
      </c>
      <c r="F812">
        <v>14859</v>
      </c>
      <c r="G812">
        <v>20.54</v>
      </c>
      <c r="H812">
        <v>380</v>
      </c>
      <c r="I812">
        <f t="shared" si="27"/>
        <v>15.789473684210526</v>
      </c>
      <c r="J812">
        <f t="shared" si="26"/>
        <v>15.789889207610727</v>
      </c>
      <c r="K812">
        <v>1.96</v>
      </c>
      <c r="L812">
        <f>84.4*(5280/3600)</f>
        <v>123.78666666666666</v>
      </c>
      <c r="M812" s="2"/>
      <c r="N812" s="2"/>
      <c r="O812" s="2"/>
      <c r="P812" s="2"/>
    </row>
    <row r="813" spans="1:16" x14ac:dyDescent="0.3">
      <c r="A813" t="s">
        <v>207</v>
      </c>
      <c r="B813">
        <v>3.77</v>
      </c>
      <c r="C813">
        <v>850</v>
      </c>
      <c r="D813" t="s">
        <v>143</v>
      </c>
      <c r="E813">
        <v>18.5</v>
      </c>
      <c r="F813">
        <v>14980</v>
      </c>
      <c r="G813">
        <v>19.53</v>
      </c>
      <c r="H813">
        <v>361.4</v>
      </c>
      <c r="I813">
        <f t="shared" si="27"/>
        <v>16.602102933038186</v>
      </c>
      <c r="J813">
        <f t="shared" si="26"/>
        <v>16.606468219371443</v>
      </c>
      <c r="K813">
        <v>3.0337499999999999</v>
      </c>
      <c r="L813">
        <f>70.9*(5280/3600)</f>
        <v>103.98666666666666</v>
      </c>
      <c r="M813" s="2"/>
      <c r="N813" s="2"/>
      <c r="O813" s="2"/>
      <c r="P813" s="2"/>
    </row>
    <row r="814" spans="1:16" x14ac:dyDescent="0.3">
      <c r="A814" t="s">
        <v>209</v>
      </c>
      <c r="B814">
        <v>4.76</v>
      </c>
      <c r="C814">
        <v>1170</v>
      </c>
      <c r="D814" t="s">
        <v>128</v>
      </c>
      <c r="E814">
        <v>11.1</v>
      </c>
      <c r="F814">
        <v>11191</v>
      </c>
      <c r="G814">
        <v>31.27</v>
      </c>
      <c r="H814">
        <v>347.1</v>
      </c>
      <c r="I814">
        <f t="shared" si="27"/>
        <v>17.286084701815035</v>
      </c>
      <c r="J814">
        <f t="shared" si="26"/>
        <v>17.28623410746852</v>
      </c>
      <c r="K814">
        <v>2.3918750000000002</v>
      </c>
      <c r="L814">
        <f>84.8*(5280/3600)</f>
        <v>124.37333333333332</v>
      </c>
      <c r="M814" s="2"/>
      <c r="N814" s="2"/>
      <c r="O814" s="2"/>
      <c r="P814" s="2"/>
    </row>
    <row r="815" spans="1:16" x14ac:dyDescent="0.3">
      <c r="A815" t="s">
        <v>209</v>
      </c>
      <c r="B815">
        <v>4.76</v>
      </c>
      <c r="C815">
        <v>1170</v>
      </c>
      <c r="D815" t="s">
        <v>104</v>
      </c>
      <c r="E815">
        <v>11.1</v>
      </c>
      <c r="F815">
        <v>10188</v>
      </c>
      <c r="G815">
        <v>43.43</v>
      </c>
      <c r="H815">
        <v>482.1</v>
      </c>
      <c r="I815">
        <f t="shared" si="27"/>
        <v>12.445550715619166</v>
      </c>
      <c r="J815">
        <f t="shared" si="26"/>
        <v>12.446247767454306</v>
      </c>
      <c r="K815">
        <v>3.0249999999999999</v>
      </c>
      <c r="L815">
        <f>72.4*(5280/3600)</f>
        <v>106.18666666666667</v>
      </c>
      <c r="M815" s="2"/>
      <c r="N815" s="2"/>
      <c r="O815" s="2"/>
      <c r="P815" s="2"/>
    </row>
    <row r="816" spans="1:16" x14ac:dyDescent="0.3">
      <c r="A816" t="s">
        <v>209</v>
      </c>
      <c r="B816">
        <v>4.76</v>
      </c>
      <c r="C816">
        <v>1170</v>
      </c>
      <c r="D816" t="s">
        <v>210</v>
      </c>
      <c r="E816">
        <v>11.1</v>
      </c>
      <c r="F816">
        <v>10198</v>
      </c>
      <c r="G816">
        <v>43.12</v>
      </c>
      <c r="H816">
        <v>478.6</v>
      </c>
      <c r="I816">
        <f t="shared" si="27"/>
        <v>12.536564981195152</v>
      </c>
      <c r="J816">
        <f t="shared" si="26"/>
        <v>12.535726821441108</v>
      </c>
      <c r="K816">
        <v>3.9681250000000001</v>
      </c>
      <c r="L816">
        <f>77.3*(5280/3600)</f>
        <v>113.37333333333332</v>
      </c>
      <c r="M816" s="2"/>
      <c r="N816" s="2"/>
      <c r="O816" s="2"/>
      <c r="P816" s="2"/>
    </row>
    <row r="817" spans="1:16" x14ac:dyDescent="0.3">
      <c r="A817" t="s">
        <v>209</v>
      </c>
      <c r="B817">
        <v>4.76</v>
      </c>
      <c r="C817">
        <v>1170</v>
      </c>
      <c r="D817" t="s">
        <v>103</v>
      </c>
      <c r="E817">
        <v>11.1</v>
      </c>
      <c r="F817">
        <v>9883</v>
      </c>
      <c r="G817">
        <v>46.97</v>
      </c>
      <c r="H817">
        <v>521.4</v>
      </c>
      <c r="I817">
        <f t="shared" si="27"/>
        <v>11.507479861910243</v>
      </c>
      <c r="J817">
        <f t="shared" si="26"/>
        <v>11.508208229519706</v>
      </c>
      <c r="K817">
        <v>2.9125000000000001</v>
      </c>
      <c r="L817">
        <f>84.2*(5280/3600)</f>
        <v>123.49333333333333</v>
      </c>
      <c r="M817" s="2"/>
      <c r="N817" s="2"/>
      <c r="O817" s="2"/>
      <c r="P817" s="2"/>
    </row>
    <row r="818" spans="1:16" x14ac:dyDescent="0.3">
      <c r="A818" t="s">
        <v>209</v>
      </c>
      <c r="B818">
        <v>4.76</v>
      </c>
      <c r="C818">
        <v>1170</v>
      </c>
      <c r="D818" t="s">
        <v>99</v>
      </c>
      <c r="E818">
        <v>11.1</v>
      </c>
      <c r="F818">
        <v>10697</v>
      </c>
      <c r="G818">
        <v>33.24</v>
      </c>
      <c r="H818">
        <v>368.9</v>
      </c>
      <c r="I818">
        <f t="shared" si="27"/>
        <v>16.26457034426674</v>
      </c>
      <c r="J818">
        <f t="shared" si="26"/>
        <v>16.261749113734673</v>
      </c>
      <c r="K818">
        <v>3.6268750000000001</v>
      </c>
      <c r="L818">
        <f>50.6*(5280/3600)</f>
        <v>74.213333333333324</v>
      </c>
      <c r="M818" s="2"/>
      <c r="N818" s="2"/>
      <c r="O818" s="2"/>
      <c r="P818" s="2"/>
    </row>
    <row r="819" spans="1:16" x14ac:dyDescent="0.3">
      <c r="A819" t="s">
        <v>209</v>
      </c>
      <c r="B819">
        <v>4.76</v>
      </c>
      <c r="C819">
        <v>1170</v>
      </c>
      <c r="D819" t="s">
        <v>67</v>
      </c>
      <c r="E819">
        <v>11.1</v>
      </c>
      <c r="F819">
        <v>10550</v>
      </c>
      <c r="G819">
        <v>38.04</v>
      </c>
      <c r="H819">
        <v>422.3</v>
      </c>
      <c r="I819">
        <f t="shared" si="27"/>
        <v>14.207909069381955</v>
      </c>
      <c r="J819">
        <f t="shared" si="26"/>
        <v>14.209793389604117</v>
      </c>
      <c r="K819">
        <v>3.8006250000000001</v>
      </c>
      <c r="L819">
        <f>59.9*(5280/3600)</f>
        <v>87.853333333333325</v>
      </c>
      <c r="M819" s="2"/>
      <c r="N819" s="2"/>
      <c r="O819" s="2"/>
      <c r="P819" s="2"/>
    </row>
    <row r="820" spans="1:16" x14ac:dyDescent="0.3">
      <c r="A820" t="s">
        <v>209</v>
      </c>
      <c r="B820">
        <v>4.76</v>
      </c>
      <c r="C820">
        <v>1170</v>
      </c>
      <c r="D820" t="s">
        <v>131</v>
      </c>
      <c r="E820">
        <v>11.1</v>
      </c>
      <c r="F820">
        <v>11195</v>
      </c>
      <c r="G820">
        <v>31.22</v>
      </c>
      <c r="H820">
        <v>346.5</v>
      </c>
      <c r="I820">
        <f t="shared" si="27"/>
        <v>17.316017316017316</v>
      </c>
      <c r="J820">
        <f t="shared" si="26"/>
        <v>17.313918659210142</v>
      </c>
      <c r="K820">
        <v>3.430625</v>
      </c>
      <c r="L820">
        <f>63.6*(5280/3600)</f>
        <v>93.28</v>
      </c>
      <c r="M820" s="2"/>
      <c r="N820" s="2"/>
      <c r="O820" s="2"/>
      <c r="P820" s="2"/>
    </row>
    <row r="821" spans="1:16" x14ac:dyDescent="0.3">
      <c r="A821" t="s">
        <v>209</v>
      </c>
      <c r="B821">
        <v>4.76</v>
      </c>
      <c r="C821">
        <v>1170</v>
      </c>
      <c r="D821" t="s">
        <v>68</v>
      </c>
      <c r="E821">
        <v>11.1</v>
      </c>
      <c r="F821">
        <v>10125</v>
      </c>
      <c r="G821">
        <v>43.45</v>
      </c>
      <c r="H821">
        <v>482.3</v>
      </c>
      <c r="I821">
        <f t="shared" si="27"/>
        <v>12.440389798880364</v>
      </c>
      <c r="J821">
        <f t="shared" si="26"/>
        <v>12.440518769632693</v>
      </c>
      <c r="K821">
        <v>3.8250000000000002</v>
      </c>
      <c r="L821">
        <f>67.1*(5280/3600)</f>
        <v>98.413333333333313</v>
      </c>
      <c r="M821" s="2"/>
      <c r="N821" s="2"/>
      <c r="O821" s="2"/>
      <c r="P821" s="2"/>
    </row>
    <row r="822" spans="1:16" x14ac:dyDescent="0.3">
      <c r="A822" t="s">
        <v>209</v>
      </c>
      <c r="B822">
        <v>4.76</v>
      </c>
      <c r="C822">
        <v>1170</v>
      </c>
      <c r="D822" t="s">
        <v>69</v>
      </c>
      <c r="E822">
        <v>11.1</v>
      </c>
      <c r="F822">
        <v>9794</v>
      </c>
      <c r="G822">
        <v>47.43</v>
      </c>
      <c r="H822">
        <v>526.5</v>
      </c>
      <c r="I822">
        <f t="shared" si="27"/>
        <v>11.396011396011398</v>
      </c>
      <c r="J822">
        <f t="shared" si="26"/>
        <v>11.396595836823542</v>
      </c>
      <c r="K822">
        <v>3.7324999999999999</v>
      </c>
      <c r="L822">
        <f>74.2*(5280/3600)</f>
        <v>108.82666666666667</v>
      </c>
      <c r="M822" s="2"/>
      <c r="N822" s="2"/>
      <c r="O822" s="2"/>
      <c r="P822" s="2"/>
    </row>
    <row r="823" spans="1:16" x14ac:dyDescent="0.3">
      <c r="A823" t="s">
        <v>209</v>
      </c>
      <c r="B823">
        <v>4.76</v>
      </c>
      <c r="C823">
        <v>1170</v>
      </c>
      <c r="D823" t="s">
        <v>70</v>
      </c>
      <c r="E823">
        <v>11.1</v>
      </c>
      <c r="F823">
        <v>9886</v>
      </c>
      <c r="G823">
        <v>46.47</v>
      </c>
      <c r="H823">
        <v>515.9</v>
      </c>
      <c r="I823">
        <f t="shared" si="27"/>
        <v>11.630160883892229</v>
      </c>
      <c r="J823">
        <f t="shared" si="26"/>
        <v>11.632032290521639</v>
      </c>
      <c r="K823">
        <v>4.7706249999999999</v>
      </c>
      <c r="L823">
        <f>51.5*(5280/3600)</f>
        <v>75.533333333333331</v>
      </c>
      <c r="M823" s="2"/>
      <c r="N823" s="2"/>
      <c r="O823" s="2"/>
      <c r="P823" s="2"/>
    </row>
    <row r="824" spans="1:16" x14ac:dyDescent="0.3">
      <c r="A824" t="s">
        <v>209</v>
      </c>
      <c r="B824">
        <v>4.76</v>
      </c>
      <c r="C824">
        <v>1170</v>
      </c>
      <c r="D824" t="s">
        <v>133</v>
      </c>
      <c r="E824">
        <v>11.1</v>
      </c>
      <c r="F824">
        <v>11194</v>
      </c>
      <c r="G824">
        <v>31.33</v>
      </c>
      <c r="H824">
        <v>347.8</v>
      </c>
      <c r="I824">
        <f t="shared" si="27"/>
        <v>17.251293847038525</v>
      </c>
      <c r="J824">
        <f t="shared" si="26"/>
        <v>17.25312928632431</v>
      </c>
      <c r="K824">
        <v>3.3574999999999999</v>
      </c>
      <c r="L824">
        <f>53*(5280/3600)</f>
        <v>77.733333333333334</v>
      </c>
      <c r="M824" s="33"/>
      <c r="N824" s="33"/>
      <c r="O824" s="33"/>
      <c r="P824" s="33"/>
    </row>
    <row r="825" spans="1:16" x14ac:dyDescent="0.3">
      <c r="A825" t="s">
        <v>209</v>
      </c>
      <c r="B825">
        <v>4.76</v>
      </c>
      <c r="C825">
        <v>1170</v>
      </c>
      <c r="D825" t="s">
        <v>134</v>
      </c>
      <c r="E825">
        <v>11.1</v>
      </c>
      <c r="F825">
        <v>10447</v>
      </c>
      <c r="G825">
        <v>40.49</v>
      </c>
      <c r="H825">
        <v>449.4</v>
      </c>
      <c r="I825">
        <f t="shared" si="27"/>
        <v>13.351134846461949</v>
      </c>
      <c r="J825">
        <f t="shared" si="26"/>
        <v>13.349976303792062</v>
      </c>
      <c r="K825">
        <v>3.21</v>
      </c>
      <c r="L825">
        <f>59.4*(5280/3600)</f>
        <v>87.11999999999999</v>
      </c>
      <c r="M825" s="33"/>
      <c r="N825" s="33"/>
      <c r="O825" s="33"/>
      <c r="P825" s="33"/>
    </row>
    <row r="826" spans="1:16" x14ac:dyDescent="0.3">
      <c r="A826" t="s">
        <v>209</v>
      </c>
      <c r="B826">
        <v>4.76</v>
      </c>
      <c r="C826">
        <v>1170</v>
      </c>
      <c r="D826" t="s">
        <v>135</v>
      </c>
      <c r="E826">
        <v>11.1</v>
      </c>
      <c r="F826">
        <v>10267</v>
      </c>
      <c r="G826">
        <v>43.09</v>
      </c>
      <c r="H826">
        <v>478.3</v>
      </c>
      <c r="I826">
        <f t="shared" si="27"/>
        <v>12.544428183148652</v>
      </c>
      <c r="J826">
        <f t="shared" si="26"/>
        <v>12.544454410316559</v>
      </c>
      <c r="K826">
        <v>3.038125</v>
      </c>
      <c r="L826">
        <f>68.1*(5280/3600)</f>
        <v>99.879999999999981</v>
      </c>
      <c r="M826" s="33"/>
      <c r="N826" s="33"/>
      <c r="O826" s="33"/>
      <c r="P826" s="33"/>
    </row>
    <row r="827" spans="1:16" x14ac:dyDescent="0.3">
      <c r="A827" t="s">
        <v>209</v>
      </c>
      <c r="B827">
        <v>4.76</v>
      </c>
      <c r="C827">
        <v>1170</v>
      </c>
      <c r="D827" t="s">
        <v>136</v>
      </c>
      <c r="E827">
        <v>11.1</v>
      </c>
      <c r="F827">
        <v>9969</v>
      </c>
      <c r="G827">
        <v>47.14</v>
      </c>
      <c r="H827">
        <v>523.29999999999995</v>
      </c>
      <c r="I827">
        <f t="shared" si="27"/>
        <v>11.465698452130709</v>
      </c>
      <c r="J827">
        <f t="shared" si="26"/>
        <v>11.466706417915583</v>
      </c>
      <c r="K827">
        <v>3.2781250000000002</v>
      </c>
      <c r="L827">
        <f>75.5*(5280/3600)</f>
        <v>110.73333333333332</v>
      </c>
      <c r="M827" s="33"/>
      <c r="N827" s="33"/>
      <c r="O827" s="33"/>
      <c r="P827" s="33"/>
    </row>
    <row r="828" spans="1:16" x14ac:dyDescent="0.3">
      <c r="A828" t="s">
        <v>209</v>
      </c>
      <c r="B828">
        <v>4.76</v>
      </c>
      <c r="C828">
        <v>1170</v>
      </c>
      <c r="D828" t="s">
        <v>137</v>
      </c>
      <c r="E828">
        <v>11.1</v>
      </c>
      <c r="F828">
        <v>10555</v>
      </c>
      <c r="G828">
        <v>39.71</v>
      </c>
      <c r="H828">
        <v>440.8</v>
      </c>
      <c r="I828">
        <f t="shared" si="27"/>
        <v>13.611615245009073</v>
      </c>
      <c r="J828">
        <f t="shared" si="26"/>
        <v>13.612201977852948</v>
      </c>
      <c r="K828">
        <v>4.1206250000000004</v>
      </c>
      <c r="L828">
        <f>50*(5280/3600)</f>
        <v>73.333333333333329</v>
      </c>
      <c r="M828" s="33"/>
      <c r="N828" s="33"/>
      <c r="O828" s="33"/>
      <c r="P828" s="33"/>
    </row>
    <row r="829" spans="1:16" x14ac:dyDescent="0.3">
      <c r="A829" t="s">
        <v>209</v>
      </c>
      <c r="B829">
        <v>4.76</v>
      </c>
      <c r="C829">
        <v>1170</v>
      </c>
      <c r="D829" t="s">
        <v>138</v>
      </c>
      <c r="E829">
        <v>11.1</v>
      </c>
      <c r="F829">
        <v>10154</v>
      </c>
      <c r="G829">
        <v>44.99</v>
      </c>
      <c r="H829">
        <v>499.3</v>
      </c>
      <c r="I829">
        <f t="shared" si="27"/>
        <v>12.016823552974163</v>
      </c>
      <c r="J829">
        <f t="shared" si="26"/>
        <v>12.014681941332308</v>
      </c>
      <c r="K829">
        <v>4.5218749999999996</v>
      </c>
      <c r="L829">
        <f>57.7*(5280/3600)</f>
        <v>84.626666666666665</v>
      </c>
      <c r="M829" s="33"/>
      <c r="N829" s="33"/>
      <c r="O829" s="33"/>
      <c r="P829" s="33"/>
    </row>
    <row r="830" spans="1:16" x14ac:dyDescent="0.3">
      <c r="A830" t="s">
        <v>209</v>
      </c>
      <c r="B830">
        <v>4.76</v>
      </c>
      <c r="C830">
        <v>1170</v>
      </c>
      <c r="D830" t="s">
        <v>139</v>
      </c>
      <c r="E830">
        <v>11.1</v>
      </c>
      <c r="F830">
        <v>10095</v>
      </c>
      <c r="G830">
        <v>45.59</v>
      </c>
      <c r="H830">
        <v>506</v>
      </c>
      <c r="I830">
        <f t="shared" si="27"/>
        <v>11.857707509881422</v>
      </c>
      <c r="J830">
        <f t="shared" si="26"/>
        <v>11.85655934504366</v>
      </c>
      <c r="K830">
        <v>4.4731249999999996</v>
      </c>
      <c r="L830">
        <f>66.9*(5280/3600)</f>
        <v>98.12</v>
      </c>
      <c r="M830" s="33"/>
      <c r="N830" s="33"/>
      <c r="O830" s="33"/>
      <c r="P830" s="33"/>
    </row>
    <row r="831" spans="1:16" x14ac:dyDescent="0.3">
      <c r="A831" t="s">
        <v>209</v>
      </c>
      <c r="B831">
        <v>4.76</v>
      </c>
      <c r="C831">
        <v>1170</v>
      </c>
      <c r="D831" t="s">
        <v>131</v>
      </c>
      <c r="E831">
        <v>11.1</v>
      </c>
      <c r="F831">
        <v>10992</v>
      </c>
      <c r="G831">
        <v>33.880000000000003</v>
      </c>
      <c r="H831">
        <v>376.1</v>
      </c>
      <c r="I831">
        <f t="shared" si="27"/>
        <v>15.953203935123636</v>
      </c>
      <c r="J831">
        <f t="shared" si="26"/>
        <v>15.954561409106864</v>
      </c>
      <c r="K831">
        <v>3.734375</v>
      </c>
      <c r="L831">
        <f>62.5*(5280/3600)</f>
        <v>91.666666666666657</v>
      </c>
      <c r="M831" s="33"/>
      <c r="N831" s="33"/>
      <c r="O831" s="33"/>
      <c r="P831" s="33"/>
    </row>
    <row r="832" spans="1:16" x14ac:dyDescent="0.3">
      <c r="A832" t="s">
        <v>209</v>
      </c>
      <c r="B832">
        <v>4.76</v>
      </c>
      <c r="C832">
        <v>1170</v>
      </c>
      <c r="D832" t="s">
        <v>101</v>
      </c>
      <c r="E832">
        <v>11.1</v>
      </c>
      <c r="F832">
        <v>10654</v>
      </c>
      <c r="G832">
        <v>38.28</v>
      </c>
      <c r="H832">
        <v>425</v>
      </c>
      <c r="I832">
        <f t="shared" si="27"/>
        <v>14.117647058823529</v>
      </c>
      <c r="J832">
        <f t="shared" si="26"/>
        <v>14.120703775876191</v>
      </c>
      <c r="K832">
        <v>3.756875</v>
      </c>
      <c r="L832">
        <f>70.6*(5280/3600)</f>
        <v>103.54666666666665</v>
      </c>
      <c r="M832" s="33"/>
      <c r="N832" s="33"/>
      <c r="O832" s="33"/>
      <c r="P832" s="33"/>
    </row>
    <row r="833" spans="1:16" x14ac:dyDescent="0.3">
      <c r="A833" t="s">
        <v>209</v>
      </c>
      <c r="B833">
        <v>4.76</v>
      </c>
      <c r="C833">
        <v>1170</v>
      </c>
      <c r="D833" t="s">
        <v>79</v>
      </c>
      <c r="E833">
        <v>11.1</v>
      </c>
      <c r="F833">
        <v>10881</v>
      </c>
      <c r="G833">
        <v>35.340000000000003</v>
      </c>
      <c r="H833">
        <v>392.3</v>
      </c>
      <c r="I833">
        <f t="shared" si="27"/>
        <v>15.294417537598777</v>
      </c>
      <c r="J833">
        <f t="shared" si="26"/>
        <v>15.295431254684225</v>
      </c>
      <c r="K833">
        <v>3.94625</v>
      </c>
      <c r="L833">
        <f>51.5*(5280/3600)</f>
        <v>75.533333333333331</v>
      </c>
      <c r="M833" s="33"/>
      <c r="N833" s="33"/>
      <c r="O833" s="33"/>
      <c r="P833" s="33"/>
    </row>
    <row r="834" spans="1:16" x14ac:dyDescent="0.3">
      <c r="A834" t="s">
        <v>209</v>
      </c>
      <c r="B834">
        <v>4.76</v>
      </c>
      <c r="C834">
        <v>1170</v>
      </c>
      <c r="D834" t="s">
        <v>80</v>
      </c>
      <c r="E834">
        <v>11.1</v>
      </c>
      <c r="F834">
        <v>9892</v>
      </c>
      <c r="G834">
        <v>47.64</v>
      </c>
      <c r="H834">
        <v>528.79999999999995</v>
      </c>
      <c r="I834">
        <f t="shared" si="27"/>
        <v>11.346444780635402</v>
      </c>
      <c r="J834">
        <f t="shared" si="26"/>
        <v>11.346358953411851</v>
      </c>
      <c r="K834">
        <v>4.5724999999999998</v>
      </c>
      <c r="L834">
        <f>65.6*(5280/3600)</f>
        <v>96.213333333333324</v>
      </c>
      <c r="M834" s="33"/>
      <c r="N834" s="33"/>
      <c r="O834" s="33"/>
      <c r="P834" s="33"/>
    </row>
    <row r="835" spans="1:16" x14ac:dyDescent="0.3">
      <c r="A835" t="s">
        <v>209</v>
      </c>
      <c r="B835">
        <v>4.76</v>
      </c>
      <c r="C835">
        <v>1170</v>
      </c>
      <c r="D835" t="s">
        <v>125</v>
      </c>
      <c r="E835">
        <v>14.8</v>
      </c>
      <c r="F835">
        <v>15219</v>
      </c>
      <c r="G835">
        <v>32.549999999999997</v>
      </c>
      <c r="H835">
        <v>481.7</v>
      </c>
      <c r="I835">
        <f t="shared" si="27"/>
        <v>12.455885405854266</v>
      </c>
      <c r="J835">
        <f t="shared" ref="J835:J898" si="28">( ($N$1/E835)/G835)*60</f>
        <v>12.454851164528582</v>
      </c>
      <c r="K835">
        <v>2.6850000000000001</v>
      </c>
      <c r="L835">
        <f>100.9*(5280/3600)</f>
        <v>147.98666666666665</v>
      </c>
      <c r="M835" s="33"/>
      <c r="N835" s="33"/>
      <c r="O835" s="33"/>
      <c r="P835" s="33"/>
    </row>
    <row r="836" spans="1:16" x14ac:dyDescent="0.3">
      <c r="A836" t="s">
        <v>209</v>
      </c>
      <c r="B836">
        <v>4.76</v>
      </c>
      <c r="C836">
        <v>1170</v>
      </c>
      <c r="D836" t="s">
        <v>126</v>
      </c>
      <c r="E836">
        <v>14.8</v>
      </c>
      <c r="F836">
        <v>15400</v>
      </c>
      <c r="G836">
        <v>30.44</v>
      </c>
      <c r="H836">
        <v>450.6</v>
      </c>
      <c r="I836">
        <f t="shared" ref="I836:I899" si="29" xml:space="preserve"> ($N$1/H836)*60</f>
        <v>13.315579227696404</v>
      </c>
      <c r="J836">
        <f t="shared" si="28"/>
        <v>13.318180203856944</v>
      </c>
      <c r="K836">
        <v>3.4812500000000002</v>
      </c>
      <c r="L836">
        <f>58.3*(5280/3600)</f>
        <v>85.506666666666661</v>
      </c>
      <c r="M836" s="33"/>
      <c r="N836" s="33"/>
      <c r="O836" s="33"/>
      <c r="P836" s="33"/>
    </row>
    <row r="837" spans="1:16" x14ac:dyDescent="0.3">
      <c r="A837" t="s">
        <v>209</v>
      </c>
      <c r="B837">
        <v>4.76</v>
      </c>
      <c r="C837">
        <v>1170</v>
      </c>
      <c r="D837" t="s">
        <v>127</v>
      </c>
      <c r="E837">
        <v>14.8</v>
      </c>
      <c r="F837">
        <v>14444</v>
      </c>
      <c r="G837">
        <v>42.12</v>
      </c>
      <c r="H837">
        <v>623.29999999999995</v>
      </c>
      <c r="I837">
        <f t="shared" si="29"/>
        <v>9.6261832183539227</v>
      </c>
      <c r="J837">
        <f t="shared" si="28"/>
        <v>9.6250096250096249</v>
      </c>
      <c r="K837">
        <v>3.94625</v>
      </c>
      <c r="L837">
        <f>82.1*(5280/3600)</f>
        <v>120.41333333333331</v>
      </c>
      <c r="M837" s="33"/>
      <c r="N837" s="33"/>
      <c r="O837" s="33"/>
      <c r="P837" s="33"/>
    </row>
    <row r="838" spans="1:16" x14ac:dyDescent="0.3">
      <c r="A838" t="s">
        <v>209</v>
      </c>
      <c r="B838">
        <v>4.76</v>
      </c>
      <c r="C838">
        <v>1170</v>
      </c>
      <c r="D838" t="s">
        <v>129</v>
      </c>
      <c r="E838">
        <v>14.8</v>
      </c>
      <c r="F838">
        <v>14425</v>
      </c>
      <c r="G838">
        <v>42.3</v>
      </c>
      <c r="H838">
        <v>626</v>
      </c>
      <c r="I838">
        <f t="shared" si="29"/>
        <v>9.5846645367412133</v>
      </c>
      <c r="J838">
        <f t="shared" si="28"/>
        <v>9.584052137243626</v>
      </c>
      <c r="K838">
        <v>5.0025000000000004</v>
      </c>
      <c r="L838">
        <f>61.5*(5280/3600)</f>
        <v>90.199999999999989</v>
      </c>
      <c r="M838" s="33"/>
      <c r="N838" s="33"/>
      <c r="O838" s="33"/>
      <c r="P838" s="33"/>
    </row>
    <row r="839" spans="1:16" x14ac:dyDescent="0.3">
      <c r="A839" t="s">
        <v>209</v>
      </c>
      <c r="B839">
        <v>4.76</v>
      </c>
      <c r="C839">
        <v>1170</v>
      </c>
      <c r="D839" t="s">
        <v>107</v>
      </c>
      <c r="E839">
        <v>14.8</v>
      </c>
      <c r="F839">
        <v>13891</v>
      </c>
      <c r="G839">
        <v>47.91</v>
      </c>
      <c r="H839">
        <v>709.1</v>
      </c>
      <c r="I839">
        <f t="shared" si="29"/>
        <v>8.4614299816669014</v>
      </c>
      <c r="J839">
        <f t="shared" si="28"/>
        <v>8.461811843151855</v>
      </c>
      <c r="K839">
        <v>4.6362500000000004</v>
      </c>
      <c r="L839">
        <f>78.9*(5280/3600)</f>
        <v>115.72</v>
      </c>
      <c r="M839" s="33"/>
      <c r="N839" s="33"/>
      <c r="O839" s="33"/>
      <c r="P839" s="33"/>
    </row>
    <row r="840" spans="1:16" x14ac:dyDescent="0.3">
      <c r="A840" t="s">
        <v>209</v>
      </c>
      <c r="B840">
        <v>4.76</v>
      </c>
      <c r="C840">
        <v>1170</v>
      </c>
      <c r="D840" t="s">
        <v>130</v>
      </c>
      <c r="E840">
        <v>14.8</v>
      </c>
      <c r="F840">
        <v>14835</v>
      </c>
      <c r="G840">
        <v>37.25</v>
      </c>
      <c r="H840">
        <v>551.4</v>
      </c>
      <c r="I840">
        <f t="shared" si="29"/>
        <v>10.881392818280741</v>
      </c>
      <c r="J840">
        <f t="shared" si="28"/>
        <v>10.883366588064574</v>
      </c>
      <c r="K840">
        <v>4.5393749999999997</v>
      </c>
      <c r="L840">
        <f>70.2*(5280/3600)</f>
        <v>102.96</v>
      </c>
      <c r="M840" s="33"/>
      <c r="N840" s="33"/>
      <c r="O840" s="33"/>
      <c r="P840" s="33"/>
    </row>
    <row r="841" spans="1:16" x14ac:dyDescent="0.3">
      <c r="A841" t="s">
        <v>209</v>
      </c>
      <c r="B841">
        <v>4.76</v>
      </c>
      <c r="C841">
        <v>1170</v>
      </c>
      <c r="D841" t="s">
        <v>145</v>
      </c>
      <c r="E841">
        <v>14.8</v>
      </c>
      <c r="F841">
        <v>14624</v>
      </c>
      <c r="G841">
        <v>39.979999999999997</v>
      </c>
      <c r="H841">
        <v>591.6</v>
      </c>
      <c r="I841">
        <f t="shared" si="29"/>
        <v>10.141987829614605</v>
      </c>
      <c r="J841">
        <f t="shared" si="28"/>
        <v>10.140205237754012</v>
      </c>
      <c r="K841">
        <v>4.4243750000000004</v>
      </c>
      <c r="L841">
        <f>83.1*(5280/3600)</f>
        <v>121.87999999999998</v>
      </c>
      <c r="M841" s="33"/>
      <c r="N841" s="33"/>
      <c r="O841" s="33"/>
      <c r="P841" s="33"/>
    </row>
    <row r="842" spans="1:16" x14ac:dyDescent="0.3">
      <c r="A842" t="s">
        <v>209</v>
      </c>
      <c r="B842">
        <v>4.76</v>
      </c>
      <c r="C842">
        <v>1170</v>
      </c>
      <c r="D842" t="s">
        <v>146</v>
      </c>
      <c r="E842">
        <v>18.5</v>
      </c>
      <c r="F842">
        <v>19364</v>
      </c>
      <c r="G842">
        <v>32.08</v>
      </c>
      <c r="H842">
        <v>593.5</v>
      </c>
      <c r="I842">
        <f t="shared" si="29"/>
        <v>10.109519797809604</v>
      </c>
      <c r="J842">
        <f t="shared" si="28"/>
        <v>10.109860483925322</v>
      </c>
      <c r="K842">
        <v>3.7806250000000001</v>
      </c>
      <c r="L842">
        <f>73.3*(5280/3600)</f>
        <v>107.50666666666666</v>
      </c>
      <c r="M842" s="33"/>
      <c r="N842" s="33"/>
      <c r="O842" s="33"/>
      <c r="P842" s="33"/>
    </row>
    <row r="843" spans="1:16" x14ac:dyDescent="0.3">
      <c r="A843" t="s">
        <v>209</v>
      </c>
      <c r="B843">
        <v>4.76</v>
      </c>
      <c r="C843">
        <v>1170</v>
      </c>
      <c r="D843" t="s">
        <v>148</v>
      </c>
      <c r="E843">
        <v>18.5</v>
      </c>
      <c r="F843">
        <v>18796</v>
      </c>
      <c r="G843">
        <v>38.479999999999997</v>
      </c>
      <c r="H843">
        <v>711.8</v>
      </c>
      <c r="I843">
        <f t="shared" si="29"/>
        <v>8.4293340826074736</v>
      </c>
      <c r="J843">
        <f t="shared" si="28"/>
        <v>8.4283868067651859</v>
      </c>
      <c r="K843">
        <v>3.6818749999999998</v>
      </c>
      <c r="L843">
        <f>89*(5280/3600)</f>
        <v>130.53333333333333</v>
      </c>
      <c r="M843" s="33"/>
      <c r="N843" s="33"/>
      <c r="O843" s="33"/>
      <c r="P843" s="33"/>
    </row>
    <row r="844" spans="1:16" x14ac:dyDescent="0.3">
      <c r="A844" t="s">
        <v>209</v>
      </c>
      <c r="B844">
        <v>4.76</v>
      </c>
      <c r="C844">
        <v>1170</v>
      </c>
      <c r="D844" t="s">
        <v>149</v>
      </c>
      <c r="E844">
        <v>18.5</v>
      </c>
      <c r="F844">
        <v>18684</v>
      </c>
      <c r="G844">
        <v>39.68</v>
      </c>
      <c r="H844">
        <v>734.1</v>
      </c>
      <c r="I844">
        <f t="shared" si="29"/>
        <v>8.1732733959950963</v>
      </c>
      <c r="J844">
        <f t="shared" si="28"/>
        <v>8.1734960767218841</v>
      </c>
      <c r="K844">
        <v>3.913125</v>
      </c>
      <c r="L844">
        <f>106.2*(5280/3600)</f>
        <v>155.76</v>
      </c>
      <c r="M844" s="33"/>
      <c r="N844" s="33"/>
      <c r="O844" s="33"/>
      <c r="P844" s="33"/>
    </row>
    <row r="845" spans="1:16" x14ac:dyDescent="0.3">
      <c r="A845" t="s">
        <v>209</v>
      </c>
      <c r="B845">
        <v>4.76</v>
      </c>
      <c r="C845">
        <v>1170</v>
      </c>
      <c r="D845" t="s">
        <v>125</v>
      </c>
      <c r="E845">
        <v>18.5</v>
      </c>
      <c r="F845">
        <v>18009</v>
      </c>
      <c r="G845">
        <v>47.39</v>
      </c>
      <c r="H845">
        <v>876.7</v>
      </c>
      <c r="I845">
        <f t="shared" si="29"/>
        <v>6.8438462415877721</v>
      </c>
      <c r="J845">
        <f t="shared" si="28"/>
        <v>6.843729148012752</v>
      </c>
      <c r="K845">
        <v>3.7324999999999999</v>
      </c>
      <c r="L845">
        <f>119.4*(5280/3600)</f>
        <v>175.12</v>
      </c>
      <c r="M845" s="33"/>
      <c r="N845" s="33"/>
      <c r="O845" s="33"/>
      <c r="P845" s="33"/>
    </row>
    <row r="846" spans="1:16" x14ac:dyDescent="0.3">
      <c r="A846" t="s">
        <v>209</v>
      </c>
      <c r="B846">
        <v>4.76</v>
      </c>
      <c r="C846">
        <v>1170</v>
      </c>
      <c r="D846" t="s">
        <v>126</v>
      </c>
      <c r="E846">
        <v>18.5</v>
      </c>
      <c r="F846">
        <v>18188</v>
      </c>
      <c r="G846">
        <v>45.35</v>
      </c>
      <c r="H846">
        <v>839</v>
      </c>
      <c r="I846">
        <f t="shared" si="29"/>
        <v>7.1513706793802152</v>
      </c>
      <c r="J846">
        <f t="shared" si="28"/>
        <v>7.1515837778241309</v>
      </c>
      <c r="K846">
        <v>4.84375</v>
      </c>
      <c r="L846">
        <f>68.9*(5280/3600)</f>
        <v>101.05333333333333</v>
      </c>
      <c r="M846" s="33"/>
      <c r="N846" s="33"/>
      <c r="O846" s="33"/>
      <c r="P846" s="33"/>
    </row>
    <row r="847" spans="1:16" x14ac:dyDescent="0.3">
      <c r="A847" t="s">
        <v>209</v>
      </c>
      <c r="B847">
        <v>4.76</v>
      </c>
      <c r="C847">
        <v>1170</v>
      </c>
      <c r="D847" t="s">
        <v>152</v>
      </c>
      <c r="E847">
        <v>22.2</v>
      </c>
      <c r="F847">
        <v>23585</v>
      </c>
      <c r="G847">
        <v>32.549999999999997</v>
      </c>
      <c r="H847">
        <v>722.7</v>
      </c>
      <c r="I847">
        <f t="shared" si="29"/>
        <v>8.3022000830220009</v>
      </c>
      <c r="J847">
        <f t="shared" si="28"/>
        <v>8.3032341096857234</v>
      </c>
      <c r="K847">
        <v>2.9831249999999998</v>
      </c>
      <c r="L847">
        <f>134*(5280/3600)</f>
        <v>196.53333333333333</v>
      </c>
      <c r="M847" s="33"/>
      <c r="N847" s="33"/>
      <c r="O847" s="33"/>
      <c r="P847" s="33"/>
    </row>
    <row r="848" spans="1:16" x14ac:dyDescent="0.3">
      <c r="A848" t="s">
        <v>209</v>
      </c>
      <c r="B848">
        <v>4.76</v>
      </c>
      <c r="C848">
        <v>1170</v>
      </c>
      <c r="D848" t="s">
        <v>162</v>
      </c>
      <c r="E848">
        <v>22.2</v>
      </c>
      <c r="F848">
        <v>23712</v>
      </c>
      <c r="G848">
        <v>30.9</v>
      </c>
      <c r="H848">
        <v>686</v>
      </c>
      <c r="I848">
        <f t="shared" si="29"/>
        <v>8.7463556851311957</v>
      </c>
      <c r="J848">
        <f t="shared" si="28"/>
        <v>8.7466106883582615</v>
      </c>
      <c r="K848">
        <v>3.17</v>
      </c>
      <c r="L848">
        <f>112.3*(5280/3600)</f>
        <v>164.70666666666665</v>
      </c>
      <c r="M848" s="33"/>
      <c r="N848" s="33"/>
      <c r="O848" s="33"/>
      <c r="P848" s="33"/>
    </row>
    <row r="849" spans="1:16" x14ac:dyDescent="0.3">
      <c r="A849" t="s">
        <v>209</v>
      </c>
      <c r="B849">
        <v>4.76</v>
      </c>
      <c r="C849">
        <v>1170</v>
      </c>
      <c r="D849" t="s">
        <v>163</v>
      </c>
      <c r="E849">
        <v>22.2</v>
      </c>
      <c r="F849">
        <v>23560</v>
      </c>
      <c r="G849">
        <v>33</v>
      </c>
      <c r="H849">
        <v>732.6</v>
      </c>
      <c r="I849">
        <f t="shared" si="29"/>
        <v>8.1900081900081911</v>
      </c>
      <c r="J849">
        <f t="shared" si="28"/>
        <v>8.1900081900081911</v>
      </c>
      <c r="K849">
        <v>3.214375</v>
      </c>
      <c r="L849">
        <f>122.7*(5280/3600)</f>
        <v>179.95999999999998</v>
      </c>
      <c r="M849" s="33"/>
      <c r="N849" s="33"/>
      <c r="O849" s="33"/>
      <c r="P849" s="33"/>
    </row>
    <row r="850" spans="1:16" x14ac:dyDescent="0.3">
      <c r="A850" t="s">
        <v>209</v>
      </c>
      <c r="B850">
        <v>4.76</v>
      </c>
      <c r="C850">
        <v>1170</v>
      </c>
      <c r="D850" t="s">
        <v>164</v>
      </c>
      <c r="E850">
        <v>22.2</v>
      </c>
      <c r="F850">
        <v>23228</v>
      </c>
      <c r="G850">
        <v>36.61</v>
      </c>
      <c r="H850">
        <v>812.8</v>
      </c>
      <c r="I850">
        <f t="shared" si="29"/>
        <v>7.3818897637795278</v>
      </c>
      <c r="J850">
        <f t="shared" si="28"/>
        <v>7.3824165602368286</v>
      </c>
      <c r="K850">
        <v>3.23</v>
      </c>
      <c r="L850">
        <f>132*(5280/3600)</f>
        <v>193.6</v>
      </c>
      <c r="M850" s="33"/>
      <c r="N850" s="33"/>
      <c r="O850" s="33"/>
      <c r="P850" s="33"/>
    </row>
    <row r="851" spans="1:16" x14ac:dyDescent="0.3">
      <c r="A851" t="s">
        <v>209</v>
      </c>
      <c r="B851">
        <v>4.76</v>
      </c>
      <c r="C851">
        <v>1170</v>
      </c>
      <c r="D851" t="s">
        <v>165</v>
      </c>
      <c r="E851">
        <v>22.2</v>
      </c>
      <c r="F851">
        <v>23022</v>
      </c>
      <c r="G851">
        <v>38.659999999999997</v>
      </c>
      <c r="H851">
        <v>858.2</v>
      </c>
      <c r="I851">
        <f t="shared" si="29"/>
        <v>6.9913773013283613</v>
      </c>
      <c r="J851">
        <f t="shared" si="28"/>
        <v>6.9909537059045608</v>
      </c>
      <c r="K851">
        <v>3.1087500000000001</v>
      </c>
      <c r="L851">
        <f>141.7*(5280/3600)</f>
        <v>207.82666666666663</v>
      </c>
      <c r="M851" s="33"/>
      <c r="N851" s="33"/>
      <c r="O851" s="33"/>
      <c r="P851" s="33"/>
    </row>
    <row r="852" spans="1:16" x14ac:dyDescent="0.3">
      <c r="A852" t="s">
        <v>209</v>
      </c>
      <c r="B852">
        <v>4.76</v>
      </c>
      <c r="C852">
        <v>1170</v>
      </c>
      <c r="D852" t="s">
        <v>146</v>
      </c>
      <c r="E852">
        <v>22.2</v>
      </c>
      <c r="F852">
        <v>22229</v>
      </c>
      <c r="G852">
        <v>46.18</v>
      </c>
      <c r="H852">
        <v>1025.2</v>
      </c>
      <c r="I852">
        <f t="shared" si="29"/>
        <v>5.8525165821303151</v>
      </c>
      <c r="J852">
        <f t="shared" si="28"/>
        <v>5.8525394168529727</v>
      </c>
      <c r="K852">
        <v>5.0025000000000004</v>
      </c>
      <c r="L852">
        <f>84.2*(5280/3600)</f>
        <v>123.49333333333333</v>
      </c>
      <c r="M852" s="33"/>
      <c r="N852" s="33"/>
      <c r="O852" s="33"/>
      <c r="P852" s="33"/>
    </row>
    <row r="853" spans="1:16" x14ac:dyDescent="0.3">
      <c r="A853" t="s">
        <v>209</v>
      </c>
      <c r="B853">
        <v>4.76</v>
      </c>
      <c r="C853">
        <v>1170</v>
      </c>
      <c r="D853" t="s">
        <v>144</v>
      </c>
      <c r="E853">
        <v>22.2</v>
      </c>
      <c r="F853">
        <v>22850</v>
      </c>
      <c r="G853">
        <v>40.49</v>
      </c>
      <c r="H853">
        <v>898.8</v>
      </c>
      <c r="I853">
        <f t="shared" si="29"/>
        <v>6.6755674232309747</v>
      </c>
      <c r="J853">
        <f t="shared" si="28"/>
        <v>6.6749881518960308</v>
      </c>
      <c r="K853">
        <v>4.631875</v>
      </c>
      <c r="L853">
        <f>86.6*(5280/3600)</f>
        <v>127.01333333333332</v>
      </c>
    </row>
    <row r="854" spans="1:16" x14ac:dyDescent="0.3">
      <c r="A854" t="s">
        <v>212</v>
      </c>
      <c r="B854">
        <v>4.83</v>
      </c>
      <c r="C854">
        <v>1460</v>
      </c>
      <c r="D854" t="s">
        <v>127</v>
      </c>
      <c r="E854">
        <v>11.1</v>
      </c>
      <c r="F854">
        <v>13209</v>
      </c>
      <c r="G854">
        <v>41.51</v>
      </c>
      <c r="H854">
        <v>460.8</v>
      </c>
      <c r="I854">
        <f t="shared" si="29"/>
        <v>13.020833333333334</v>
      </c>
      <c r="J854">
        <f t="shared" si="28"/>
        <v>13.021935450265973</v>
      </c>
      <c r="K854">
        <v>3.32</v>
      </c>
      <c r="L854">
        <f>75.1*(5280/3600)</f>
        <v>110.14666666666665</v>
      </c>
      <c r="M854" s="33"/>
      <c r="N854" s="33"/>
      <c r="O854" s="33"/>
      <c r="P854" s="33"/>
    </row>
    <row r="855" spans="1:16" x14ac:dyDescent="0.3">
      <c r="A855" t="s">
        <v>212</v>
      </c>
      <c r="B855">
        <v>4.83</v>
      </c>
      <c r="C855">
        <v>1460</v>
      </c>
      <c r="D855" t="s">
        <v>128</v>
      </c>
      <c r="E855">
        <v>11.1</v>
      </c>
      <c r="F855">
        <v>12639</v>
      </c>
      <c r="G855">
        <v>49.64</v>
      </c>
      <c r="H855">
        <v>550.9</v>
      </c>
      <c r="I855">
        <f t="shared" si="29"/>
        <v>10.891268832819025</v>
      </c>
      <c r="J855">
        <f t="shared" si="28"/>
        <v>10.889213145458109</v>
      </c>
      <c r="K855">
        <v>3.1237499999999998</v>
      </c>
      <c r="L855">
        <f>95.8*(5280/3600)</f>
        <v>140.50666666666666</v>
      </c>
      <c r="M855" s="33"/>
      <c r="N855" s="33"/>
      <c r="O855" s="33"/>
      <c r="P855" s="33"/>
    </row>
    <row r="856" spans="1:16" x14ac:dyDescent="0.3">
      <c r="A856" t="s">
        <v>212</v>
      </c>
      <c r="B856">
        <v>4.83</v>
      </c>
      <c r="C856">
        <v>1460</v>
      </c>
      <c r="D856" t="s">
        <v>129</v>
      </c>
      <c r="E856">
        <v>11.1</v>
      </c>
      <c r="F856">
        <v>13225</v>
      </c>
      <c r="G856">
        <v>41.57</v>
      </c>
      <c r="H856">
        <v>461.4</v>
      </c>
      <c r="I856">
        <f t="shared" si="29"/>
        <v>13.003901170351105</v>
      </c>
      <c r="J856">
        <f t="shared" si="28"/>
        <v>13.003140258372397</v>
      </c>
      <c r="K856">
        <v>4.1268750000000001</v>
      </c>
      <c r="L856">
        <f>56.4*(5280/3600)</f>
        <v>82.72</v>
      </c>
      <c r="M856" s="33"/>
      <c r="N856" s="33"/>
      <c r="O856" s="33"/>
      <c r="P856" s="33"/>
    </row>
    <row r="857" spans="1:16" x14ac:dyDescent="0.3">
      <c r="A857" t="s">
        <v>212</v>
      </c>
      <c r="B857">
        <v>4.83</v>
      </c>
      <c r="C857">
        <v>1460</v>
      </c>
      <c r="D857" t="s">
        <v>107</v>
      </c>
      <c r="E857">
        <v>11.1</v>
      </c>
      <c r="F857">
        <v>12775</v>
      </c>
      <c r="G857">
        <v>47.94</v>
      </c>
      <c r="H857">
        <v>532.1</v>
      </c>
      <c r="I857">
        <f t="shared" si="29"/>
        <v>11.276075925577899</v>
      </c>
      <c r="J857">
        <f t="shared" si="28"/>
        <v>11.275355455580739</v>
      </c>
      <c r="K857">
        <v>3.9768750000000002</v>
      </c>
      <c r="L857">
        <f>72.6*(5280/3600)</f>
        <v>106.47999999999999</v>
      </c>
      <c r="M857" s="33"/>
      <c r="N857" s="33"/>
      <c r="O857" s="33"/>
      <c r="P857" s="33"/>
    </row>
    <row r="858" spans="1:16" x14ac:dyDescent="0.3">
      <c r="A858" t="s">
        <v>212</v>
      </c>
      <c r="B858">
        <v>4.83</v>
      </c>
      <c r="C858">
        <v>1460</v>
      </c>
      <c r="D858" t="s">
        <v>99</v>
      </c>
      <c r="E858">
        <v>11.1</v>
      </c>
      <c r="F858">
        <v>12183</v>
      </c>
      <c r="G858">
        <v>55.27</v>
      </c>
      <c r="H858">
        <v>613.5</v>
      </c>
      <c r="I858">
        <f t="shared" si="29"/>
        <v>9.7799511002444994</v>
      </c>
      <c r="J858">
        <f t="shared" si="28"/>
        <v>9.7799989242001182</v>
      </c>
      <c r="K858">
        <v>4.7443749999999998</v>
      </c>
      <c r="L858">
        <f>57.7*(5280/3600)</f>
        <v>84.626666666666665</v>
      </c>
      <c r="M858" s="33"/>
      <c r="N858" s="33"/>
      <c r="O858" s="33"/>
      <c r="P858" s="33"/>
    </row>
    <row r="859" spans="1:16" x14ac:dyDescent="0.3">
      <c r="A859" t="s">
        <v>212</v>
      </c>
      <c r="B859">
        <v>4.83</v>
      </c>
      <c r="C859">
        <v>1460</v>
      </c>
      <c r="D859" t="s">
        <v>133</v>
      </c>
      <c r="E859">
        <v>11.1</v>
      </c>
      <c r="F859">
        <v>12681</v>
      </c>
      <c r="G859">
        <v>48.71</v>
      </c>
      <c r="H859">
        <v>540.70000000000005</v>
      </c>
      <c r="I859">
        <f t="shared" si="29"/>
        <v>11.096726465692619</v>
      </c>
      <c r="J859">
        <f t="shared" si="28"/>
        <v>11.097116414299744</v>
      </c>
      <c r="K859">
        <v>4.3606249999999998</v>
      </c>
      <c r="L859">
        <f>60*(5280/3600)</f>
        <v>88</v>
      </c>
      <c r="M859" s="33"/>
      <c r="N859" s="33"/>
      <c r="O859" s="33"/>
      <c r="P859" s="33"/>
    </row>
    <row r="860" spans="1:16" x14ac:dyDescent="0.3">
      <c r="A860" t="s">
        <v>212</v>
      </c>
      <c r="B860">
        <v>4.83</v>
      </c>
      <c r="C860">
        <v>1460</v>
      </c>
      <c r="D860" t="s">
        <v>142</v>
      </c>
      <c r="E860">
        <v>11.1</v>
      </c>
      <c r="F860">
        <v>13071</v>
      </c>
      <c r="G860">
        <v>37.79</v>
      </c>
      <c r="H860">
        <v>419.4</v>
      </c>
      <c r="I860">
        <f t="shared" si="29"/>
        <v>14.306151645207439</v>
      </c>
      <c r="J860">
        <f t="shared" si="28"/>
        <v>14.303798373658125</v>
      </c>
      <c r="K860">
        <v>2.8243749999999999</v>
      </c>
      <c r="L860">
        <f>49.5*(5280/3600)</f>
        <v>72.599999999999994</v>
      </c>
      <c r="M860" s="33"/>
      <c r="N860" s="33"/>
      <c r="O860" s="33"/>
      <c r="P860" s="33"/>
    </row>
    <row r="861" spans="1:16" x14ac:dyDescent="0.3">
      <c r="A861" t="s">
        <v>212</v>
      </c>
      <c r="B861">
        <v>4.83</v>
      </c>
      <c r="C861">
        <v>1460</v>
      </c>
      <c r="D861" t="s">
        <v>130</v>
      </c>
      <c r="E861">
        <v>11.1</v>
      </c>
      <c r="F861">
        <v>13121</v>
      </c>
      <c r="G861">
        <v>36.01</v>
      </c>
      <c r="H861">
        <v>399.7</v>
      </c>
      <c r="I861">
        <f t="shared" si="29"/>
        <v>15.011258443832876</v>
      </c>
      <c r="J861">
        <f t="shared" si="28"/>
        <v>15.010845335755084</v>
      </c>
      <c r="K861">
        <v>3.57375</v>
      </c>
      <c r="L861">
        <f>62.1*(5280/3600)</f>
        <v>91.08</v>
      </c>
      <c r="M861" s="33"/>
      <c r="N861" s="33"/>
      <c r="O861" s="33"/>
      <c r="P861" s="33"/>
    </row>
    <row r="862" spans="1:16" x14ac:dyDescent="0.3">
      <c r="A862" t="s">
        <v>212</v>
      </c>
      <c r="B862">
        <v>4.83</v>
      </c>
      <c r="C862">
        <v>1460</v>
      </c>
      <c r="D862" t="s">
        <v>131</v>
      </c>
      <c r="E862">
        <v>11.1</v>
      </c>
      <c r="F862">
        <v>12186</v>
      </c>
      <c r="G862">
        <v>50.14</v>
      </c>
      <c r="H862">
        <v>556.6</v>
      </c>
      <c r="I862">
        <f t="shared" si="29"/>
        <v>10.779734099892201</v>
      </c>
      <c r="J862">
        <f t="shared" si="28"/>
        <v>10.780625060641016</v>
      </c>
      <c r="K862">
        <v>4.6712499999999997</v>
      </c>
      <c r="L862">
        <f>69.2*(5280/3600)</f>
        <v>101.49333333333333</v>
      </c>
      <c r="M862" s="33"/>
      <c r="N862" s="33"/>
      <c r="O862" s="33"/>
      <c r="P862" s="33"/>
    </row>
    <row r="863" spans="1:16" x14ac:dyDescent="0.3">
      <c r="A863" t="s">
        <v>212</v>
      </c>
      <c r="B863">
        <v>4.83</v>
      </c>
      <c r="C863">
        <v>1460</v>
      </c>
      <c r="D863" t="s">
        <v>145</v>
      </c>
      <c r="E863">
        <v>11.1</v>
      </c>
      <c r="F863">
        <v>13015</v>
      </c>
      <c r="G863">
        <v>38.85</v>
      </c>
      <c r="H863">
        <v>431.2</v>
      </c>
      <c r="I863">
        <f t="shared" si="29"/>
        <v>13.914656771799629</v>
      </c>
      <c r="J863">
        <f t="shared" si="28"/>
        <v>13.91352742704094</v>
      </c>
      <c r="K863">
        <v>3.5118749999999999</v>
      </c>
      <c r="L863">
        <f>73.9*(5280/3600)</f>
        <v>108.38666666666667</v>
      </c>
      <c r="M863" s="33"/>
      <c r="N863" s="33"/>
      <c r="O863" s="33"/>
      <c r="P863" s="33"/>
    </row>
    <row r="864" spans="1:16" x14ac:dyDescent="0.3">
      <c r="A864" t="s">
        <v>212</v>
      </c>
      <c r="B864">
        <v>4.83</v>
      </c>
      <c r="C864">
        <v>1460</v>
      </c>
      <c r="D864" t="s">
        <v>79</v>
      </c>
      <c r="E864">
        <v>11.1</v>
      </c>
      <c r="F864">
        <v>12083</v>
      </c>
      <c r="G864">
        <v>53.02</v>
      </c>
      <c r="H864">
        <v>588.5</v>
      </c>
      <c r="I864">
        <f t="shared" si="29"/>
        <v>10.195412064570943</v>
      </c>
      <c r="J864">
        <f t="shared" si="28"/>
        <v>10.195030941918908</v>
      </c>
      <c r="K864">
        <v>5.0350000000000001</v>
      </c>
      <c r="L864">
        <f>57.2*(5280/3600)</f>
        <v>83.893333333333331</v>
      </c>
      <c r="M864" s="33"/>
      <c r="N864" s="33"/>
      <c r="O864" s="33"/>
      <c r="P864" s="33"/>
    </row>
    <row r="865" spans="1:16" x14ac:dyDescent="0.3">
      <c r="A865" t="s">
        <v>212</v>
      </c>
      <c r="B865">
        <v>4.83</v>
      </c>
      <c r="C865">
        <v>1460</v>
      </c>
      <c r="D865" t="s">
        <v>148</v>
      </c>
      <c r="E865">
        <v>14.8</v>
      </c>
      <c r="F865">
        <v>17892</v>
      </c>
      <c r="G865">
        <v>41.43</v>
      </c>
      <c r="H865">
        <v>613.1</v>
      </c>
      <c r="I865">
        <f t="shared" si="29"/>
        <v>9.7863317566465504</v>
      </c>
      <c r="J865">
        <f t="shared" si="28"/>
        <v>9.7853102921893651</v>
      </c>
      <c r="K865">
        <v>3.36</v>
      </c>
      <c r="L865">
        <f>84.7*(5280/3600)</f>
        <v>124.22666666666666</v>
      </c>
      <c r="M865" s="33"/>
      <c r="N865" s="33"/>
      <c r="O865" s="33"/>
      <c r="P865" s="33"/>
    </row>
    <row r="866" spans="1:16" x14ac:dyDescent="0.3">
      <c r="A866" t="s">
        <v>212</v>
      </c>
      <c r="B866">
        <v>4.83</v>
      </c>
      <c r="C866">
        <v>1460</v>
      </c>
      <c r="D866" t="s">
        <v>149</v>
      </c>
      <c r="E866">
        <v>14.8</v>
      </c>
      <c r="F866">
        <v>17805</v>
      </c>
      <c r="G866">
        <v>43</v>
      </c>
      <c r="H866">
        <v>636.5</v>
      </c>
      <c r="I866">
        <f t="shared" si="29"/>
        <v>9.4265514532600161</v>
      </c>
      <c r="J866">
        <f t="shared" si="28"/>
        <v>9.4280326838466362</v>
      </c>
      <c r="K866">
        <v>3.558125</v>
      </c>
      <c r="L866">
        <f>101.2*(5280/3600)</f>
        <v>148.42666666666665</v>
      </c>
      <c r="M866" s="33"/>
      <c r="N866" s="33"/>
      <c r="O866" s="33"/>
      <c r="P866" s="33"/>
    </row>
    <row r="867" spans="1:16" x14ac:dyDescent="0.3">
      <c r="A867" t="s">
        <v>212</v>
      </c>
      <c r="B867">
        <v>4.83</v>
      </c>
      <c r="C867">
        <v>1460</v>
      </c>
      <c r="D867" t="s">
        <v>125</v>
      </c>
      <c r="E867">
        <v>14.8</v>
      </c>
      <c r="F867">
        <v>17310</v>
      </c>
      <c r="G867">
        <v>51.91</v>
      </c>
      <c r="H867">
        <v>768.2</v>
      </c>
      <c r="I867">
        <f t="shared" si="29"/>
        <v>7.8104660244727926</v>
      </c>
      <c r="J867">
        <f t="shared" si="28"/>
        <v>7.8097747140320815</v>
      </c>
      <c r="K867">
        <v>3.4812500000000002</v>
      </c>
      <c r="L867">
        <f>114.7*(5280/3600)</f>
        <v>168.22666666666666</v>
      </c>
      <c r="M867" s="33"/>
      <c r="N867" s="33"/>
      <c r="O867" s="33"/>
      <c r="P867" s="33"/>
    </row>
    <row r="868" spans="1:16" x14ac:dyDescent="0.3">
      <c r="A868" t="s">
        <v>212</v>
      </c>
      <c r="B868">
        <v>4.83</v>
      </c>
      <c r="C868">
        <v>1460</v>
      </c>
      <c r="D868" t="s">
        <v>126</v>
      </c>
      <c r="E868">
        <v>14.8</v>
      </c>
      <c r="F868">
        <v>17435</v>
      </c>
      <c r="G868">
        <v>50.07</v>
      </c>
      <c r="H868">
        <v>741.1</v>
      </c>
      <c r="I868">
        <f t="shared" si="29"/>
        <v>8.0960734043988669</v>
      </c>
      <c r="J868">
        <f t="shared" si="28"/>
        <v>8.0967726264311022</v>
      </c>
      <c r="K868">
        <v>4.5968749999999998</v>
      </c>
      <c r="L868">
        <f>66*(5280/3600)</f>
        <v>96.8</v>
      </c>
      <c r="M868" s="33"/>
      <c r="N868" s="33"/>
      <c r="O868" s="33"/>
      <c r="P868" s="33"/>
    </row>
    <row r="869" spans="1:16" x14ac:dyDescent="0.3">
      <c r="A869" t="s">
        <v>212</v>
      </c>
      <c r="B869">
        <v>4.83</v>
      </c>
      <c r="C869">
        <v>1460</v>
      </c>
      <c r="D869" t="s">
        <v>141</v>
      </c>
      <c r="E869">
        <v>14.8</v>
      </c>
      <c r="F869">
        <v>17751</v>
      </c>
      <c r="G869">
        <v>42.36</v>
      </c>
      <c r="H869">
        <v>626.9</v>
      </c>
      <c r="I869">
        <f t="shared" si="29"/>
        <v>9.5709044504705698</v>
      </c>
      <c r="J869">
        <f t="shared" si="28"/>
        <v>9.57047699257331</v>
      </c>
      <c r="K869">
        <v>2.839375</v>
      </c>
      <c r="L869">
        <f>100.9*(5280/3600)</f>
        <v>147.98666666666665</v>
      </c>
      <c r="M869" s="33"/>
      <c r="N869" s="33"/>
      <c r="O869" s="33"/>
      <c r="P869" s="33"/>
    </row>
    <row r="870" spans="1:16" x14ac:dyDescent="0.3">
      <c r="A870" t="s">
        <v>212</v>
      </c>
      <c r="B870">
        <v>4.83</v>
      </c>
      <c r="C870">
        <v>1460</v>
      </c>
      <c r="D870" t="s">
        <v>143</v>
      </c>
      <c r="E870">
        <v>14.8</v>
      </c>
      <c r="F870">
        <v>17791</v>
      </c>
      <c r="G870">
        <v>40.590000000000003</v>
      </c>
      <c r="H870">
        <v>600.79999999999995</v>
      </c>
      <c r="I870">
        <f t="shared" si="29"/>
        <v>9.9866844207723044</v>
      </c>
      <c r="J870">
        <f t="shared" si="28"/>
        <v>9.9878148658636441</v>
      </c>
      <c r="K870">
        <v>4.18</v>
      </c>
      <c r="L870">
        <f>84.2*(5280/3600)</f>
        <v>123.49333333333333</v>
      </c>
      <c r="M870" s="33"/>
      <c r="N870" s="33"/>
      <c r="O870" s="33"/>
      <c r="P870" s="33"/>
    </row>
    <row r="871" spans="1:16" x14ac:dyDescent="0.3">
      <c r="A871" t="s">
        <v>212</v>
      </c>
      <c r="B871">
        <v>4.83</v>
      </c>
      <c r="C871">
        <v>1460</v>
      </c>
      <c r="D871" t="s">
        <v>162</v>
      </c>
      <c r="E871">
        <v>18.5</v>
      </c>
      <c r="F871">
        <v>23449</v>
      </c>
      <c r="G871">
        <v>36.619999999999997</v>
      </c>
      <c r="H871">
        <v>677.4</v>
      </c>
      <c r="I871">
        <f t="shared" si="29"/>
        <v>8.8573959255978743</v>
      </c>
      <c r="J871">
        <f t="shared" si="28"/>
        <v>8.8564807297740131</v>
      </c>
      <c r="K871">
        <v>3.1175000000000002</v>
      </c>
      <c r="L871">
        <f>111*(5280/3600)</f>
        <v>162.79999999999998</v>
      </c>
      <c r="M871" s="33"/>
      <c r="N871" s="33"/>
      <c r="O871" s="33"/>
      <c r="P871" s="33"/>
    </row>
    <row r="872" spans="1:16" x14ac:dyDescent="0.3">
      <c r="A872" t="s">
        <v>212</v>
      </c>
      <c r="B872">
        <v>4.83</v>
      </c>
      <c r="C872">
        <v>1460</v>
      </c>
      <c r="D872" t="s">
        <v>163</v>
      </c>
      <c r="E872">
        <v>18.5</v>
      </c>
      <c r="F872">
        <v>23210</v>
      </c>
      <c r="G872">
        <v>38.770000000000003</v>
      </c>
      <c r="H872">
        <v>717.3</v>
      </c>
      <c r="I872">
        <f t="shared" si="29"/>
        <v>8.3647009619406116</v>
      </c>
      <c r="J872">
        <f t="shared" si="28"/>
        <v>8.3653423864927596</v>
      </c>
      <c r="K872">
        <v>3.1593749999999998</v>
      </c>
      <c r="L872">
        <f>120.9*(5280/3600)</f>
        <v>177.32</v>
      </c>
      <c r="M872" s="33"/>
      <c r="N872" s="33"/>
      <c r="O872" s="33"/>
      <c r="P872" s="33"/>
    </row>
    <row r="873" spans="1:16" x14ac:dyDescent="0.3">
      <c r="A873" t="s">
        <v>212</v>
      </c>
      <c r="B873">
        <v>4.83</v>
      </c>
      <c r="C873">
        <v>1460</v>
      </c>
      <c r="D873" t="s">
        <v>164</v>
      </c>
      <c r="E873">
        <v>18.5</v>
      </c>
      <c r="F873">
        <v>23006</v>
      </c>
      <c r="G873">
        <v>43.28</v>
      </c>
      <c r="H873">
        <v>800.7</v>
      </c>
      <c r="I873">
        <f t="shared" si="29"/>
        <v>7.4934432371674777</v>
      </c>
      <c r="J873">
        <f t="shared" si="28"/>
        <v>7.4936304141479742</v>
      </c>
      <c r="K873">
        <v>3.1924999999999999</v>
      </c>
      <c r="L873">
        <f>130.7*(5280/3600)</f>
        <v>191.6933333333333</v>
      </c>
      <c r="M873" s="33"/>
      <c r="N873" s="33"/>
      <c r="O873" s="33"/>
      <c r="P873" s="33"/>
    </row>
    <row r="874" spans="1:16" x14ac:dyDescent="0.3">
      <c r="A874" t="s">
        <v>212</v>
      </c>
      <c r="B874">
        <v>4.83</v>
      </c>
      <c r="C874">
        <v>1460</v>
      </c>
      <c r="D874" t="s">
        <v>165</v>
      </c>
      <c r="E874">
        <v>18.5</v>
      </c>
      <c r="F874">
        <v>22756</v>
      </c>
      <c r="G874">
        <v>45.01</v>
      </c>
      <c r="H874">
        <v>832.8</v>
      </c>
      <c r="I874">
        <f t="shared" si="29"/>
        <v>7.2046109510086458</v>
      </c>
      <c r="J874">
        <f t="shared" si="28"/>
        <v>7.2056059614379988</v>
      </c>
      <c r="K874">
        <v>3.0531250000000001</v>
      </c>
      <c r="L874">
        <f>140.1*(5280/3600)</f>
        <v>205.48</v>
      </c>
      <c r="M874" s="33"/>
      <c r="N874" s="33"/>
      <c r="O874" s="33"/>
      <c r="P874" s="33"/>
    </row>
    <row r="875" spans="1:16" x14ac:dyDescent="0.3">
      <c r="A875" t="s">
        <v>212</v>
      </c>
      <c r="B875">
        <v>4.83</v>
      </c>
      <c r="C875">
        <v>1460</v>
      </c>
      <c r="D875" t="s">
        <v>146</v>
      </c>
      <c r="E875">
        <v>18.5</v>
      </c>
      <c r="F875">
        <v>21930</v>
      </c>
      <c r="G875">
        <v>54.16</v>
      </c>
      <c r="H875">
        <v>1001.9</v>
      </c>
      <c r="I875">
        <f t="shared" si="29"/>
        <v>5.9886216189240438</v>
      </c>
      <c r="J875">
        <f t="shared" si="28"/>
        <v>5.9882630045111584</v>
      </c>
      <c r="K875">
        <v>4.9337499999999999</v>
      </c>
      <c r="L875">
        <f>83.1*(5280/3600)</f>
        <v>121.87999999999998</v>
      </c>
      <c r="M875" s="33"/>
      <c r="N875" s="33"/>
      <c r="O875" s="33"/>
      <c r="P875" s="33"/>
    </row>
    <row r="876" spans="1:16" x14ac:dyDescent="0.3">
      <c r="A876" t="s">
        <v>212</v>
      </c>
      <c r="B876">
        <v>4.83</v>
      </c>
      <c r="C876">
        <v>1460</v>
      </c>
      <c r="D876" t="s">
        <v>144</v>
      </c>
      <c r="E876">
        <v>18.5</v>
      </c>
      <c r="F876">
        <v>22495</v>
      </c>
      <c r="G876">
        <v>47.26</v>
      </c>
      <c r="H876">
        <v>874.4</v>
      </c>
      <c r="I876">
        <f t="shared" si="29"/>
        <v>6.8618481244281799</v>
      </c>
      <c r="J876">
        <f t="shared" si="28"/>
        <v>6.8625544715261171</v>
      </c>
      <c r="K876">
        <v>4.5525000000000002</v>
      </c>
      <c r="L876">
        <f>85.2*(5280/3600)</f>
        <v>124.96</v>
      </c>
      <c r="M876" s="33"/>
      <c r="N876" s="33"/>
      <c r="O876" s="33"/>
      <c r="P876" s="33"/>
    </row>
    <row r="877" spans="1:16" x14ac:dyDescent="0.3">
      <c r="A877" t="s">
        <v>212</v>
      </c>
      <c r="B877">
        <v>4.83</v>
      </c>
      <c r="C877">
        <v>1460</v>
      </c>
      <c r="D877" t="s">
        <v>162</v>
      </c>
      <c r="E877">
        <v>22.2</v>
      </c>
      <c r="F877">
        <v>27130</v>
      </c>
      <c r="G877">
        <v>49.94</v>
      </c>
      <c r="H877">
        <v>1108.5999999999999</v>
      </c>
      <c r="I877">
        <f t="shared" si="29"/>
        <v>5.4122316435143425</v>
      </c>
      <c r="J877">
        <f t="shared" si="28"/>
        <v>5.4118996850274392</v>
      </c>
      <c r="K877">
        <v>4.1687500000000002</v>
      </c>
      <c r="L877">
        <f>128.5*(5280/3600)</f>
        <v>188.46666666666664</v>
      </c>
      <c r="M877" s="33"/>
      <c r="N877" s="33"/>
      <c r="O877" s="33"/>
      <c r="P877" s="33"/>
    </row>
    <row r="878" spans="1:16" x14ac:dyDescent="0.3">
      <c r="A878" t="s">
        <v>212</v>
      </c>
      <c r="B878">
        <v>4.83</v>
      </c>
      <c r="C878">
        <v>1460</v>
      </c>
      <c r="D878" t="s">
        <v>163</v>
      </c>
      <c r="E878">
        <v>22.2</v>
      </c>
      <c r="F878">
        <v>26846</v>
      </c>
      <c r="G878">
        <v>53.21</v>
      </c>
      <c r="H878">
        <v>1181.3</v>
      </c>
      <c r="I878">
        <f t="shared" si="29"/>
        <v>5.0791500888851271</v>
      </c>
      <c r="J878">
        <f t="shared" si="28"/>
        <v>5.079313479990045</v>
      </c>
      <c r="K878">
        <v>4.2018750000000002</v>
      </c>
      <c r="L878">
        <f>139.8*(5280/3600)</f>
        <v>205.04</v>
      </c>
      <c r="M878" s="33"/>
      <c r="N878" s="33"/>
      <c r="O878" s="33"/>
      <c r="P878" s="33"/>
    </row>
    <row r="879" spans="1:16" x14ac:dyDescent="0.3">
      <c r="A879" t="s">
        <v>212</v>
      </c>
      <c r="B879">
        <v>4.83</v>
      </c>
      <c r="C879">
        <v>1460</v>
      </c>
      <c r="D879" t="s">
        <v>166</v>
      </c>
      <c r="E879">
        <v>22.2</v>
      </c>
      <c r="F879">
        <v>27982</v>
      </c>
      <c r="G879">
        <v>39.6</v>
      </c>
      <c r="H879">
        <v>879.2</v>
      </c>
      <c r="I879">
        <f t="shared" si="29"/>
        <v>6.824385805277525</v>
      </c>
      <c r="J879">
        <f t="shared" si="28"/>
        <v>6.8250068250068248</v>
      </c>
      <c r="K879">
        <v>4.1537499999999996</v>
      </c>
      <c r="L879">
        <f>106*(5280/3600)</f>
        <v>155.46666666666667</v>
      </c>
      <c r="M879" s="33"/>
      <c r="N879" s="33"/>
      <c r="O879" s="33"/>
      <c r="P879" s="33"/>
    </row>
    <row r="880" spans="1:16" x14ac:dyDescent="0.3">
      <c r="A880" t="s">
        <v>213</v>
      </c>
      <c r="B880">
        <v>4.8</v>
      </c>
      <c r="C880">
        <v>840</v>
      </c>
      <c r="D880" t="s">
        <v>55</v>
      </c>
      <c r="E880">
        <v>11.1</v>
      </c>
      <c r="F880">
        <v>7489</v>
      </c>
      <c r="G880">
        <v>28.96</v>
      </c>
      <c r="H880">
        <v>321.5</v>
      </c>
      <c r="I880">
        <f t="shared" si="29"/>
        <v>18.662519440124417</v>
      </c>
      <c r="J880">
        <f t="shared" si="28"/>
        <v>18.665073913692698</v>
      </c>
      <c r="K880">
        <v>2.129375</v>
      </c>
      <c r="L880">
        <f>70.9*(5280/3600)</f>
        <v>103.98666666666666</v>
      </c>
      <c r="M880" s="2"/>
      <c r="N880" s="2"/>
      <c r="O880" s="2"/>
      <c r="P880" s="2"/>
    </row>
    <row r="881" spans="1:16" x14ac:dyDescent="0.3">
      <c r="A881" t="s">
        <v>213</v>
      </c>
      <c r="B881">
        <v>4.8</v>
      </c>
      <c r="C881">
        <v>840</v>
      </c>
      <c r="D881" t="s">
        <v>71</v>
      </c>
      <c r="E881">
        <v>11.1</v>
      </c>
      <c r="F881">
        <v>7780</v>
      </c>
      <c r="G881">
        <v>24.44</v>
      </c>
      <c r="H881">
        <v>271.3</v>
      </c>
      <c r="I881">
        <f t="shared" si="29"/>
        <v>22.115739034279397</v>
      </c>
      <c r="J881">
        <f t="shared" si="28"/>
        <v>22.117043393639136</v>
      </c>
      <c r="K881">
        <v>3.1568749999999999</v>
      </c>
      <c r="L881">
        <f>51.6*(5280/3600)</f>
        <v>75.679999999999993</v>
      </c>
      <c r="M881" s="33"/>
      <c r="N881" s="33"/>
      <c r="O881" s="33"/>
      <c r="P881" s="33"/>
    </row>
    <row r="882" spans="1:16" x14ac:dyDescent="0.3">
      <c r="A882" t="s">
        <v>213</v>
      </c>
      <c r="B882">
        <v>4.8</v>
      </c>
      <c r="C882">
        <v>840</v>
      </c>
      <c r="D882" t="s">
        <v>211</v>
      </c>
      <c r="E882">
        <v>11.1</v>
      </c>
      <c r="F882">
        <v>7843</v>
      </c>
      <c r="G882">
        <v>24.29</v>
      </c>
      <c r="H882">
        <v>269.60000000000002</v>
      </c>
      <c r="I882">
        <f t="shared" si="29"/>
        <v>22.255192878338278</v>
      </c>
      <c r="J882">
        <f t="shared" si="28"/>
        <v>22.253624559100064</v>
      </c>
      <c r="K882">
        <v>3.375</v>
      </c>
      <c r="L882">
        <f>52*(5280/3600)</f>
        <v>76.266666666666666</v>
      </c>
      <c r="M882" s="33"/>
      <c r="N882" s="33"/>
      <c r="O882" s="33"/>
      <c r="P882" s="33"/>
    </row>
    <row r="883" spans="1:16" x14ac:dyDescent="0.3">
      <c r="A883" t="s">
        <v>213</v>
      </c>
      <c r="B883">
        <v>4.8</v>
      </c>
      <c r="C883">
        <v>840</v>
      </c>
      <c r="D883" t="s">
        <v>72</v>
      </c>
      <c r="E883">
        <v>11.1</v>
      </c>
      <c r="F883">
        <v>7658</v>
      </c>
      <c r="G883">
        <v>26.4</v>
      </c>
      <c r="H883">
        <v>293.10000000000002</v>
      </c>
      <c r="I883">
        <f t="shared" si="29"/>
        <v>20.470829068577274</v>
      </c>
      <c r="J883">
        <f t="shared" si="28"/>
        <v>20.475020475020475</v>
      </c>
      <c r="K883">
        <v>3.1262500000000002</v>
      </c>
      <c r="L883">
        <f>58*(5280/3600)</f>
        <v>85.066666666666663</v>
      </c>
      <c r="M883" s="33"/>
      <c r="N883" s="33"/>
      <c r="O883" s="33"/>
      <c r="P883" s="33"/>
    </row>
    <row r="884" spans="1:16" x14ac:dyDescent="0.3">
      <c r="A884" t="s">
        <v>213</v>
      </c>
      <c r="B884">
        <v>4.8</v>
      </c>
      <c r="C884">
        <v>840</v>
      </c>
      <c r="D884" t="s">
        <v>132</v>
      </c>
      <c r="E884">
        <v>11.1</v>
      </c>
      <c r="F884">
        <v>7920</v>
      </c>
      <c r="G884">
        <v>22.8</v>
      </c>
      <c r="H884">
        <v>253.1</v>
      </c>
      <c r="I884">
        <f t="shared" si="29"/>
        <v>23.706045041485577</v>
      </c>
      <c r="J884">
        <f t="shared" si="28"/>
        <v>23.707918444760551</v>
      </c>
      <c r="K884">
        <v>2.9674999999999998</v>
      </c>
      <c r="L884">
        <f>60*(5280/3600)</f>
        <v>88</v>
      </c>
      <c r="M884" s="33"/>
      <c r="N884" s="33"/>
      <c r="O884" s="33"/>
      <c r="P884" s="33"/>
    </row>
    <row r="885" spans="1:16" x14ac:dyDescent="0.3">
      <c r="A885" t="s">
        <v>213</v>
      </c>
      <c r="B885">
        <v>4.8</v>
      </c>
      <c r="C885">
        <v>840</v>
      </c>
      <c r="D885" t="s">
        <v>56</v>
      </c>
      <c r="E885">
        <v>11.1</v>
      </c>
      <c r="F885">
        <v>7500</v>
      </c>
      <c r="G885">
        <v>28.33</v>
      </c>
      <c r="H885">
        <v>314.39999999999998</v>
      </c>
      <c r="I885">
        <f t="shared" si="29"/>
        <v>19.083969465648856</v>
      </c>
      <c r="J885">
        <f t="shared" si="28"/>
        <v>19.080146153919539</v>
      </c>
      <c r="K885">
        <v>3.1131250000000001</v>
      </c>
      <c r="L885">
        <f>60.4*(5280/3600)</f>
        <v>88.586666666666659</v>
      </c>
      <c r="M885" s="33"/>
      <c r="N885" s="33"/>
      <c r="O885" s="33"/>
      <c r="P885" s="33"/>
    </row>
    <row r="886" spans="1:16" x14ac:dyDescent="0.3">
      <c r="A886" t="s">
        <v>213</v>
      </c>
      <c r="B886">
        <v>4.8</v>
      </c>
      <c r="C886">
        <v>840</v>
      </c>
      <c r="D886" t="s">
        <v>57</v>
      </c>
      <c r="E886">
        <v>11.1</v>
      </c>
      <c r="F886">
        <v>7140</v>
      </c>
      <c r="G886">
        <v>32.11</v>
      </c>
      <c r="H886">
        <v>356.5</v>
      </c>
      <c r="I886">
        <f t="shared" si="29"/>
        <v>16.830294530154276</v>
      </c>
      <c r="J886">
        <f t="shared" si="28"/>
        <v>16.834024931190925</v>
      </c>
      <c r="K886">
        <v>2.680625</v>
      </c>
      <c r="L886">
        <f>67.6*(5280/3600)</f>
        <v>99.146666666666647</v>
      </c>
      <c r="M886" s="33"/>
      <c r="N886" s="33"/>
      <c r="O886" s="33"/>
      <c r="P886" s="33"/>
    </row>
    <row r="887" spans="1:16" x14ac:dyDescent="0.3">
      <c r="A887" t="s">
        <v>213</v>
      </c>
      <c r="B887">
        <v>4.8</v>
      </c>
      <c r="C887">
        <v>840</v>
      </c>
      <c r="D887" t="s">
        <v>58</v>
      </c>
      <c r="E887">
        <v>11.1</v>
      </c>
      <c r="F887">
        <v>7625</v>
      </c>
      <c r="G887">
        <v>26.95</v>
      </c>
      <c r="H887">
        <v>299.2</v>
      </c>
      <c r="I887">
        <f t="shared" si="29"/>
        <v>20.053475935828878</v>
      </c>
      <c r="J887">
        <f t="shared" si="28"/>
        <v>20.057162914305771</v>
      </c>
      <c r="K887">
        <v>3.6818749999999998</v>
      </c>
      <c r="L887">
        <f>43.3*(5280/3600)</f>
        <v>63.506666666666661</v>
      </c>
      <c r="M887" s="33"/>
      <c r="N887" s="33"/>
      <c r="O887" s="33"/>
      <c r="P887" s="33"/>
    </row>
    <row r="888" spans="1:16" x14ac:dyDescent="0.3">
      <c r="A888" t="s">
        <v>213</v>
      </c>
      <c r="B888">
        <v>4.8</v>
      </c>
      <c r="C888">
        <v>840</v>
      </c>
      <c r="D888" t="s">
        <v>32</v>
      </c>
      <c r="E888">
        <v>11.1</v>
      </c>
      <c r="F888">
        <v>7177</v>
      </c>
      <c r="G888">
        <v>32.06</v>
      </c>
      <c r="H888">
        <v>355.8</v>
      </c>
      <c r="I888">
        <f t="shared" si="29"/>
        <v>16.863406408094434</v>
      </c>
      <c r="J888">
        <f t="shared" si="28"/>
        <v>16.860278869012493</v>
      </c>
      <c r="K888">
        <v>3.2762500000000001</v>
      </c>
      <c r="L888">
        <f>54.4*(5280/3600)</f>
        <v>79.786666666666662</v>
      </c>
      <c r="M888" s="33"/>
      <c r="N888" s="33"/>
      <c r="O888" s="33"/>
      <c r="P888" s="33"/>
    </row>
    <row r="889" spans="1:16" x14ac:dyDescent="0.3">
      <c r="A889" t="s">
        <v>213</v>
      </c>
      <c r="B889">
        <v>4.8</v>
      </c>
      <c r="C889">
        <v>840</v>
      </c>
      <c r="D889" t="s">
        <v>118</v>
      </c>
      <c r="E889">
        <v>11.1</v>
      </c>
      <c r="F889">
        <v>7490</v>
      </c>
      <c r="G889">
        <v>28.38</v>
      </c>
      <c r="H889">
        <v>315</v>
      </c>
      <c r="I889">
        <f t="shared" si="29"/>
        <v>19.047619047619047</v>
      </c>
      <c r="J889">
        <f t="shared" si="28"/>
        <v>19.046530674437655</v>
      </c>
      <c r="K889">
        <v>3.6156250000000001</v>
      </c>
      <c r="L889">
        <f>60.3*(5280/3600)</f>
        <v>88.439999999999984</v>
      </c>
      <c r="M889" s="33"/>
      <c r="N889" s="33"/>
      <c r="O889" s="33"/>
      <c r="P889" s="33"/>
    </row>
    <row r="890" spans="1:16" x14ac:dyDescent="0.3">
      <c r="A890" t="s">
        <v>213</v>
      </c>
      <c r="B890">
        <v>4.8</v>
      </c>
      <c r="C890">
        <v>840</v>
      </c>
      <c r="D890" t="s">
        <v>98</v>
      </c>
      <c r="E890">
        <v>11.1</v>
      </c>
      <c r="F890">
        <v>7870</v>
      </c>
      <c r="G890">
        <v>23.64</v>
      </c>
      <c r="H890">
        <v>262.39999999999998</v>
      </c>
      <c r="I890">
        <f t="shared" si="29"/>
        <v>22.865853658536587</v>
      </c>
      <c r="J890">
        <f t="shared" si="28"/>
        <v>22.865505099007635</v>
      </c>
      <c r="K890">
        <v>3.6906249999999998</v>
      </c>
      <c r="L890">
        <f>29.8*(5280/3600)</f>
        <v>43.706666666666663</v>
      </c>
      <c r="M890" s="33"/>
      <c r="N890" s="33"/>
      <c r="O890" s="33"/>
      <c r="P890" s="33"/>
    </row>
    <row r="891" spans="1:16" x14ac:dyDescent="0.3">
      <c r="A891" t="s">
        <v>213</v>
      </c>
      <c r="B891">
        <v>4.8</v>
      </c>
      <c r="C891">
        <v>840</v>
      </c>
      <c r="D891" t="s">
        <v>59</v>
      </c>
      <c r="E891">
        <v>11.1</v>
      </c>
      <c r="F891">
        <v>7455</v>
      </c>
      <c r="G891">
        <v>28.83</v>
      </c>
      <c r="H891">
        <v>320</v>
      </c>
      <c r="I891">
        <f t="shared" si="29"/>
        <v>18.75</v>
      </c>
      <c r="J891">
        <f t="shared" si="28"/>
        <v>18.749238312193569</v>
      </c>
      <c r="K891">
        <v>4.07</v>
      </c>
      <c r="L891">
        <f>38.8*(5280/3600)</f>
        <v>56.906666666666659</v>
      </c>
      <c r="M891" s="33"/>
      <c r="N891" s="33"/>
      <c r="O891" s="33"/>
      <c r="P891" s="33"/>
    </row>
    <row r="892" spans="1:16" x14ac:dyDescent="0.3">
      <c r="A892" t="s">
        <v>213</v>
      </c>
      <c r="B892">
        <v>4.8</v>
      </c>
      <c r="C892">
        <v>840</v>
      </c>
      <c r="D892" t="s">
        <v>35</v>
      </c>
      <c r="E892">
        <v>11.1</v>
      </c>
      <c r="F892">
        <v>6950</v>
      </c>
      <c r="G892">
        <v>34.53</v>
      </c>
      <c r="H892">
        <v>383.2</v>
      </c>
      <c r="I892">
        <f t="shared" si="29"/>
        <v>15.657620041753654</v>
      </c>
      <c r="J892">
        <f t="shared" si="28"/>
        <v>15.654229381423127</v>
      </c>
      <c r="K892">
        <v>4.265625</v>
      </c>
      <c r="L892">
        <f>42.8*(5280/3600)</f>
        <v>62.773333333333326</v>
      </c>
      <c r="M892" s="33"/>
      <c r="N892" s="33"/>
      <c r="O892" s="33"/>
      <c r="P892" s="33"/>
    </row>
    <row r="893" spans="1:16" x14ac:dyDescent="0.3">
      <c r="A893" t="s">
        <v>213</v>
      </c>
      <c r="B893">
        <v>4.8</v>
      </c>
      <c r="C893">
        <v>840</v>
      </c>
      <c r="D893" t="s">
        <v>119</v>
      </c>
      <c r="E893">
        <v>11.1</v>
      </c>
      <c r="F893">
        <v>7275</v>
      </c>
      <c r="G893">
        <v>31.09</v>
      </c>
      <c r="H893">
        <v>345</v>
      </c>
      <c r="I893">
        <f t="shared" si="29"/>
        <v>17.391304347826086</v>
      </c>
      <c r="J893">
        <f t="shared" si="28"/>
        <v>17.386315231281458</v>
      </c>
      <c r="K893">
        <v>4.1556249999999997</v>
      </c>
      <c r="L893">
        <f>48.2*(5280/3600)</f>
        <v>70.693333333333328</v>
      </c>
      <c r="M893" s="33"/>
      <c r="N893" s="33"/>
      <c r="O893" s="33"/>
      <c r="P893" s="33"/>
    </row>
    <row r="894" spans="1:16" x14ac:dyDescent="0.3">
      <c r="A894" t="s">
        <v>213</v>
      </c>
      <c r="B894">
        <v>4.8</v>
      </c>
      <c r="C894">
        <v>840</v>
      </c>
      <c r="D894" t="s">
        <v>38</v>
      </c>
      <c r="E894">
        <v>11.1</v>
      </c>
      <c r="F894">
        <v>7094</v>
      </c>
      <c r="G894">
        <v>33.159999999999997</v>
      </c>
      <c r="H894">
        <v>368.1</v>
      </c>
      <c r="I894">
        <f t="shared" si="29"/>
        <v>16.299918500407497</v>
      </c>
      <c r="J894">
        <f t="shared" si="28"/>
        <v>16.300981319075408</v>
      </c>
      <c r="K894">
        <v>4.6031250000000004</v>
      </c>
      <c r="L894">
        <f>40.3*(5280/3600)</f>
        <v>59.106666666666655</v>
      </c>
      <c r="M894" s="33"/>
      <c r="N894" s="33"/>
      <c r="O894" s="33"/>
      <c r="P894" s="33"/>
    </row>
    <row r="895" spans="1:16" x14ac:dyDescent="0.3">
      <c r="A895" t="s">
        <v>213</v>
      </c>
      <c r="B895">
        <v>4.8</v>
      </c>
      <c r="C895">
        <v>840</v>
      </c>
      <c r="D895" t="s">
        <v>60</v>
      </c>
      <c r="E895">
        <v>11.1</v>
      </c>
      <c r="F895">
        <v>6967</v>
      </c>
      <c r="G895">
        <v>34.5</v>
      </c>
      <c r="H895">
        <v>382.9</v>
      </c>
      <c r="I895">
        <f t="shared" si="29"/>
        <v>15.669887699138156</v>
      </c>
      <c r="J895">
        <f t="shared" si="28"/>
        <v>15.667841754798278</v>
      </c>
      <c r="K895">
        <v>4.921875</v>
      </c>
      <c r="L895">
        <f>26.4*(5280/3600)</f>
        <v>38.719999999999992</v>
      </c>
      <c r="M895" s="33"/>
      <c r="N895" s="33"/>
      <c r="O895" s="33"/>
      <c r="P895" s="33"/>
    </row>
    <row r="896" spans="1:16" x14ac:dyDescent="0.3">
      <c r="A896" t="s">
        <v>213</v>
      </c>
      <c r="B896">
        <v>4.8</v>
      </c>
      <c r="C896">
        <v>840</v>
      </c>
      <c r="D896" t="s">
        <v>140</v>
      </c>
      <c r="E896">
        <v>11.1</v>
      </c>
      <c r="F896">
        <v>7630</v>
      </c>
      <c r="G896">
        <v>27.04</v>
      </c>
      <c r="H896">
        <v>300.10000000000002</v>
      </c>
      <c r="I896">
        <f t="shared" si="29"/>
        <v>19.993335554815062</v>
      </c>
      <c r="J896">
        <f t="shared" si="28"/>
        <v>19.990404605789223</v>
      </c>
      <c r="K896">
        <v>2.50875</v>
      </c>
      <c r="L896">
        <f>57.8*(5280/3600)</f>
        <v>84.773333333333326</v>
      </c>
      <c r="M896" s="33"/>
      <c r="N896" s="33"/>
      <c r="O896" s="33"/>
      <c r="P896" s="33"/>
    </row>
    <row r="897" spans="1:16" x14ac:dyDescent="0.3">
      <c r="A897" t="s">
        <v>213</v>
      </c>
      <c r="B897">
        <v>4.8</v>
      </c>
      <c r="C897">
        <v>840</v>
      </c>
      <c r="D897" t="s">
        <v>155</v>
      </c>
      <c r="E897">
        <v>11.1</v>
      </c>
      <c r="F897">
        <v>7790</v>
      </c>
      <c r="G897">
        <v>25.03</v>
      </c>
      <c r="H897">
        <v>277.8</v>
      </c>
      <c r="I897">
        <f t="shared" si="29"/>
        <v>21.598272138228943</v>
      </c>
      <c r="J897">
        <f t="shared" si="28"/>
        <v>21.595706773493429</v>
      </c>
      <c r="K897">
        <v>3.2825000000000002</v>
      </c>
      <c r="L897">
        <f>44.3*(5280/3600)</f>
        <v>64.973333333333329</v>
      </c>
      <c r="M897" s="33"/>
      <c r="N897" s="33"/>
      <c r="O897" s="33"/>
      <c r="P897" s="33"/>
    </row>
    <row r="898" spans="1:16" x14ac:dyDescent="0.3">
      <c r="A898" t="s">
        <v>213</v>
      </c>
      <c r="B898">
        <v>4.8</v>
      </c>
      <c r="C898">
        <v>840</v>
      </c>
      <c r="D898" t="s">
        <v>156</v>
      </c>
      <c r="E898">
        <v>11.1</v>
      </c>
      <c r="F898">
        <v>7468</v>
      </c>
      <c r="G898">
        <v>29.05</v>
      </c>
      <c r="H898">
        <v>322.5</v>
      </c>
      <c r="I898">
        <f t="shared" si="29"/>
        <v>18.604651162790699</v>
      </c>
      <c r="J898">
        <f t="shared" si="28"/>
        <v>18.607247522910175</v>
      </c>
      <c r="K898">
        <v>3.58</v>
      </c>
      <c r="L898">
        <f>49.5*(5280/3600)</f>
        <v>72.599999999999994</v>
      </c>
      <c r="M898" s="33"/>
      <c r="N898" s="33"/>
      <c r="O898" s="33"/>
      <c r="P898" s="33"/>
    </row>
    <row r="899" spans="1:16" x14ac:dyDescent="0.3">
      <c r="A899" t="s">
        <v>213</v>
      </c>
      <c r="B899">
        <v>4.8</v>
      </c>
      <c r="C899">
        <v>840</v>
      </c>
      <c r="D899" t="s">
        <v>157</v>
      </c>
      <c r="E899">
        <v>11.1</v>
      </c>
      <c r="F899">
        <v>7029</v>
      </c>
      <c r="G899">
        <v>33.700000000000003</v>
      </c>
      <c r="H899">
        <v>374.1</v>
      </c>
      <c r="I899">
        <f t="shared" si="29"/>
        <v>16.038492381716118</v>
      </c>
      <c r="J899">
        <f t="shared" ref="J899:J962" si="30">( ($N$1/E899)/G899)*60</f>
        <v>16.039778651054615</v>
      </c>
      <c r="K899">
        <v>2.8881250000000001</v>
      </c>
      <c r="L899">
        <f>53.3*(5280/3600)</f>
        <v>78.173333333333318</v>
      </c>
      <c r="M899" s="33"/>
      <c r="N899" s="33"/>
      <c r="O899" s="33"/>
      <c r="P899" s="33"/>
    </row>
    <row r="900" spans="1:16" x14ac:dyDescent="0.3">
      <c r="A900" t="s">
        <v>213</v>
      </c>
      <c r="B900">
        <v>4.8</v>
      </c>
      <c r="C900">
        <v>840</v>
      </c>
      <c r="D900" t="s">
        <v>208</v>
      </c>
      <c r="E900">
        <v>11.1</v>
      </c>
      <c r="F900">
        <v>7405</v>
      </c>
      <c r="G900">
        <v>29.48</v>
      </c>
      <c r="H900">
        <v>327.2</v>
      </c>
      <c r="I900">
        <f t="shared" ref="I900:I963" si="31" xml:space="preserve"> ($N$1/H900)*60</f>
        <v>18.337408312958438</v>
      </c>
      <c r="J900">
        <f t="shared" si="30"/>
        <v>18.335839231361621</v>
      </c>
      <c r="K900">
        <v>3.8887499999999999</v>
      </c>
      <c r="L900">
        <f>42.1*(5280/3600)</f>
        <v>61.746666666666663</v>
      </c>
      <c r="M900" s="33"/>
      <c r="N900" s="33"/>
      <c r="O900" s="33"/>
      <c r="P900" s="33"/>
    </row>
    <row r="901" spans="1:16" x14ac:dyDescent="0.3">
      <c r="A901" t="s">
        <v>213</v>
      </c>
      <c r="B901">
        <v>4.8</v>
      </c>
      <c r="C901">
        <v>840</v>
      </c>
      <c r="D901" t="s">
        <v>214</v>
      </c>
      <c r="E901">
        <v>11.1</v>
      </c>
      <c r="F901">
        <v>6843</v>
      </c>
      <c r="G901">
        <v>35.840000000000003</v>
      </c>
      <c r="H901">
        <v>397.8</v>
      </c>
      <c r="I901">
        <f t="shared" si="31"/>
        <v>15.082956259426847</v>
      </c>
      <c r="J901">
        <f t="shared" si="30"/>
        <v>15.08204633204633</v>
      </c>
      <c r="K901">
        <v>4.33</v>
      </c>
      <c r="L901">
        <f>38.9*(5280/3600)</f>
        <v>57.053333333333327</v>
      </c>
      <c r="M901" s="33"/>
      <c r="N901" s="33"/>
      <c r="O901" s="33"/>
      <c r="P901" s="33"/>
    </row>
    <row r="902" spans="1:16" x14ac:dyDescent="0.3">
      <c r="A902" t="s">
        <v>213</v>
      </c>
      <c r="B902">
        <v>4.8</v>
      </c>
      <c r="C902">
        <v>840</v>
      </c>
      <c r="D902" t="s">
        <v>132</v>
      </c>
      <c r="E902">
        <v>11.1</v>
      </c>
      <c r="F902">
        <v>7580</v>
      </c>
      <c r="G902">
        <v>27.42</v>
      </c>
      <c r="H902">
        <v>304.39999999999998</v>
      </c>
      <c r="I902">
        <f t="shared" si="31"/>
        <v>19.710906701708279</v>
      </c>
      <c r="J902">
        <f t="shared" si="30"/>
        <v>19.71336763459302</v>
      </c>
      <c r="K902">
        <v>2.8106249999999999</v>
      </c>
      <c r="L902">
        <f>57.4*(5280/3600)</f>
        <v>84.186666666666653</v>
      </c>
      <c r="M902" s="33"/>
      <c r="N902" s="33"/>
      <c r="O902" s="33"/>
      <c r="P902" s="33"/>
    </row>
    <row r="903" spans="1:16" x14ac:dyDescent="0.3">
      <c r="A903" t="s">
        <v>213</v>
      </c>
      <c r="B903">
        <v>4.8</v>
      </c>
      <c r="C903">
        <v>840</v>
      </c>
      <c r="D903" t="s">
        <v>158</v>
      </c>
      <c r="E903">
        <v>11.1</v>
      </c>
      <c r="F903">
        <v>7151</v>
      </c>
      <c r="G903">
        <v>32.729999999999997</v>
      </c>
      <c r="H903">
        <v>363.3</v>
      </c>
      <c r="I903">
        <f t="shared" si="31"/>
        <v>16.515276630883566</v>
      </c>
      <c r="J903">
        <f t="shared" si="30"/>
        <v>16.515140254828616</v>
      </c>
      <c r="K903">
        <v>3.3975</v>
      </c>
      <c r="L903">
        <f>54.2*(5280/3600)</f>
        <v>79.493333333333325</v>
      </c>
      <c r="M903" s="33"/>
      <c r="N903" s="33"/>
      <c r="O903" s="33"/>
      <c r="P903" s="33"/>
    </row>
    <row r="904" spans="1:16" x14ac:dyDescent="0.3">
      <c r="A904" t="s">
        <v>213</v>
      </c>
      <c r="B904">
        <v>4.8</v>
      </c>
      <c r="C904">
        <v>840</v>
      </c>
      <c r="D904" t="s">
        <v>215</v>
      </c>
      <c r="E904">
        <v>11.1</v>
      </c>
      <c r="F904">
        <v>7086</v>
      </c>
      <c r="G904">
        <v>33.39</v>
      </c>
      <c r="H904">
        <v>370.6</v>
      </c>
      <c r="I904">
        <f t="shared" si="31"/>
        <v>16.189962223421478</v>
      </c>
      <c r="J904">
        <f t="shared" si="30"/>
        <v>16.188695433978452</v>
      </c>
      <c r="K904">
        <v>4.0143750000000002</v>
      </c>
      <c r="L904">
        <f>53.7*(5280/3600)</f>
        <v>78.760000000000005</v>
      </c>
      <c r="M904" s="33"/>
      <c r="N904" s="33"/>
      <c r="O904" s="33"/>
      <c r="P904" s="33"/>
    </row>
    <row r="905" spans="1:16" x14ac:dyDescent="0.3">
      <c r="A905" t="s">
        <v>213</v>
      </c>
      <c r="B905">
        <v>4.8</v>
      </c>
      <c r="C905">
        <v>840</v>
      </c>
      <c r="D905" t="s">
        <v>80</v>
      </c>
      <c r="E905">
        <v>11.1</v>
      </c>
      <c r="F905">
        <v>7954</v>
      </c>
      <c r="G905">
        <v>22.56</v>
      </c>
      <c r="H905">
        <v>250.4</v>
      </c>
      <c r="I905">
        <f t="shared" si="31"/>
        <v>23.961661341853034</v>
      </c>
      <c r="J905">
        <f t="shared" si="30"/>
        <v>23.960130343109068</v>
      </c>
      <c r="K905">
        <v>2.9168750000000001</v>
      </c>
      <c r="L905">
        <f>52.7*(5280/3600)</f>
        <v>77.293333333333337</v>
      </c>
      <c r="M905" s="33"/>
      <c r="N905" s="33"/>
      <c r="O905" s="33"/>
      <c r="P905" s="33"/>
    </row>
    <row r="906" spans="1:16" x14ac:dyDescent="0.3">
      <c r="A906" t="s">
        <v>213</v>
      </c>
      <c r="B906">
        <v>4.8</v>
      </c>
      <c r="C906">
        <v>840</v>
      </c>
      <c r="D906" t="s">
        <v>81</v>
      </c>
      <c r="E906">
        <v>11.1</v>
      </c>
      <c r="F906">
        <v>7629</v>
      </c>
      <c r="G906">
        <v>26.81</v>
      </c>
      <c r="H906">
        <v>297.60000000000002</v>
      </c>
      <c r="I906">
        <f t="shared" si="31"/>
        <v>20.161290322580644</v>
      </c>
      <c r="J906">
        <f t="shared" si="30"/>
        <v>20.161900057461416</v>
      </c>
      <c r="K906">
        <v>3.4081250000000001</v>
      </c>
      <c r="L906">
        <f>50.6*(5280/3600)</f>
        <v>74.213333333333324</v>
      </c>
      <c r="M906" s="33"/>
      <c r="N906" s="33"/>
      <c r="O906" s="33"/>
      <c r="P906" s="33"/>
    </row>
    <row r="907" spans="1:16" x14ac:dyDescent="0.3">
      <c r="A907" t="s">
        <v>213</v>
      </c>
      <c r="B907">
        <v>4.8</v>
      </c>
      <c r="C907">
        <v>840</v>
      </c>
      <c r="D907" t="s">
        <v>66</v>
      </c>
      <c r="E907">
        <v>11.1</v>
      </c>
      <c r="F907">
        <v>7463</v>
      </c>
      <c r="G907">
        <v>28.76</v>
      </c>
      <c r="H907">
        <v>319.3</v>
      </c>
      <c r="I907">
        <f t="shared" si="31"/>
        <v>18.791105543376133</v>
      </c>
      <c r="J907">
        <f t="shared" si="30"/>
        <v>18.794872758711424</v>
      </c>
      <c r="K907">
        <v>3.4831249999999998</v>
      </c>
      <c r="L907">
        <f>56.5*(5280/3600)</f>
        <v>82.86666666666666</v>
      </c>
      <c r="M907" s="33"/>
      <c r="N907" s="33"/>
      <c r="O907" s="33"/>
      <c r="P907" s="33"/>
    </row>
    <row r="908" spans="1:16" x14ac:dyDescent="0.3">
      <c r="A908" t="s">
        <v>213</v>
      </c>
      <c r="B908">
        <v>4.8</v>
      </c>
      <c r="C908">
        <v>840</v>
      </c>
      <c r="D908" t="s">
        <v>53</v>
      </c>
      <c r="E908">
        <v>11.1</v>
      </c>
      <c r="F908">
        <v>7396</v>
      </c>
      <c r="G908">
        <v>29.48</v>
      </c>
      <c r="H908">
        <v>327.2</v>
      </c>
      <c r="I908">
        <f t="shared" si="31"/>
        <v>18.337408312958438</v>
      </c>
      <c r="J908">
        <f t="shared" si="30"/>
        <v>18.335839231361621</v>
      </c>
      <c r="K908">
        <v>3.7943750000000001</v>
      </c>
      <c r="L908">
        <f>42*(5280/3600)</f>
        <v>61.599999999999994</v>
      </c>
      <c r="M908" s="33"/>
      <c r="N908" s="33"/>
      <c r="O908" s="33"/>
      <c r="P908" s="33"/>
    </row>
    <row r="909" spans="1:16" x14ac:dyDescent="0.3">
      <c r="A909" t="s">
        <v>213</v>
      </c>
      <c r="B909">
        <v>4.8</v>
      </c>
      <c r="C909">
        <v>840</v>
      </c>
      <c r="D909" t="s">
        <v>104</v>
      </c>
      <c r="E909">
        <v>14.8</v>
      </c>
      <c r="F909">
        <v>10175</v>
      </c>
      <c r="G909">
        <v>31.18</v>
      </c>
      <c r="H909">
        <v>461.5</v>
      </c>
      <c r="I909">
        <f t="shared" si="31"/>
        <v>13.001083423618635</v>
      </c>
      <c r="J909">
        <f t="shared" si="30"/>
        <v>13.002097671757708</v>
      </c>
      <c r="K909">
        <v>3.0293749999999999</v>
      </c>
      <c r="L909">
        <f>72.3*(5280/3600)</f>
        <v>106.03999999999999</v>
      </c>
      <c r="M909" s="33"/>
      <c r="N909" s="33"/>
      <c r="O909" s="33"/>
      <c r="P909" s="33"/>
    </row>
    <row r="910" spans="1:16" x14ac:dyDescent="0.3">
      <c r="A910" t="s">
        <v>213</v>
      </c>
      <c r="B910">
        <v>4.8</v>
      </c>
      <c r="C910">
        <v>840</v>
      </c>
      <c r="D910" t="s">
        <v>210</v>
      </c>
      <c r="E910">
        <v>14.8</v>
      </c>
      <c r="F910">
        <v>10225</v>
      </c>
      <c r="G910">
        <v>31.16</v>
      </c>
      <c r="H910">
        <v>461.2</v>
      </c>
      <c r="I910">
        <f t="shared" si="31"/>
        <v>13.009540329575023</v>
      </c>
      <c r="J910">
        <f t="shared" si="30"/>
        <v>13.010443048953958</v>
      </c>
      <c r="K910">
        <v>4.0318750000000003</v>
      </c>
      <c r="L910">
        <f>77.5*(5280/3600)</f>
        <v>113.66666666666666</v>
      </c>
      <c r="M910" s="33"/>
      <c r="N910" s="33"/>
      <c r="O910" s="33"/>
      <c r="P910" s="33"/>
    </row>
    <row r="911" spans="1:16" x14ac:dyDescent="0.3">
      <c r="A911" t="s">
        <v>213</v>
      </c>
      <c r="B911">
        <v>4.8</v>
      </c>
      <c r="C911">
        <v>840</v>
      </c>
      <c r="D911" t="s">
        <v>103</v>
      </c>
      <c r="E911">
        <v>14.8</v>
      </c>
      <c r="F911">
        <v>9918</v>
      </c>
      <c r="G911">
        <v>34.380000000000003</v>
      </c>
      <c r="H911">
        <v>508.8</v>
      </c>
      <c r="I911">
        <f t="shared" si="31"/>
        <v>11.792452830188678</v>
      </c>
      <c r="J911">
        <f t="shared" si="30"/>
        <v>11.791896608650534</v>
      </c>
      <c r="K911">
        <v>2.9781249999999999</v>
      </c>
      <c r="L911">
        <f>84.5*(5280/3600)</f>
        <v>123.93333333333332</v>
      </c>
      <c r="M911" s="33"/>
      <c r="N911" s="33"/>
      <c r="O911" s="33"/>
      <c r="P911" s="33"/>
    </row>
    <row r="912" spans="1:16" x14ac:dyDescent="0.3">
      <c r="A912" t="s">
        <v>213</v>
      </c>
      <c r="B912">
        <v>4.8</v>
      </c>
      <c r="C912">
        <v>840</v>
      </c>
      <c r="D912" t="s">
        <v>99</v>
      </c>
      <c r="E912">
        <v>14.8</v>
      </c>
      <c r="F912">
        <v>10768</v>
      </c>
      <c r="G912">
        <v>24.39</v>
      </c>
      <c r="H912">
        <v>361</v>
      </c>
      <c r="I912">
        <f t="shared" si="31"/>
        <v>16.62049861495845</v>
      </c>
      <c r="J912">
        <f t="shared" si="30"/>
        <v>16.621787839500016</v>
      </c>
      <c r="K912">
        <v>3.6749999999999998</v>
      </c>
      <c r="L912">
        <f>51*(5280/3600)</f>
        <v>74.8</v>
      </c>
      <c r="M912" s="33"/>
      <c r="N912" s="33"/>
      <c r="O912" s="33"/>
      <c r="P912" s="33"/>
    </row>
    <row r="913" spans="1:16" x14ac:dyDescent="0.3">
      <c r="A913" t="s">
        <v>213</v>
      </c>
      <c r="B913">
        <v>4.8</v>
      </c>
      <c r="C913">
        <v>840</v>
      </c>
      <c r="D913" t="s">
        <v>67</v>
      </c>
      <c r="E913">
        <v>14.8</v>
      </c>
      <c r="F913">
        <v>10548</v>
      </c>
      <c r="G913">
        <v>27.11</v>
      </c>
      <c r="H913">
        <v>401.3</v>
      </c>
      <c r="I913">
        <f t="shared" si="31"/>
        <v>14.951407924246199</v>
      </c>
      <c r="J913">
        <f t="shared" si="30"/>
        <v>14.954090940811707</v>
      </c>
      <c r="K913">
        <v>3.8293750000000002</v>
      </c>
      <c r="L913">
        <f>59.9*(5280/3600)</f>
        <v>87.853333333333325</v>
      </c>
      <c r="M913" s="33"/>
      <c r="N913" s="33"/>
      <c r="O913" s="33"/>
      <c r="P913" s="33"/>
    </row>
    <row r="914" spans="1:16" x14ac:dyDescent="0.3">
      <c r="A914" t="s">
        <v>213</v>
      </c>
      <c r="B914">
        <v>4.8</v>
      </c>
      <c r="C914">
        <v>840</v>
      </c>
      <c r="D914" t="s">
        <v>68</v>
      </c>
      <c r="E914">
        <v>14.8</v>
      </c>
      <c r="F914">
        <v>10146</v>
      </c>
      <c r="G914">
        <v>31.79</v>
      </c>
      <c r="H914">
        <v>470.5</v>
      </c>
      <c r="I914">
        <f t="shared" si="31"/>
        <v>12.752391073326249</v>
      </c>
      <c r="J914">
        <f t="shared" si="30"/>
        <v>12.75260790831725</v>
      </c>
      <c r="K914">
        <v>3.9</v>
      </c>
      <c r="L914">
        <f>67.3*(5280/3600)</f>
        <v>98.706666666666649</v>
      </c>
      <c r="M914" s="33"/>
      <c r="N914" s="33"/>
      <c r="O914" s="33"/>
      <c r="P914" s="33"/>
    </row>
    <row r="915" spans="1:16" x14ac:dyDescent="0.3">
      <c r="A915" t="s">
        <v>213</v>
      </c>
      <c r="B915">
        <v>4.8</v>
      </c>
      <c r="C915">
        <v>840</v>
      </c>
      <c r="D915" t="s">
        <v>69</v>
      </c>
      <c r="E915">
        <v>14.8</v>
      </c>
      <c r="F915">
        <v>9883</v>
      </c>
      <c r="G915">
        <v>34.729999999999997</v>
      </c>
      <c r="H915">
        <v>514</v>
      </c>
      <c r="I915">
        <f t="shared" si="31"/>
        <v>11.673151750972762</v>
      </c>
      <c r="J915">
        <f t="shared" si="30"/>
        <v>11.673060910031829</v>
      </c>
      <c r="K915">
        <v>3.8406250000000002</v>
      </c>
      <c r="L915">
        <f>74.9*(5280/3600)</f>
        <v>109.85333333333334</v>
      </c>
      <c r="M915" s="33"/>
      <c r="N915" s="33"/>
      <c r="O915" s="33"/>
      <c r="P915" s="33"/>
    </row>
    <row r="916" spans="1:16" x14ac:dyDescent="0.3">
      <c r="A916" t="s">
        <v>213</v>
      </c>
      <c r="B916">
        <v>4.8</v>
      </c>
      <c r="C916">
        <v>840</v>
      </c>
      <c r="D916" t="s">
        <v>70</v>
      </c>
      <c r="E916">
        <v>14.8</v>
      </c>
      <c r="F916">
        <v>9965</v>
      </c>
      <c r="G916">
        <v>33.840000000000003</v>
      </c>
      <c r="H916">
        <v>500.8</v>
      </c>
      <c r="I916">
        <f t="shared" si="31"/>
        <v>11.980830670926517</v>
      </c>
      <c r="J916">
        <f t="shared" si="30"/>
        <v>11.98006517155453</v>
      </c>
      <c r="K916">
        <v>4.8631250000000001</v>
      </c>
      <c r="L916">
        <f>51.9*(5280/3600)</f>
        <v>76.11999999999999</v>
      </c>
      <c r="M916" s="33"/>
      <c r="N916" s="33"/>
      <c r="O916" s="33"/>
      <c r="P916" s="33"/>
    </row>
    <row r="917" spans="1:16" x14ac:dyDescent="0.3">
      <c r="A917" t="s">
        <v>213</v>
      </c>
      <c r="B917">
        <v>4.8</v>
      </c>
      <c r="C917">
        <v>840</v>
      </c>
      <c r="D917" t="s">
        <v>132</v>
      </c>
      <c r="E917">
        <v>14.8</v>
      </c>
      <c r="F917">
        <v>9808</v>
      </c>
      <c r="G917">
        <v>35.28</v>
      </c>
      <c r="H917">
        <v>522.1</v>
      </c>
      <c r="I917">
        <f t="shared" si="31"/>
        <v>11.492051331162612</v>
      </c>
      <c r="J917">
        <f t="shared" si="30"/>
        <v>11.491082919654346</v>
      </c>
      <c r="K917">
        <v>4.6668750000000001</v>
      </c>
      <c r="L917">
        <f>74.3*(5280/3600)</f>
        <v>108.97333333333331</v>
      </c>
      <c r="M917" s="33"/>
      <c r="N917" s="33"/>
      <c r="O917" s="33"/>
      <c r="P917" s="33"/>
    </row>
    <row r="918" spans="1:16" x14ac:dyDescent="0.3">
      <c r="A918" t="s">
        <v>213</v>
      </c>
      <c r="B918">
        <v>4.8</v>
      </c>
      <c r="C918">
        <v>840</v>
      </c>
      <c r="D918" t="s">
        <v>134</v>
      </c>
      <c r="E918">
        <v>14.8</v>
      </c>
      <c r="F918">
        <v>10391</v>
      </c>
      <c r="G918">
        <v>28.77</v>
      </c>
      <c r="H918">
        <v>425.8</v>
      </c>
      <c r="I918">
        <f t="shared" si="31"/>
        <v>14.091122592766556</v>
      </c>
      <c r="J918">
        <f t="shared" si="30"/>
        <v>14.091254967167375</v>
      </c>
      <c r="K918">
        <v>3.19875</v>
      </c>
      <c r="L918">
        <f>59*(5280/3600)</f>
        <v>86.533333333333331</v>
      </c>
      <c r="M918" s="33"/>
      <c r="N918" s="33"/>
      <c r="O918" s="33"/>
      <c r="P918" s="33"/>
    </row>
    <row r="919" spans="1:16" x14ac:dyDescent="0.3">
      <c r="A919" t="s">
        <v>213</v>
      </c>
      <c r="B919">
        <v>4.8</v>
      </c>
      <c r="C919">
        <v>840</v>
      </c>
      <c r="D919" t="s">
        <v>135</v>
      </c>
      <c r="E919">
        <v>14.8</v>
      </c>
      <c r="F919">
        <v>10205</v>
      </c>
      <c r="G919">
        <v>30.97</v>
      </c>
      <c r="H919">
        <v>458.4</v>
      </c>
      <c r="I919">
        <f t="shared" si="31"/>
        <v>13.089005235602095</v>
      </c>
      <c r="J919">
        <f t="shared" si="30"/>
        <v>13.090261717965946</v>
      </c>
      <c r="K919">
        <v>3.0487500000000001</v>
      </c>
      <c r="L919">
        <f>67.6*(5280/3600)</f>
        <v>99.146666666666647</v>
      </c>
      <c r="M919" s="33"/>
      <c r="N919" s="33"/>
      <c r="O919" s="33"/>
      <c r="P919" s="33"/>
    </row>
    <row r="920" spans="1:16" x14ac:dyDescent="0.3">
      <c r="A920" t="s">
        <v>213</v>
      </c>
      <c r="B920">
        <v>4.8</v>
      </c>
      <c r="C920">
        <v>840</v>
      </c>
      <c r="D920" t="s">
        <v>136</v>
      </c>
      <c r="E920">
        <v>14.8</v>
      </c>
      <c r="F920">
        <v>9930</v>
      </c>
      <c r="G920">
        <v>34.21</v>
      </c>
      <c r="H920">
        <v>506.3</v>
      </c>
      <c r="I920">
        <f t="shared" si="31"/>
        <v>11.850681414181315</v>
      </c>
      <c r="J920">
        <f t="shared" si="30"/>
        <v>11.850494165606703</v>
      </c>
      <c r="K920">
        <v>3.3243749999999999</v>
      </c>
      <c r="L920">
        <f>75.2*(5280/3600)</f>
        <v>110.29333333333334</v>
      </c>
      <c r="M920" s="33"/>
      <c r="N920" s="33"/>
      <c r="O920" s="33"/>
      <c r="P920" s="33"/>
    </row>
    <row r="921" spans="1:16" x14ac:dyDescent="0.3">
      <c r="A921" t="s">
        <v>213</v>
      </c>
      <c r="B921">
        <v>4.8</v>
      </c>
      <c r="C921">
        <v>840</v>
      </c>
      <c r="D921" t="s">
        <v>137</v>
      </c>
      <c r="E921">
        <v>14.8</v>
      </c>
      <c r="F921">
        <v>10446</v>
      </c>
      <c r="G921">
        <v>28.19</v>
      </c>
      <c r="H921">
        <v>417.2</v>
      </c>
      <c r="I921">
        <f t="shared" si="31"/>
        <v>14.381591562799617</v>
      </c>
      <c r="J921">
        <f t="shared" si="30"/>
        <v>14.381177914345702</v>
      </c>
      <c r="K921">
        <v>4.0743749999999999</v>
      </c>
      <c r="L921">
        <f>49.5*(5280/3600)</f>
        <v>72.599999999999994</v>
      </c>
      <c r="M921" s="33"/>
      <c r="N921" s="33"/>
      <c r="O921" s="33"/>
      <c r="P921" s="33"/>
    </row>
    <row r="922" spans="1:16" x14ac:dyDescent="0.3">
      <c r="A922" t="s">
        <v>213</v>
      </c>
      <c r="B922">
        <v>4.8</v>
      </c>
      <c r="C922">
        <v>840</v>
      </c>
      <c r="D922" t="s">
        <v>138</v>
      </c>
      <c r="E922">
        <v>14.8</v>
      </c>
      <c r="F922">
        <v>10081</v>
      </c>
      <c r="G922">
        <v>32.450000000000003</v>
      </c>
      <c r="H922">
        <v>480.2</v>
      </c>
      <c r="I922">
        <f t="shared" si="31"/>
        <v>12.494793835901708</v>
      </c>
      <c r="J922">
        <f t="shared" si="30"/>
        <v>12.493232832215881</v>
      </c>
      <c r="K922">
        <v>4.5393749999999997</v>
      </c>
      <c r="L922">
        <f>57.3*(5280/3600)</f>
        <v>84.039999999999992</v>
      </c>
      <c r="M922" s="33"/>
      <c r="N922" s="33"/>
      <c r="O922" s="33"/>
      <c r="P922" s="33"/>
    </row>
    <row r="923" spans="1:16" x14ac:dyDescent="0.3">
      <c r="A923" t="s">
        <v>213</v>
      </c>
      <c r="B923">
        <v>4.8</v>
      </c>
      <c r="C923">
        <v>840</v>
      </c>
      <c r="D923" t="s">
        <v>139</v>
      </c>
      <c r="E923">
        <v>14.8</v>
      </c>
      <c r="F923">
        <v>10053</v>
      </c>
      <c r="G923">
        <v>32.75</v>
      </c>
      <c r="H923">
        <v>484.6</v>
      </c>
      <c r="I923">
        <f t="shared" si="31"/>
        <v>12.381345439537764</v>
      </c>
      <c r="J923">
        <f t="shared" si="30"/>
        <v>12.378791004745201</v>
      </c>
      <c r="K923">
        <v>4.4574999999999996</v>
      </c>
      <c r="L923">
        <f>66.6*(5280/3600)</f>
        <v>97.679999999999978</v>
      </c>
      <c r="M923" s="33"/>
      <c r="N923" s="33"/>
      <c r="O923" s="33"/>
      <c r="P923" s="33"/>
    </row>
    <row r="924" spans="1:16" x14ac:dyDescent="0.3">
      <c r="A924" t="s">
        <v>213</v>
      </c>
      <c r="B924">
        <v>4.8</v>
      </c>
      <c r="C924">
        <v>840</v>
      </c>
      <c r="D924" t="s">
        <v>131</v>
      </c>
      <c r="E924">
        <v>14.8</v>
      </c>
      <c r="F924">
        <v>10800</v>
      </c>
      <c r="G924">
        <v>24.04</v>
      </c>
      <c r="H924">
        <v>355.8</v>
      </c>
      <c r="I924">
        <f t="shared" si="31"/>
        <v>16.863406408094434</v>
      </c>
      <c r="J924">
        <f t="shared" si="30"/>
        <v>16.863785582587578</v>
      </c>
      <c r="K924">
        <v>3.6443750000000001</v>
      </c>
      <c r="L924">
        <f>61.4*(5280/3600)</f>
        <v>90.053333333333327</v>
      </c>
      <c r="M924" s="33"/>
      <c r="N924" s="33"/>
      <c r="O924" s="33"/>
      <c r="P924" s="33"/>
    </row>
    <row r="925" spans="1:16" x14ac:dyDescent="0.3">
      <c r="A925" t="s">
        <v>213</v>
      </c>
      <c r="B925">
        <v>4.8</v>
      </c>
      <c r="C925">
        <v>840</v>
      </c>
      <c r="D925" t="s">
        <v>101</v>
      </c>
      <c r="E925">
        <v>14.8</v>
      </c>
      <c r="F925">
        <v>10539</v>
      </c>
      <c r="G925">
        <v>27.21</v>
      </c>
      <c r="H925">
        <v>402.7</v>
      </c>
      <c r="I925">
        <f t="shared" si="31"/>
        <v>14.899428855227216</v>
      </c>
      <c r="J925">
        <f t="shared" si="30"/>
        <v>14.899132870466937</v>
      </c>
      <c r="K925">
        <v>3.7324999999999999</v>
      </c>
      <c r="L925">
        <f>69.9*(5280/3600)</f>
        <v>102.52</v>
      </c>
      <c r="M925" s="33"/>
      <c r="N925" s="33"/>
      <c r="O925" s="33"/>
      <c r="P925" s="33"/>
    </row>
    <row r="926" spans="1:16" x14ac:dyDescent="0.3">
      <c r="A926" t="s">
        <v>213</v>
      </c>
      <c r="B926">
        <v>4.8</v>
      </c>
      <c r="C926">
        <v>840</v>
      </c>
      <c r="D926" t="s">
        <v>79</v>
      </c>
      <c r="E926">
        <v>14.8</v>
      </c>
      <c r="F926">
        <v>10734</v>
      </c>
      <c r="G926">
        <v>24.82</v>
      </c>
      <c r="H926">
        <v>367.3</v>
      </c>
      <c r="I926">
        <f t="shared" si="31"/>
        <v>16.335420637081405</v>
      </c>
      <c r="J926">
        <f t="shared" si="30"/>
        <v>16.333819718187161</v>
      </c>
      <c r="K926">
        <v>3.8493750000000002</v>
      </c>
      <c r="L926">
        <f>50.8*(5280/3600)</f>
        <v>74.506666666666661</v>
      </c>
      <c r="M926" s="33"/>
      <c r="N926" s="33"/>
      <c r="O926" s="33"/>
      <c r="P926" s="33"/>
    </row>
    <row r="927" spans="1:16" x14ac:dyDescent="0.3">
      <c r="A927" t="s">
        <v>213</v>
      </c>
      <c r="B927">
        <v>4.8</v>
      </c>
      <c r="C927">
        <v>840</v>
      </c>
      <c r="D927" t="s">
        <v>80</v>
      </c>
      <c r="E927">
        <v>14.8</v>
      </c>
      <c r="F927">
        <v>9906</v>
      </c>
      <c r="G927">
        <v>34.4</v>
      </c>
      <c r="H927">
        <v>509.1</v>
      </c>
      <c r="I927">
        <f t="shared" si="31"/>
        <v>11.785503830288743</v>
      </c>
      <c r="J927">
        <f t="shared" si="30"/>
        <v>11.785040854808296</v>
      </c>
      <c r="K927">
        <v>4.6187500000000004</v>
      </c>
      <c r="L927">
        <f>65.7*(5280/3600)</f>
        <v>96.36</v>
      </c>
      <c r="M927" s="33"/>
      <c r="N927" s="33"/>
      <c r="O927" s="33"/>
      <c r="P927" s="33"/>
    </row>
    <row r="928" spans="1:16" x14ac:dyDescent="0.3">
      <c r="A928" t="s">
        <v>213</v>
      </c>
      <c r="B928">
        <v>4.8</v>
      </c>
      <c r="C928">
        <v>840</v>
      </c>
      <c r="D928" t="s">
        <v>127</v>
      </c>
      <c r="E928">
        <v>18.5</v>
      </c>
      <c r="F928">
        <v>13585</v>
      </c>
      <c r="G928">
        <v>26.04</v>
      </c>
      <c r="H928">
        <v>481.8</v>
      </c>
      <c r="I928">
        <f t="shared" si="31"/>
        <v>12.453300124533001</v>
      </c>
      <c r="J928">
        <f t="shared" si="30"/>
        <v>12.454851164528584</v>
      </c>
      <c r="K928">
        <v>3.4812500000000002</v>
      </c>
      <c r="L928">
        <f>77.2*(5280/3600)</f>
        <v>113.22666666666666</v>
      </c>
      <c r="M928" s="33"/>
      <c r="N928" s="33"/>
      <c r="O928" s="33"/>
      <c r="P928" s="33"/>
    </row>
    <row r="929" spans="1:16" x14ac:dyDescent="0.3">
      <c r="A929" t="s">
        <v>213</v>
      </c>
      <c r="B929">
        <v>4.8</v>
      </c>
      <c r="C929">
        <v>840</v>
      </c>
      <c r="D929" t="s">
        <v>128</v>
      </c>
      <c r="E929">
        <v>18.5</v>
      </c>
      <c r="F929">
        <v>13064</v>
      </c>
      <c r="G929">
        <v>31.75</v>
      </c>
      <c r="H929">
        <v>587.4</v>
      </c>
      <c r="I929">
        <f t="shared" si="31"/>
        <v>10.214504596527068</v>
      </c>
      <c r="J929">
        <f t="shared" si="30"/>
        <v>10.214939348797618</v>
      </c>
      <c r="K929">
        <v>3.3050000000000002</v>
      </c>
      <c r="L929">
        <f>99*(5280/3600)</f>
        <v>145.19999999999999</v>
      </c>
      <c r="M929" s="33"/>
      <c r="N929" s="33"/>
      <c r="O929" s="33"/>
      <c r="P929" s="33"/>
    </row>
    <row r="930" spans="1:16" x14ac:dyDescent="0.3">
      <c r="A930" t="s">
        <v>213</v>
      </c>
      <c r="B930">
        <v>4.8</v>
      </c>
      <c r="C930">
        <v>840</v>
      </c>
      <c r="D930" t="s">
        <v>129</v>
      </c>
      <c r="E930">
        <v>18.5</v>
      </c>
      <c r="F930">
        <v>13561</v>
      </c>
      <c r="G930">
        <v>26.22</v>
      </c>
      <c r="H930">
        <v>485.1</v>
      </c>
      <c r="I930">
        <f t="shared" si="31"/>
        <v>12.368583797155225</v>
      </c>
      <c r="J930">
        <f t="shared" si="30"/>
        <v>12.369348753788113</v>
      </c>
      <c r="K930">
        <v>4.3449999999999998</v>
      </c>
      <c r="L930">
        <f>57.8*(5280/3600)</f>
        <v>84.773333333333326</v>
      </c>
      <c r="M930" s="33"/>
      <c r="N930" s="33"/>
      <c r="O930" s="33"/>
      <c r="P930" s="33"/>
    </row>
    <row r="931" spans="1:16" x14ac:dyDescent="0.3">
      <c r="A931" t="s">
        <v>213</v>
      </c>
      <c r="B931">
        <v>4.8</v>
      </c>
      <c r="C931">
        <v>840</v>
      </c>
      <c r="D931" t="s">
        <v>107</v>
      </c>
      <c r="E931">
        <v>18.5</v>
      </c>
      <c r="F931">
        <v>13195</v>
      </c>
      <c r="G931">
        <v>30.49</v>
      </c>
      <c r="H931">
        <v>564</v>
      </c>
      <c r="I931">
        <f t="shared" si="31"/>
        <v>10.638297872340425</v>
      </c>
      <c r="J931">
        <f t="shared" si="30"/>
        <v>10.637071968656095</v>
      </c>
      <c r="K931">
        <v>4.1668750000000001</v>
      </c>
      <c r="L931">
        <f>75*(5280/3600)</f>
        <v>109.99999999999999</v>
      </c>
      <c r="M931" s="33"/>
      <c r="N931" s="33"/>
      <c r="O931" s="33"/>
      <c r="P931" s="33"/>
    </row>
    <row r="932" spans="1:16" x14ac:dyDescent="0.3">
      <c r="A932" t="s">
        <v>213</v>
      </c>
      <c r="B932">
        <v>4.8</v>
      </c>
      <c r="C932">
        <v>840</v>
      </c>
      <c r="D932" t="s">
        <v>133</v>
      </c>
      <c r="E932">
        <v>18.5</v>
      </c>
      <c r="F932">
        <v>13130</v>
      </c>
      <c r="G932">
        <v>31.15</v>
      </c>
      <c r="H932">
        <v>576.20000000000005</v>
      </c>
      <c r="I932">
        <f t="shared" si="31"/>
        <v>10.413051023950018</v>
      </c>
      <c r="J932">
        <f t="shared" si="30"/>
        <v>10.411695804954231</v>
      </c>
      <c r="K932">
        <v>4.6537499999999996</v>
      </c>
      <c r="L932">
        <f>62.2*(5280/3600)</f>
        <v>91.226666666666659</v>
      </c>
      <c r="M932" s="33"/>
      <c r="N932" s="33"/>
      <c r="O932" s="33"/>
      <c r="P932" s="33"/>
    </row>
    <row r="933" spans="1:16" x14ac:dyDescent="0.3">
      <c r="A933" t="s">
        <v>213</v>
      </c>
      <c r="B933">
        <v>4.8</v>
      </c>
      <c r="C933">
        <v>840</v>
      </c>
      <c r="D933" t="s">
        <v>130</v>
      </c>
      <c r="E933">
        <v>18.5</v>
      </c>
      <c r="F933">
        <v>13809</v>
      </c>
      <c r="G933">
        <v>23.64</v>
      </c>
      <c r="H933">
        <v>437.4</v>
      </c>
      <c r="I933">
        <f t="shared" si="31"/>
        <v>13.717421124828531</v>
      </c>
      <c r="J933">
        <f t="shared" si="30"/>
        <v>13.719303059404581</v>
      </c>
      <c r="K933">
        <v>3.961875</v>
      </c>
      <c r="L933">
        <f>65.4*(5280/3600)</f>
        <v>95.92</v>
      </c>
      <c r="M933" s="33"/>
      <c r="N933" s="33"/>
      <c r="O933" s="33"/>
      <c r="P933" s="33"/>
    </row>
    <row r="934" spans="1:16" x14ac:dyDescent="0.3">
      <c r="A934" t="s">
        <v>213</v>
      </c>
      <c r="B934">
        <v>4.8</v>
      </c>
      <c r="C934">
        <v>840</v>
      </c>
      <c r="D934" t="s">
        <v>131</v>
      </c>
      <c r="E934">
        <v>18.5</v>
      </c>
      <c r="F934">
        <v>12864</v>
      </c>
      <c r="G934">
        <v>33.99</v>
      </c>
      <c r="H934">
        <v>628.79999999999995</v>
      </c>
      <c r="I934">
        <f t="shared" si="31"/>
        <v>9.5419847328244281</v>
      </c>
      <c r="J934">
        <f t="shared" si="30"/>
        <v>9.541757114572647</v>
      </c>
      <c r="K934">
        <v>5.2181249999999997</v>
      </c>
      <c r="L934">
        <f>73.1*(5280/3600)</f>
        <v>107.21333333333332</v>
      </c>
      <c r="M934" s="33"/>
      <c r="N934" s="33"/>
      <c r="O934" s="33"/>
      <c r="P934" s="33"/>
    </row>
    <row r="935" spans="1:16" x14ac:dyDescent="0.3">
      <c r="A935" t="s">
        <v>213</v>
      </c>
      <c r="B935">
        <v>4.8</v>
      </c>
      <c r="C935">
        <v>840</v>
      </c>
      <c r="D935" t="s">
        <v>145</v>
      </c>
      <c r="E935">
        <v>18.5</v>
      </c>
      <c r="F935">
        <v>13665</v>
      </c>
      <c r="G935">
        <v>25.29</v>
      </c>
      <c r="H935">
        <v>467.9</v>
      </c>
      <c r="I935">
        <f t="shared" si="31"/>
        <v>12.823252831801668</v>
      </c>
      <c r="J935">
        <f t="shared" si="30"/>
        <v>12.824212112468341</v>
      </c>
      <c r="K935">
        <v>3.8493750000000002</v>
      </c>
      <c r="L935">
        <f>77.6*(5280/3600)</f>
        <v>113.81333333333332</v>
      </c>
      <c r="M935" s="33"/>
      <c r="N935" s="33"/>
      <c r="O935" s="33"/>
      <c r="P935" s="33"/>
    </row>
    <row r="936" spans="1:16" x14ac:dyDescent="0.3">
      <c r="A936" t="s">
        <v>213</v>
      </c>
      <c r="B936">
        <v>4.8</v>
      </c>
      <c r="C936">
        <v>840</v>
      </c>
      <c r="D936" t="s">
        <v>79</v>
      </c>
      <c r="E936">
        <v>18.5</v>
      </c>
      <c r="F936">
        <v>12757</v>
      </c>
      <c r="G936">
        <v>35.1</v>
      </c>
      <c r="H936">
        <v>649.4</v>
      </c>
      <c r="I936">
        <f t="shared" si="31"/>
        <v>9.2392978133661838</v>
      </c>
      <c r="J936">
        <f t="shared" si="30"/>
        <v>9.2400092400092397</v>
      </c>
      <c r="K936">
        <v>5.5906250000000002</v>
      </c>
      <c r="L936">
        <f>60.4*(5280/3600)</f>
        <v>88.586666666666659</v>
      </c>
      <c r="M936" s="33"/>
      <c r="N936" s="33"/>
      <c r="O936" s="33"/>
      <c r="P936" s="33"/>
    </row>
    <row r="937" spans="1:16" x14ac:dyDescent="0.3">
      <c r="A937" t="s">
        <v>213</v>
      </c>
      <c r="B937">
        <v>4.8</v>
      </c>
      <c r="C937">
        <v>840</v>
      </c>
      <c r="D937" t="s">
        <v>125</v>
      </c>
      <c r="E937">
        <v>22.2</v>
      </c>
      <c r="F937">
        <v>16346</v>
      </c>
      <c r="G937">
        <v>27.53</v>
      </c>
      <c r="H937">
        <v>611.20000000000005</v>
      </c>
      <c r="I937">
        <f t="shared" si="31"/>
        <v>9.8167539267015709</v>
      </c>
      <c r="J937">
        <f t="shared" si="30"/>
        <v>9.8173000461413107</v>
      </c>
      <c r="K937">
        <v>3.1549999999999998</v>
      </c>
      <c r="L937">
        <f>108.4*(5280/3600)</f>
        <v>158.98666666666665</v>
      </c>
      <c r="M937" s="33"/>
      <c r="N937" s="33"/>
      <c r="O937" s="33"/>
      <c r="P937" s="33"/>
    </row>
    <row r="938" spans="1:16" x14ac:dyDescent="0.3">
      <c r="A938" t="s">
        <v>213</v>
      </c>
      <c r="B938">
        <v>4.8</v>
      </c>
      <c r="C938">
        <v>840</v>
      </c>
      <c r="D938" t="s">
        <v>126</v>
      </c>
      <c r="E938">
        <v>22.2</v>
      </c>
      <c r="F938">
        <v>16515</v>
      </c>
      <c r="G938">
        <v>25.74</v>
      </c>
      <c r="H938">
        <v>571.4</v>
      </c>
      <c r="I938">
        <f t="shared" si="31"/>
        <v>10.500525026251312</v>
      </c>
      <c r="J938">
        <f t="shared" si="30"/>
        <v>10.5000105000105</v>
      </c>
      <c r="K938">
        <v>4.0475000000000003</v>
      </c>
      <c r="L938">
        <f>62.6*(5280/3600)</f>
        <v>91.813333333333333</v>
      </c>
      <c r="M938" s="33"/>
      <c r="N938" s="33"/>
      <c r="O938" s="33"/>
      <c r="P938" s="33"/>
    </row>
    <row r="939" spans="1:16" x14ac:dyDescent="0.3">
      <c r="A939" t="s">
        <v>213</v>
      </c>
      <c r="B939">
        <v>4.8</v>
      </c>
      <c r="C939">
        <v>840</v>
      </c>
      <c r="D939" t="s">
        <v>145</v>
      </c>
      <c r="E939">
        <v>22.2</v>
      </c>
      <c r="F939">
        <v>15832</v>
      </c>
      <c r="G939">
        <v>33.79</v>
      </c>
      <c r="H939">
        <v>750.2</v>
      </c>
      <c r="I939">
        <f t="shared" si="31"/>
        <v>7.9978672354038913</v>
      </c>
      <c r="J939">
        <f t="shared" si="30"/>
        <v>7.9985282707981744</v>
      </c>
      <c r="K939">
        <v>5.2493749999999997</v>
      </c>
      <c r="L939">
        <f>90*(5280/3600)</f>
        <v>132</v>
      </c>
      <c r="M939" s="33"/>
      <c r="N939" s="33"/>
      <c r="O939" s="33"/>
      <c r="P939" s="33"/>
    </row>
    <row r="940" spans="1:16" x14ac:dyDescent="0.3">
      <c r="A940" t="s">
        <v>216</v>
      </c>
      <c r="B940">
        <v>4.8</v>
      </c>
      <c r="C940">
        <v>970</v>
      </c>
      <c r="D940" t="s">
        <v>104</v>
      </c>
      <c r="E940">
        <v>11.1</v>
      </c>
      <c r="F940">
        <v>8980</v>
      </c>
      <c r="G940">
        <v>26.27</v>
      </c>
      <c r="H940">
        <v>291.60000000000002</v>
      </c>
      <c r="I940">
        <f t="shared" si="31"/>
        <v>20.576131687242796</v>
      </c>
      <c r="J940">
        <f t="shared" si="30"/>
        <v>20.576343378018294</v>
      </c>
      <c r="K940">
        <v>2.3062499999999999</v>
      </c>
      <c r="L940">
        <f>63.8*(5280/3600)</f>
        <v>93.573333333333323</v>
      </c>
      <c r="M940" s="2"/>
      <c r="N940" s="2"/>
      <c r="O940" s="2"/>
      <c r="P940" s="2"/>
    </row>
    <row r="941" spans="1:16" x14ac:dyDescent="0.3">
      <c r="A941" t="s">
        <v>216</v>
      </c>
      <c r="B941">
        <v>4.8</v>
      </c>
      <c r="C941">
        <v>970</v>
      </c>
      <c r="D941" t="s">
        <v>210</v>
      </c>
      <c r="E941">
        <v>11.1</v>
      </c>
      <c r="F941">
        <v>8877</v>
      </c>
      <c r="G941">
        <v>26.41</v>
      </c>
      <c r="H941">
        <v>293.2</v>
      </c>
      <c r="I941">
        <f t="shared" si="31"/>
        <v>20.463847203274216</v>
      </c>
      <c r="J941">
        <f t="shared" si="30"/>
        <v>20.467267722095439</v>
      </c>
      <c r="K941">
        <v>2.9518749999999998</v>
      </c>
      <c r="L941">
        <f>67.3*(5280/3600)</f>
        <v>98.706666666666649</v>
      </c>
      <c r="M941" s="2"/>
      <c r="N941" s="2"/>
      <c r="O941" s="2"/>
      <c r="P941" s="2"/>
    </row>
    <row r="942" spans="1:16" x14ac:dyDescent="0.3">
      <c r="A942" t="s">
        <v>216</v>
      </c>
      <c r="B942">
        <v>4.8</v>
      </c>
      <c r="C942">
        <v>970</v>
      </c>
      <c r="D942" t="s">
        <v>103</v>
      </c>
      <c r="E942">
        <v>11.1</v>
      </c>
      <c r="F942">
        <v>8703</v>
      </c>
      <c r="G942">
        <v>29.8</v>
      </c>
      <c r="H942">
        <v>330.7</v>
      </c>
      <c r="I942">
        <f t="shared" si="31"/>
        <v>18.143332325370427</v>
      </c>
      <c r="J942">
        <f t="shared" si="30"/>
        <v>18.138944313440955</v>
      </c>
      <c r="K942">
        <v>2.2356250000000002</v>
      </c>
      <c r="L942">
        <f>74.2*(5280/3600)</f>
        <v>108.82666666666667</v>
      </c>
      <c r="M942" s="2"/>
      <c r="N942" s="2"/>
      <c r="O942" s="2"/>
      <c r="P942" s="2"/>
    </row>
    <row r="943" spans="1:16" x14ac:dyDescent="0.3">
      <c r="A943" t="s">
        <v>216</v>
      </c>
      <c r="B943">
        <v>4.8</v>
      </c>
      <c r="C943">
        <v>970</v>
      </c>
      <c r="D943" t="s">
        <v>68</v>
      </c>
      <c r="E943">
        <v>11.1</v>
      </c>
      <c r="F943">
        <v>8900</v>
      </c>
      <c r="G943">
        <v>27.13</v>
      </c>
      <c r="H943">
        <v>301.2</v>
      </c>
      <c r="I943">
        <f t="shared" si="31"/>
        <v>19.920318725099605</v>
      </c>
      <c r="J943">
        <f t="shared" si="30"/>
        <v>19.924089220071529</v>
      </c>
      <c r="K943">
        <v>2.9606249999999998</v>
      </c>
      <c r="L943">
        <f>59*(5280/3600)</f>
        <v>86.533333333333331</v>
      </c>
      <c r="M943" s="2"/>
      <c r="N943" s="2"/>
      <c r="O943" s="2"/>
      <c r="P943" s="2"/>
    </row>
    <row r="944" spans="1:16" x14ac:dyDescent="0.3">
      <c r="A944" t="s">
        <v>216</v>
      </c>
      <c r="B944">
        <v>4.8</v>
      </c>
      <c r="C944">
        <v>970</v>
      </c>
      <c r="D944" t="s">
        <v>69</v>
      </c>
      <c r="E944">
        <v>11.1</v>
      </c>
      <c r="F944">
        <v>8683</v>
      </c>
      <c r="G944">
        <v>29.85</v>
      </c>
      <c r="H944">
        <v>331.3</v>
      </c>
      <c r="I944">
        <f t="shared" si="31"/>
        <v>18.110473890733473</v>
      </c>
      <c r="J944">
        <f t="shared" si="30"/>
        <v>18.108560822128659</v>
      </c>
      <c r="K944">
        <v>2.9693749999999999</v>
      </c>
      <c r="L944">
        <f>65.8*(5280/3600)</f>
        <v>96.506666666666661</v>
      </c>
      <c r="M944" s="2"/>
      <c r="N944" s="2"/>
      <c r="O944" s="2"/>
      <c r="P944" s="2"/>
    </row>
    <row r="945" spans="1:16" x14ac:dyDescent="0.3">
      <c r="A945" t="s">
        <v>216</v>
      </c>
      <c r="B945">
        <v>4.8</v>
      </c>
      <c r="C945">
        <v>970</v>
      </c>
      <c r="D945" t="s">
        <v>55</v>
      </c>
      <c r="E945">
        <v>11.1</v>
      </c>
      <c r="F945">
        <v>8015</v>
      </c>
      <c r="G945">
        <v>37.659999999999997</v>
      </c>
      <c r="H945">
        <v>418.1</v>
      </c>
      <c r="I945">
        <f t="shared" si="31"/>
        <v>14.350633819660368</v>
      </c>
      <c r="J945">
        <f t="shared" si="30"/>
        <v>14.353174204475321</v>
      </c>
      <c r="K945">
        <v>2.4624999999999999</v>
      </c>
      <c r="L945">
        <f>75.9*(5280/3600)</f>
        <v>111.32000000000001</v>
      </c>
      <c r="M945" s="2"/>
      <c r="N945" s="2"/>
      <c r="O945" s="2"/>
      <c r="P945" s="2"/>
    </row>
    <row r="946" spans="1:16" x14ac:dyDescent="0.3">
      <c r="A946" t="s">
        <v>216</v>
      </c>
      <c r="B946">
        <v>4.8</v>
      </c>
      <c r="C946">
        <v>970</v>
      </c>
      <c r="D946" t="s">
        <v>70</v>
      </c>
      <c r="E946">
        <v>11.1</v>
      </c>
      <c r="F946">
        <v>8756</v>
      </c>
      <c r="G946">
        <v>28.88</v>
      </c>
      <c r="H946">
        <v>320.60000000000002</v>
      </c>
      <c r="I946">
        <f t="shared" si="31"/>
        <v>18.714909544603866</v>
      </c>
      <c r="J946">
        <f t="shared" si="30"/>
        <v>18.716777719547803</v>
      </c>
      <c r="K946">
        <v>3.6443750000000001</v>
      </c>
      <c r="L946">
        <f>45.6*(5280/3600)</f>
        <v>66.88</v>
      </c>
      <c r="M946" s="2"/>
      <c r="N946" s="2"/>
      <c r="O946" s="2"/>
      <c r="P946" s="2"/>
    </row>
    <row r="947" spans="1:16" x14ac:dyDescent="0.3">
      <c r="A947" t="s">
        <v>216</v>
      </c>
      <c r="B947">
        <v>4.8</v>
      </c>
      <c r="C947">
        <v>970</v>
      </c>
      <c r="D947" t="s">
        <v>71</v>
      </c>
      <c r="E947">
        <v>11.1</v>
      </c>
      <c r="F947">
        <v>8425</v>
      </c>
      <c r="G947">
        <v>33.130000000000003</v>
      </c>
      <c r="H947">
        <v>367.8</v>
      </c>
      <c r="I947">
        <f t="shared" si="31"/>
        <v>16.31321370309951</v>
      </c>
      <c r="J947">
        <f t="shared" si="30"/>
        <v>16.31574224390403</v>
      </c>
      <c r="K947">
        <v>3.76125</v>
      </c>
      <c r="L947">
        <f>55.8*(5280/3600)</f>
        <v>81.839999999999989</v>
      </c>
      <c r="M947" s="33"/>
      <c r="N947" s="33"/>
      <c r="O947" s="33"/>
      <c r="P947" s="33"/>
    </row>
    <row r="948" spans="1:16" x14ac:dyDescent="0.3">
      <c r="A948" t="s">
        <v>216</v>
      </c>
      <c r="B948">
        <v>4.8</v>
      </c>
      <c r="C948">
        <v>970</v>
      </c>
      <c r="D948" t="s">
        <v>211</v>
      </c>
      <c r="E948">
        <v>11.1</v>
      </c>
      <c r="F948">
        <v>8457</v>
      </c>
      <c r="G948">
        <v>32.58</v>
      </c>
      <c r="H948">
        <v>361.6</v>
      </c>
      <c r="I948">
        <f t="shared" si="31"/>
        <v>16.592920353982301</v>
      </c>
      <c r="J948">
        <f t="shared" si="30"/>
        <v>16.591176812171287</v>
      </c>
      <c r="K948">
        <v>4.0012499999999998</v>
      </c>
      <c r="L948">
        <f>56.1*(5280/3600)</f>
        <v>82.28</v>
      </c>
      <c r="M948" s="33"/>
      <c r="N948" s="33"/>
      <c r="O948" s="33"/>
      <c r="P948" s="33"/>
    </row>
    <row r="949" spans="1:16" x14ac:dyDescent="0.3">
      <c r="A949" t="s">
        <v>216</v>
      </c>
      <c r="B949">
        <v>4.8</v>
      </c>
      <c r="C949">
        <v>970</v>
      </c>
      <c r="D949" t="s">
        <v>72</v>
      </c>
      <c r="E949">
        <v>11.1</v>
      </c>
      <c r="F949">
        <v>8219</v>
      </c>
      <c r="G949">
        <v>35.33</v>
      </c>
      <c r="H949">
        <v>392.2</v>
      </c>
      <c r="I949">
        <f t="shared" si="31"/>
        <v>15.298317185109639</v>
      </c>
      <c r="J949">
        <f t="shared" si="30"/>
        <v>15.299760558747259</v>
      </c>
      <c r="K949">
        <v>3.6356250000000001</v>
      </c>
      <c r="L949">
        <f>62.3*(5280/3600)</f>
        <v>91.373333333333321</v>
      </c>
      <c r="M949" s="33"/>
      <c r="N949" s="33"/>
      <c r="O949" s="33"/>
      <c r="P949" s="33"/>
    </row>
    <row r="950" spans="1:16" x14ac:dyDescent="0.3">
      <c r="A950" t="s">
        <v>216</v>
      </c>
      <c r="B950">
        <v>4.8</v>
      </c>
      <c r="C950">
        <v>970</v>
      </c>
      <c r="D950" t="s">
        <v>132</v>
      </c>
      <c r="E950">
        <v>11.1</v>
      </c>
      <c r="F950">
        <v>8630</v>
      </c>
      <c r="G950">
        <v>31.01</v>
      </c>
      <c r="H950">
        <v>344.2</v>
      </c>
      <c r="I950">
        <f t="shared" si="31"/>
        <v>17.431725740848346</v>
      </c>
      <c r="J950">
        <f t="shared" si="30"/>
        <v>17.431168672703659</v>
      </c>
      <c r="K950">
        <v>3.5625</v>
      </c>
      <c r="L950">
        <f>65.4*(5280/3600)</f>
        <v>95.92</v>
      </c>
      <c r="M950" s="33"/>
      <c r="N950" s="33"/>
      <c r="O950" s="33"/>
      <c r="P950" s="33"/>
    </row>
    <row r="951" spans="1:16" x14ac:dyDescent="0.3">
      <c r="A951" t="s">
        <v>216</v>
      </c>
      <c r="B951">
        <v>4.8</v>
      </c>
      <c r="C951">
        <v>970</v>
      </c>
      <c r="D951" t="s">
        <v>56</v>
      </c>
      <c r="E951">
        <v>11.1</v>
      </c>
      <c r="F951">
        <v>8029</v>
      </c>
      <c r="G951">
        <v>37.72</v>
      </c>
      <c r="H951">
        <v>418.7</v>
      </c>
      <c r="I951">
        <f t="shared" si="31"/>
        <v>14.330069262001434</v>
      </c>
      <c r="J951">
        <f t="shared" si="30"/>
        <v>14.330343068413057</v>
      </c>
      <c r="K951">
        <v>3.6112500000000001</v>
      </c>
      <c r="L951">
        <f>64.6*(5280/3600)</f>
        <v>94.746666666666655</v>
      </c>
      <c r="M951" s="33"/>
      <c r="N951" s="33"/>
      <c r="O951" s="33"/>
      <c r="P951" s="33"/>
    </row>
    <row r="952" spans="1:16" x14ac:dyDescent="0.3">
      <c r="A952" t="s">
        <v>216</v>
      </c>
      <c r="B952">
        <v>4.8</v>
      </c>
      <c r="C952">
        <v>970</v>
      </c>
      <c r="D952" t="s">
        <v>58</v>
      </c>
      <c r="E952">
        <v>11.1</v>
      </c>
      <c r="F952">
        <v>8184</v>
      </c>
      <c r="G952">
        <v>36.03</v>
      </c>
      <c r="H952">
        <v>400</v>
      </c>
      <c r="I952">
        <f t="shared" si="31"/>
        <v>15</v>
      </c>
      <c r="J952">
        <f t="shared" si="30"/>
        <v>15.002512920914251</v>
      </c>
      <c r="K952">
        <v>4.32125</v>
      </c>
      <c r="L952">
        <f>46.5*(5280/3600)</f>
        <v>68.199999999999989</v>
      </c>
      <c r="M952" s="33"/>
      <c r="N952" s="33"/>
      <c r="O952" s="33"/>
      <c r="P952" s="33"/>
    </row>
    <row r="953" spans="1:16" x14ac:dyDescent="0.3">
      <c r="A953" t="s">
        <v>216</v>
      </c>
      <c r="B953">
        <v>4.8</v>
      </c>
      <c r="C953">
        <v>970</v>
      </c>
      <c r="D953" t="s">
        <v>118</v>
      </c>
      <c r="E953">
        <v>11.1</v>
      </c>
      <c r="F953">
        <v>8077</v>
      </c>
      <c r="G953">
        <v>37.71</v>
      </c>
      <c r="H953">
        <v>418.6</v>
      </c>
      <c r="I953">
        <f t="shared" si="31"/>
        <v>14.333492594362159</v>
      </c>
      <c r="J953">
        <f t="shared" si="30"/>
        <v>14.334143212424836</v>
      </c>
      <c r="K953">
        <v>4.2481249999999999</v>
      </c>
      <c r="L953">
        <f>65*(5280/3600)</f>
        <v>95.333333333333329</v>
      </c>
      <c r="M953" s="33"/>
      <c r="N953" s="33"/>
      <c r="O953" s="33"/>
      <c r="P953" s="33"/>
    </row>
    <row r="954" spans="1:16" x14ac:dyDescent="0.3">
      <c r="A954" t="s">
        <v>216</v>
      </c>
      <c r="B954">
        <v>4.8</v>
      </c>
      <c r="C954">
        <v>970</v>
      </c>
      <c r="D954" t="s">
        <v>98</v>
      </c>
      <c r="E954">
        <v>11.1</v>
      </c>
      <c r="F954">
        <v>8516</v>
      </c>
      <c r="G954">
        <v>31.88</v>
      </c>
      <c r="H954">
        <v>353.9</v>
      </c>
      <c r="I954">
        <f t="shared" si="31"/>
        <v>16.953941791466519</v>
      </c>
      <c r="J954">
        <f t="shared" si="30"/>
        <v>16.955474922852588</v>
      </c>
      <c r="K954">
        <v>4.3937499999999998</v>
      </c>
      <c r="L954">
        <f>32.3*(5280/3600)</f>
        <v>47.373333333333328</v>
      </c>
      <c r="M954" s="33"/>
      <c r="N954" s="33"/>
      <c r="O954" s="33"/>
      <c r="P954" s="33"/>
    </row>
    <row r="955" spans="1:16" x14ac:dyDescent="0.3">
      <c r="A955" t="s">
        <v>216</v>
      </c>
      <c r="B955">
        <v>4.8</v>
      </c>
      <c r="C955">
        <v>970</v>
      </c>
      <c r="D955" t="s">
        <v>59</v>
      </c>
      <c r="E955">
        <v>11.1</v>
      </c>
      <c r="F955">
        <v>8003</v>
      </c>
      <c r="G955">
        <v>38.11</v>
      </c>
      <c r="H955">
        <v>423</v>
      </c>
      <c r="I955">
        <f t="shared" si="31"/>
        <v>14.184397163120568</v>
      </c>
      <c r="J955">
        <f t="shared" si="30"/>
        <v>14.183693008148532</v>
      </c>
      <c r="K955">
        <v>4.7331250000000002</v>
      </c>
      <c r="L955">
        <f>41.7*(5280/3600)</f>
        <v>61.16</v>
      </c>
      <c r="M955" s="33"/>
      <c r="N955" s="33"/>
      <c r="O955" s="33"/>
      <c r="P955" s="33"/>
    </row>
    <row r="956" spans="1:16" x14ac:dyDescent="0.3">
      <c r="A956" t="s">
        <v>216</v>
      </c>
      <c r="B956">
        <v>4.8</v>
      </c>
      <c r="C956">
        <v>970</v>
      </c>
      <c r="D956" t="s">
        <v>134</v>
      </c>
      <c r="E956">
        <v>11.1</v>
      </c>
      <c r="F956">
        <v>9066</v>
      </c>
      <c r="G956">
        <v>25.18</v>
      </c>
      <c r="H956">
        <v>279.5</v>
      </c>
      <c r="I956">
        <f t="shared" si="31"/>
        <v>21.466905187835422</v>
      </c>
      <c r="J956">
        <f t="shared" si="30"/>
        <v>21.467058798274049</v>
      </c>
      <c r="K956">
        <v>2.4093749999999998</v>
      </c>
      <c r="L956">
        <f>51.5*(5280/3600)</f>
        <v>75.533333333333331</v>
      </c>
      <c r="M956" s="33"/>
      <c r="N956" s="33"/>
      <c r="O956" s="33"/>
      <c r="P956" s="33"/>
    </row>
    <row r="957" spans="1:16" x14ac:dyDescent="0.3">
      <c r="A957" t="s">
        <v>216</v>
      </c>
      <c r="B957">
        <v>4.8</v>
      </c>
      <c r="C957">
        <v>970</v>
      </c>
      <c r="D957" t="s">
        <v>135</v>
      </c>
      <c r="E957">
        <v>11.1</v>
      </c>
      <c r="F957">
        <v>8916</v>
      </c>
      <c r="G957">
        <v>27.11</v>
      </c>
      <c r="H957">
        <v>300.89999999999998</v>
      </c>
      <c r="I957">
        <f t="shared" si="31"/>
        <v>19.940179461615159</v>
      </c>
      <c r="J957">
        <f t="shared" si="30"/>
        <v>19.938787921082277</v>
      </c>
      <c r="K957">
        <v>2.316875</v>
      </c>
      <c r="L957">
        <f>59.1*(5280/3600)</f>
        <v>86.679999999999993</v>
      </c>
      <c r="M957" s="33"/>
      <c r="N957" s="33"/>
      <c r="O957" s="33"/>
      <c r="P957" s="33"/>
    </row>
    <row r="958" spans="1:16" x14ac:dyDescent="0.3">
      <c r="A958" t="s">
        <v>216</v>
      </c>
      <c r="B958">
        <v>4.8</v>
      </c>
      <c r="C958">
        <v>970</v>
      </c>
      <c r="D958" t="s">
        <v>136</v>
      </c>
      <c r="E958">
        <v>11.1</v>
      </c>
      <c r="F958">
        <v>8679</v>
      </c>
      <c r="G958">
        <v>29.82</v>
      </c>
      <c r="H958">
        <v>331</v>
      </c>
      <c r="I958">
        <f t="shared" si="31"/>
        <v>18.126888217522659</v>
      </c>
      <c r="J958">
        <f t="shared" si="30"/>
        <v>18.126778690158972</v>
      </c>
      <c r="K958">
        <v>2.5175000000000001</v>
      </c>
      <c r="L958">
        <f>65.8*(5280/3600)</f>
        <v>96.506666666666661</v>
      </c>
      <c r="M958" s="33"/>
      <c r="N958" s="33"/>
      <c r="O958" s="33"/>
      <c r="P958" s="33"/>
    </row>
    <row r="959" spans="1:16" x14ac:dyDescent="0.3">
      <c r="A959" t="s">
        <v>216</v>
      </c>
      <c r="B959">
        <v>4.8</v>
      </c>
      <c r="C959">
        <v>970</v>
      </c>
      <c r="D959" t="s">
        <v>138</v>
      </c>
      <c r="E959">
        <v>11.1</v>
      </c>
      <c r="F959">
        <v>8828</v>
      </c>
      <c r="G959">
        <v>28.27</v>
      </c>
      <c r="H959">
        <v>313.8</v>
      </c>
      <c r="I959">
        <f t="shared" si="31"/>
        <v>19.120458891013385</v>
      </c>
      <c r="J959">
        <f t="shared" si="30"/>
        <v>19.120641688735073</v>
      </c>
      <c r="K959">
        <v>3.4393750000000001</v>
      </c>
      <c r="L959">
        <f>50.2*(5280/3600)</f>
        <v>73.626666666666665</v>
      </c>
      <c r="M959" s="33"/>
      <c r="N959" s="33"/>
      <c r="O959" s="33"/>
      <c r="P959" s="33"/>
    </row>
    <row r="960" spans="1:16" x14ac:dyDescent="0.3">
      <c r="A960" t="s">
        <v>216</v>
      </c>
      <c r="B960">
        <v>4.8</v>
      </c>
      <c r="C960">
        <v>970</v>
      </c>
      <c r="D960" t="s">
        <v>139</v>
      </c>
      <c r="E960">
        <v>11.1</v>
      </c>
      <c r="F960">
        <v>8790</v>
      </c>
      <c r="G960">
        <v>28.55</v>
      </c>
      <c r="H960">
        <v>316.89999999999998</v>
      </c>
      <c r="I960">
        <f t="shared" si="31"/>
        <v>18.933417481855475</v>
      </c>
      <c r="J960">
        <f t="shared" si="30"/>
        <v>18.933118757987412</v>
      </c>
      <c r="K960">
        <v>3.38625</v>
      </c>
      <c r="L960">
        <f>58.3*(5280/3600)</f>
        <v>85.506666666666661</v>
      </c>
      <c r="M960" s="33"/>
      <c r="N960" s="33"/>
      <c r="O960" s="33"/>
      <c r="P960" s="33"/>
    </row>
    <row r="961" spans="1:16" x14ac:dyDescent="0.3">
      <c r="A961" t="s">
        <v>216</v>
      </c>
      <c r="B961">
        <v>4.8</v>
      </c>
      <c r="C961">
        <v>970</v>
      </c>
      <c r="D961" t="s">
        <v>140</v>
      </c>
      <c r="E961">
        <v>11.1</v>
      </c>
      <c r="F961">
        <v>8215</v>
      </c>
      <c r="G961">
        <v>35.51</v>
      </c>
      <c r="H961">
        <v>394.1</v>
      </c>
      <c r="I961">
        <f t="shared" si="31"/>
        <v>15.224562293834053</v>
      </c>
      <c r="J961">
        <f t="shared" si="30"/>
        <v>15.22220615433795</v>
      </c>
      <c r="K961">
        <v>2.8943750000000001</v>
      </c>
      <c r="L961">
        <f>62.2*(5280/3600)</f>
        <v>91.226666666666659</v>
      </c>
      <c r="M961" s="33"/>
      <c r="N961" s="33"/>
      <c r="O961" s="33"/>
      <c r="P961" s="33"/>
    </row>
    <row r="962" spans="1:16" x14ac:dyDescent="0.3">
      <c r="A962" t="s">
        <v>216</v>
      </c>
      <c r="B962">
        <v>4.8</v>
      </c>
      <c r="C962">
        <v>970</v>
      </c>
      <c r="D962" t="s">
        <v>155</v>
      </c>
      <c r="E962">
        <v>11.1</v>
      </c>
      <c r="F962">
        <v>8403</v>
      </c>
      <c r="G962">
        <v>33.24</v>
      </c>
      <c r="H962">
        <v>368.9</v>
      </c>
      <c r="I962">
        <f t="shared" si="31"/>
        <v>16.26457034426674</v>
      </c>
      <c r="J962">
        <f t="shared" si="30"/>
        <v>16.261749113734673</v>
      </c>
      <c r="K962">
        <v>3.8712499999999999</v>
      </c>
      <c r="L962">
        <f>47.7*(5280/3600)</f>
        <v>69.959999999999994</v>
      </c>
      <c r="M962" s="33"/>
      <c r="N962" s="33"/>
      <c r="O962" s="33"/>
      <c r="P962" s="33"/>
    </row>
    <row r="963" spans="1:16" x14ac:dyDescent="0.3">
      <c r="A963" t="s">
        <v>216</v>
      </c>
      <c r="B963">
        <v>4.8</v>
      </c>
      <c r="C963">
        <v>970</v>
      </c>
      <c r="D963" t="s">
        <v>156</v>
      </c>
      <c r="E963">
        <v>11.1</v>
      </c>
      <c r="F963">
        <v>7993</v>
      </c>
      <c r="G963">
        <v>38.14</v>
      </c>
      <c r="H963">
        <v>423.4</v>
      </c>
      <c r="I963">
        <f t="shared" si="31"/>
        <v>14.170996693434105</v>
      </c>
      <c r="J963">
        <f t="shared" ref="J963:J1026" si="32">( ($N$1/E963)/G963)*60</f>
        <v>14.17253645885004</v>
      </c>
      <c r="K963">
        <v>4.1399999999999997</v>
      </c>
      <c r="L963">
        <f>53*(5280/3600)</f>
        <v>77.733333333333334</v>
      </c>
      <c r="M963" s="33"/>
      <c r="N963" s="33"/>
      <c r="O963" s="33"/>
      <c r="P963" s="33"/>
    </row>
    <row r="964" spans="1:16" x14ac:dyDescent="0.3">
      <c r="A964" t="s">
        <v>216</v>
      </c>
      <c r="B964">
        <v>4.8</v>
      </c>
      <c r="C964">
        <v>970</v>
      </c>
      <c r="D964" t="s">
        <v>208</v>
      </c>
      <c r="E964">
        <v>11.1</v>
      </c>
      <c r="F964">
        <v>7955</v>
      </c>
      <c r="G964">
        <v>38.67</v>
      </c>
      <c r="H964">
        <v>429.2</v>
      </c>
      <c r="I964">
        <f t="shared" ref="I964:I1027" si="33" xml:space="preserve"> ($N$1/H964)*60</f>
        <v>13.979496738117428</v>
      </c>
      <c r="J964">
        <f t="shared" si="32"/>
        <v>13.978291712969758</v>
      </c>
      <c r="K964">
        <v>4.5193750000000001</v>
      </c>
      <c r="L964">
        <f>45.2*(5280/3600)</f>
        <v>66.293333333333337</v>
      </c>
      <c r="M964" s="33"/>
      <c r="N964" s="33"/>
      <c r="O964" s="33"/>
      <c r="P964" s="33"/>
    </row>
    <row r="965" spans="1:16" x14ac:dyDescent="0.3">
      <c r="A965" t="s">
        <v>216</v>
      </c>
      <c r="B965">
        <v>4.8</v>
      </c>
      <c r="C965">
        <v>970</v>
      </c>
      <c r="D965" t="s">
        <v>132</v>
      </c>
      <c r="E965">
        <v>11.1</v>
      </c>
      <c r="F965">
        <v>8192</v>
      </c>
      <c r="G965">
        <v>36.28</v>
      </c>
      <c r="H965">
        <v>402.7</v>
      </c>
      <c r="I965">
        <f t="shared" si="33"/>
        <v>14.899428855227216</v>
      </c>
      <c r="J965">
        <f t="shared" si="32"/>
        <v>14.899132870466939</v>
      </c>
      <c r="K965">
        <v>3.3</v>
      </c>
      <c r="L965">
        <f>62.1*(5280/3600)</f>
        <v>91.08</v>
      </c>
      <c r="M965" s="33"/>
      <c r="N965" s="33"/>
      <c r="O965" s="33"/>
      <c r="P965" s="33"/>
    </row>
    <row r="966" spans="1:16" x14ac:dyDescent="0.3">
      <c r="A966" t="s">
        <v>216</v>
      </c>
      <c r="B966">
        <v>4.8</v>
      </c>
      <c r="C966">
        <v>970</v>
      </c>
      <c r="D966" t="s">
        <v>80</v>
      </c>
      <c r="E966">
        <v>11.1</v>
      </c>
      <c r="F966">
        <v>8670</v>
      </c>
      <c r="G966">
        <v>30.4</v>
      </c>
      <c r="H966">
        <v>337.5</v>
      </c>
      <c r="I966">
        <f t="shared" si="33"/>
        <v>17.777777777777779</v>
      </c>
      <c r="J966">
        <f t="shared" si="32"/>
        <v>17.780938833570417</v>
      </c>
      <c r="K966">
        <v>3.5162499999999999</v>
      </c>
      <c r="L966">
        <f>57.5*(5280/3600)</f>
        <v>84.333333333333329</v>
      </c>
      <c r="M966" s="33"/>
      <c r="N966" s="33"/>
      <c r="O966" s="33"/>
      <c r="P966" s="33"/>
    </row>
    <row r="967" spans="1:16" x14ac:dyDescent="0.3">
      <c r="A967" t="s">
        <v>216</v>
      </c>
      <c r="B967">
        <v>4.8</v>
      </c>
      <c r="C967">
        <v>970</v>
      </c>
      <c r="D967" t="s">
        <v>81</v>
      </c>
      <c r="E967">
        <v>11.1</v>
      </c>
      <c r="F967">
        <v>8256</v>
      </c>
      <c r="G967">
        <v>35.369999999999997</v>
      </c>
      <c r="H967">
        <v>392.6</v>
      </c>
      <c r="I967">
        <f t="shared" si="33"/>
        <v>15.282730514518592</v>
      </c>
      <c r="J967">
        <f t="shared" si="32"/>
        <v>15.282458030549634</v>
      </c>
      <c r="K967">
        <v>3.9812500000000002</v>
      </c>
      <c r="L967">
        <f>54.7*(5280/3600)</f>
        <v>80.226666666666659</v>
      </c>
      <c r="M967" s="33"/>
      <c r="N967" s="33"/>
      <c r="O967" s="33"/>
      <c r="P967" s="33"/>
    </row>
    <row r="968" spans="1:16" x14ac:dyDescent="0.3">
      <c r="A968" t="s">
        <v>216</v>
      </c>
      <c r="B968">
        <v>4.8</v>
      </c>
      <c r="C968">
        <v>970</v>
      </c>
      <c r="D968" t="s">
        <v>66</v>
      </c>
      <c r="E968">
        <v>11.1</v>
      </c>
      <c r="F968">
        <v>8056</v>
      </c>
      <c r="G968">
        <v>37.75</v>
      </c>
      <c r="H968">
        <v>419</v>
      </c>
      <c r="I968">
        <f t="shared" si="33"/>
        <v>14.319809069212409</v>
      </c>
      <c r="J968">
        <f t="shared" si="32"/>
        <v>14.318954716305711</v>
      </c>
      <c r="K968">
        <v>4.0562500000000004</v>
      </c>
      <c r="L968">
        <f>61*(5280/3600)</f>
        <v>89.466666666666654</v>
      </c>
      <c r="M968" s="33"/>
      <c r="N968" s="33"/>
      <c r="O968" s="33"/>
      <c r="P968" s="33"/>
    </row>
    <row r="969" spans="1:16" x14ac:dyDescent="0.3">
      <c r="A969" t="s">
        <v>216</v>
      </c>
      <c r="B969">
        <v>4.8</v>
      </c>
      <c r="C969">
        <v>970</v>
      </c>
      <c r="D969" t="s">
        <v>53</v>
      </c>
      <c r="E969">
        <v>11.1</v>
      </c>
      <c r="F969">
        <v>7990</v>
      </c>
      <c r="G969">
        <v>38.86</v>
      </c>
      <c r="H969">
        <v>431.4</v>
      </c>
      <c r="I969">
        <f t="shared" si="33"/>
        <v>13.908205841446454</v>
      </c>
      <c r="J969">
        <f t="shared" si="32"/>
        <v>13.909947003101918</v>
      </c>
      <c r="K969">
        <v>4.4356249999999999</v>
      </c>
      <c r="L969">
        <f>45.4*(5280/3600)</f>
        <v>66.586666666666659</v>
      </c>
      <c r="M969" s="33"/>
      <c r="N969" s="33"/>
      <c r="O969" s="33"/>
      <c r="P969" s="33"/>
    </row>
    <row r="970" spans="1:16" x14ac:dyDescent="0.3">
      <c r="A970" t="s">
        <v>216</v>
      </c>
      <c r="B970">
        <v>4.8</v>
      </c>
      <c r="C970">
        <v>970</v>
      </c>
      <c r="D970" t="s">
        <v>128</v>
      </c>
      <c r="E970">
        <v>14.8</v>
      </c>
      <c r="F970">
        <v>12050</v>
      </c>
      <c r="G970">
        <v>29.76</v>
      </c>
      <c r="H970">
        <v>440.4</v>
      </c>
      <c r="I970">
        <f t="shared" si="33"/>
        <v>13.623978201634879</v>
      </c>
      <c r="J970">
        <f t="shared" si="32"/>
        <v>13.622493461203137</v>
      </c>
      <c r="K970">
        <v>2.78</v>
      </c>
      <c r="L970">
        <f>91.3*(5280/3600)</f>
        <v>133.90666666666667</v>
      </c>
      <c r="M970" s="33"/>
      <c r="N970" s="33"/>
      <c r="O970" s="33"/>
      <c r="P970" s="33"/>
    </row>
    <row r="971" spans="1:16" x14ac:dyDescent="0.3">
      <c r="A971" t="s">
        <v>216</v>
      </c>
      <c r="B971">
        <v>4.8</v>
      </c>
      <c r="C971">
        <v>970</v>
      </c>
      <c r="D971" t="s">
        <v>107</v>
      </c>
      <c r="E971">
        <v>14.8</v>
      </c>
      <c r="F971">
        <v>12130</v>
      </c>
      <c r="G971">
        <v>28.3</v>
      </c>
      <c r="H971">
        <v>418.8</v>
      </c>
      <c r="I971">
        <f t="shared" si="33"/>
        <v>14.326647564469914</v>
      </c>
      <c r="J971">
        <f t="shared" si="32"/>
        <v>14.325279342947187</v>
      </c>
      <c r="K971">
        <v>3.4787499999999998</v>
      </c>
      <c r="L971">
        <f>68.9*(5280/3600)</f>
        <v>101.05333333333333</v>
      </c>
      <c r="M971" s="33"/>
      <c r="N971" s="33"/>
      <c r="O971" s="33"/>
      <c r="P971" s="33"/>
    </row>
    <row r="972" spans="1:16" x14ac:dyDescent="0.3">
      <c r="A972" t="s">
        <v>216</v>
      </c>
      <c r="B972">
        <v>4.8</v>
      </c>
      <c r="C972">
        <v>970</v>
      </c>
      <c r="D972" t="s">
        <v>99</v>
      </c>
      <c r="E972">
        <v>14.8</v>
      </c>
      <c r="F972">
        <v>11719</v>
      </c>
      <c r="G972">
        <v>33.840000000000003</v>
      </c>
      <c r="H972">
        <v>500.9</v>
      </c>
      <c r="I972">
        <f t="shared" si="33"/>
        <v>11.978438810141746</v>
      </c>
      <c r="J972">
        <f t="shared" si="32"/>
        <v>11.98006517155453</v>
      </c>
      <c r="K972">
        <v>4.3362499999999997</v>
      </c>
      <c r="L972">
        <f>55.5*(5280/3600)</f>
        <v>81.399999999999991</v>
      </c>
      <c r="M972" s="33"/>
      <c r="N972" s="33"/>
      <c r="O972" s="33"/>
      <c r="P972" s="33"/>
    </row>
    <row r="973" spans="1:16" x14ac:dyDescent="0.3">
      <c r="A973" t="s">
        <v>216</v>
      </c>
      <c r="B973">
        <v>4.8</v>
      </c>
      <c r="C973">
        <v>970</v>
      </c>
      <c r="D973" t="s">
        <v>67</v>
      </c>
      <c r="E973">
        <v>14.8</v>
      </c>
      <c r="F973">
        <v>11404</v>
      </c>
      <c r="G973">
        <v>37.479999999999997</v>
      </c>
      <c r="H973">
        <v>554.70000000000005</v>
      </c>
      <c r="I973">
        <f t="shared" si="33"/>
        <v>10.81665765278529</v>
      </c>
      <c r="J973">
        <f t="shared" si="32"/>
        <v>10.816579653292566</v>
      </c>
      <c r="K973">
        <v>4.4468750000000004</v>
      </c>
      <c r="L973">
        <f>64.8*(5280/3600)</f>
        <v>95.039999999999992</v>
      </c>
      <c r="M973" s="33"/>
      <c r="N973" s="33"/>
      <c r="O973" s="33"/>
      <c r="P973" s="33"/>
    </row>
    <row r="974" spans="1:16" x14ac:dyDescent="0.3">
      <c r="A974" t="s">
        <v>216</v>
      </c>
      <c r="B974">
        <v>4.8</v>
      </c>
      <c r="C974">
        <v>970</v>
      </c>
      <c r="D974" t="s">
        <v>131</v>
      </c>
      <c r="E974">
        <v>14.8</v>
      </c>
      <c r="F974">
        <v>12054</v>
      </c>
      <c r="G974">
        <v>29.59</v>
      </c>
      <c r="H974">
        <v>437.9</v>
      </c>
      <c r="I974">
        <f t="shared" si="33"/>
        <v>13.701758392327017</v>
      </c>
      <c r="J974">
        <f t="shared" si="32"/>
        <v>13.700757195180985</v>
      </c>
      <c r="K974">
        <v>4.0081249999999997</v>
      </c>
      <c r="L974">
        <f>68.5*(5280/3600)</f>
        <v>100.46666666666665</v>
      </c>
      <c r="M974" s="33"/>
      <c r="N974" s="33"/>
      <c r="O974" s="33"/>
      <c r="P974" s="33"/>
    </row>
    <row r="975" spans="1:16" x14ac:dyDescent="0.3">
      <c r="A975" t="s">
        <v>216</v>
      </c>
      <c r="B975">
        <v>4.8</v>
      </c>
      <c r="C975">
        <v>970</v>
      </c>
      <c r="D975" t="s">
        <v>133</v>
      </c>
      <c r="E975">
        <v>14.8</v>
      </c>
      <c r="F975">
        <v>12037</v>
      </c>
      <c r="G975">
        <v>29.71</v>
      </c>
      <c r="H975">
        <v>439.8</v>
      </c>
      <c r="I975">
        <f t="shared" si="33"/>
        <v>13.642564802182809</v>
      </c>
      <c r="J975">
        <f t="shared" si="32"/>
        <v>13.64541923276356</v>
      </c>
      <c r="K975">
        <v>3.8975</v>
      </c>
      <c r="L975">
        <f>57*(5280/3600)</f>
        <v>83.6</v>
      </c>
      <c r="M975" s="33"/>
      <c r="N975" s="33"/>
      <c r="O975" s="33"/>
      <c r="P975" s="33"/>
    </row>
    <row r="976" spans="1:16" x14ac:dyDescent="0.3">
      <c r="A976" t="s">
        <v>216</v>
      </c>
      <c r="B976">
        <v>4.8</v>
      </c>
      <c r="C976">
        <v>970</v>
      </c>
      <c r="D976" t="s">
        <v>134</v>
      </c>
      <c r="E976">
        <v>14.8</v>
      </c>
      <c r="F976">
        <v>11289</v>
      </c>
      <c r="G976">
        <v>38.75</v>
      </c>
      <c r="H976">
        <v>573.5</v>
      </c>
      <c r="I976">
        <f t="shared" si="33"/>
        <v>10.462074978204011</v>
      </c>
      <c r="J976">
        <f t="shared" si="32"/>
        <v>10.46207497820401</v>
      </c>
      <c r="K976">
        <v>3.725625</v>
      </c>
      <c r="L976">
        <f>64.1*(5280/3600)</f>
        <v>94.013333333333321</v>
      </c>
      <c r="M976" s="33"/>
      <c r="N976" s="33"/>
      <c r="O976" s="33"/>
      <c r="P976" s="33"/>
    </row>
    <row r="977" spans="1:16" x14ac:dyDescent="0.3">
      <c r="A977" t="s">
        <v>216</v>
      </c>
      <c r="B977">
        <v>4.8</v>
      </c>
      <c r="C977">
        <v>970</v>
      </c>
      <c r="D977" t="s">
        <v>137</v>
      </c>
      <c r="E977">
        <v>14.8</v>
      </c>
      <c r="F977">
        <v>11348</v>
      </c>
      <c r="G977">
        <v>38.200000000000003</v>
      </c>
      <c r="H977">
        <v>565.4</v>
      </c>
      <c r="I977">
        <f t="shared" si="33"/>
        <v>10.611956137247967</v>
      </c>
      <c r="J977">
        <f t="shared" si="32"/>
        <v>10.61270694778548</v>
      </c>
      <c r="K977">
        <v>4.80375</v>
      </c>
      <c r="L977">
        <f>53.7*(5280/3600)</f>
        <v>78.760000000000005</v>
      </c>
      <c r="M977" s="33"/>
      <c r="N977" s="33"/>
      <c r="O977" s="33"/>
      <c r="P977" s="33"/>
    </row>
    <row r="978" spans="1:16" x14ac:dyDescent="0.3">
      <c r="A978" t="s">
        <v>216</v>
      </c>
      <c r="B978">
        <v>4.8</v>
      </c>
      <c r="C978">
        <v>970</v>
      </c>
      <c r="D978" t="s">
        <v>131</v>
      </c>
      <c r="E978">
        <v>14.8</v>
      </c>
      <c r="F978">
        <v>11865</v>
      </c>
      <c r="G978">
        <v>32.6</v>
      </c>
      <c r="H978">
        <v>482.5</v>
      </c>
      <c r="I978">
        <f t="shared" si="33"/>
        <v>12.435233160621761</v>
      </c>
      <c r="J978">
        <f t="shared" si="32"/>
        <v>12.435748632067648</v>
      </c>
      <c r="K978">
        <v>4.4112499999999999</v>
      </c>
      <c r="L978">
        <f>67.4*(5280/3600)</f>
        <v>98.853333333333339</v>
      </c>
      <c r="M978" s="33"/>
      <c r="N978" s="33"/>
      <c r="O978" s="33"/>
      <c r="P978" s="33"/>
    </row>
    <row r="979" spans="1:16" x14ac:dyDescent="0.3">
      <c r="A979" t="s">
        <v>216</v>
      </c>
      <c r="B979">
        <v>4.8</v>
      </c>
      <c r="C979">
        <v>970</v>
      </c>
      <c r="D979" t="s">
        <v>101</v>
      </c>
      <c r="E979">
        <v>14.8</v>
      </c>
      <c r="F979">
        <v>11517</v>
      </c>
      <c r="G979">
        <v>36.96</v>
      </c>
      <c r="H979">
        <v>547</v>
      </c>
      <c r="I979">
        <f t="shared" si="33"/>
        <v>10.968921389396709</v>
      </c>
      <c r="J979">
        <f t="shared" si="32"/>
        <v>10.968760968760968</v>
      </c>
      <c r="K979">
        <v>4.5218749999999996</v>
      </c>
      <c r="L979">
        <f>76.3*(5280/3600)</f>
        <v>111.90666666666665</v>
      </c>
      <c r="M979" s="33"/>
      <c r="N979" s="33"/>
      <c r="O979" s="33"/>
      <c r="P979" s="33"/>
    </row>
    <row r="980" spans="1:16" x14ac:dyDescent="0.3">
      <c r="A980" t="s">
        <v>216</v>
      </c>
      <c r="B980">
        <v>4.8</v>
      </c>
      <c r="C980">
        <v>970</v>
      </c>
      <c r="D980" t="s">
        <v>79</v>
      </c>
      <c r="E980">
        <v>14.8</v>
      </c>
      <c r="F980">
        <v>11787</v>
      </c>
      <c r="G980">
        <v>33.99</v>
      </c>
      <c r="H980">
        <v>503</v>
      </c>
      <c r="I980">
        <f t="shared" si="33"/>
        <v>11.928429423459246</v>
      </c>
      <c r="J980">
        <f t="shared" si="32"/>
        <v>11.927196393215809</v>
      </c>
      <c r="K980">
        <v>4.6956249999999997</v>
      </c>
      <c r="L980">
        <f>55.8*(5280/3600)</f>
        <v>81.839999999999989</v>
      </c>
      <c r="M980" s="33"/>
      <c r="N980" s="33"/>
      <c r="O980" s="33"/>
      <c r="P980" s="33"/>
    </row>
    <row r="981" spans="1:16" x14ac:dyDescent="0.3">
      <c r="A981" t="s">
        <v>216</v>
      </c>
      <c r="B981">
        <v>4.8</v>
      </c>
      <c r="C981">
        <v>970</v>
      </c>
      <c r="D981" t="s">
        <v>125</v>
      </c>
      <c r="E981">
        <v>18.5</v>
      </c>
      <c r="F981">
        <v>15641</v>
      </c>
      <c r="G981">
        <v>28.22</v>
      </c>
      <c r="H981">
        <v>522.1</v>
      </c>
      <c r="I981">
        <f t="shared" si="33"/>
        <v>11.492051331162612</v>
      </c>
      <c r="J981">
        <f t="shared" si="32"/>
        <v>11.492711705326872</v>
      </c>
      <c r="K981">
        <v>2.8418749999999999</v>
      </c>
      <c r="L981">
        <f>103.7*(5280/3600)</f>
        <v>152.09333333333333</v>
      </c>
      <c r="M981" s="33"/>
      <c r="N981" s="33"/>
      <c r="O981" s="33"/>
      <c r="P981" s="33"/>
    </row>
    <row r="982" spans="1:16" x14ac:dyDescent="0.3">
      <c r="A982" t="s">
        <v>216</v>
      </c>
      <c r="B982">
        <v>4.8</v>
      </c>
      <c r="C982">
        <v>970</v>
      </c>
      <c r="D982" t="s">
        <v>126</v>
      </c>
      <c r="E982">
        <v>18.5</v>
      </c>
      <c r="F982">
        <v>15769</v>
      </c>
      <c r="G982">
        <v>26.25</v>
      </c>
      <c r="H982">
        <v>485.6</v>
      </c>
      <c r="I982">
        <f t="shared" si="33"/>
        <v>12.355848434925866</v>
      </c>
      <c r="J982">
        <f t="shared" si="32"/>
        <v>12.355212355212354</v>
      </c>
      <c r="K982">
        <v>3.6881249999999999</v>
      </c>
      <c r="L982">
        <f>59.7*(5280/3600)</f>
        <v>87.56</v>
      </c>
      <c r="M982" s="33"/>
      <c r="N982" s="33"/>
      <c r="O982" s="33"/>
      <c r="P982" s="33"/>
    </row>
    <row r="983" spans="1:16" x14ac:dyDescent="0.3">
      <c r="A983" t="s">
        <v>216</v>
      </c>
      <c r="B983">
        <v>4.8</v>
      </c>
      <c r="C983">
        <v>970</v>
      </c>
      <c r="D983" t="s">
        <v>127</v>
      </c>
      <c r="E983">
        <v>18.5</v>
      </c>
      <c r="F983">
        <v>14863</v>
      </c>
      <c r="G983">
        <v>36.57</v>
      </c>
      <c r="H983">
        <v>676.5</v>
      </c>
      <c r="I983">
        <f t="shared" si="33"/>
        <v>8.8691796008869179</v>
      </c>
      <c r="J983">
        <f t="shared" si="32"/>
        <v>8.8685896725273263</v>
      </c>
      <c r="K983">
        <v>4.1775000000000002</v>
      </c>
      <c r="L983">
        <f>84.4*(5280/3600)</f>
        <v>123.78666666666666</v>
      </c>
      <c r="M983" s="33"/>
      <c r="N983" s="33"/>
      <c r="O983" s="33"/>
      <c r="P983" s="33"/>
    </row>
    <row r="984" spans="1:16" x14ac:dyDescent="0.3">
      <c r="A984" t="s">
        <v>216</v>
      </c>
      <c r="B984">
        <v>4.8</v>
      </c>
      <c r="C984">
        <v>970</v>
      </c>
      <c r="D984" t="s">
        <v>129</v>
      </c>
      <c r="E984">
        <v>18.5</v>
      </c>
      <c r="F984">
        <v>14836</v>
      </c>
      <c r="G984">
        <v>36.869999999999997</v>
      </c>
      <c r="H984">
        <v>682.1</v>
      </c>
      <c r="I984">
        <f t="shared" si="33"/>
        <v>8.7963641694766164</v>
      </c>
      <c r="J984">
        <f t="shared" si="32"/>
        <v>8.7964286499681119</v>
      </c>
      <c r="K984">
        <v>5.3375000000000004</v>
      </c>
      <c r="L984">
        <f>63.2*(5280/3600)</f>
        <v>92.693333333333328</v>
      </c>
      <c r="M984" s="33"/>
      <c r="N984" s="33"/>
      <c r="O984" s="33"/>
      <c r="P984" s="33"/>
    </row>
    <row r="985" spans="1:16" x14ac:dyDescent="0.3">
      <c r="A985" t="s">
        <v>216</v>
      </c>
      <c r="B985">
        <v>4.8</v>
      </c>
      <c r="C985">
        <v>970</v>
      </c>
      <c r="D985" t="s">
        <v>130</v>
      </c>
      <c r="E985">
        <v>18.5</v>
      </c>
      <c r="F985">
        <v>15204</v>
      </c>
      <c r="G985">
        <v>32.67</v>
      </c>
      <c r="H985">
        <v>604.4</v>
      </c>
      <c r="I985">
        <f t="shared" si="33"/>
        <v>9.9272005294506958</v>
      </c>
      <c r="J985">
        <f t="shared" si="32"/>
        <v>9.9272826545553805</v>
      </c>
      <c r="K985">
        <v>4.7862499999999999</v>
      </c>
      <c r="L985">
        <f>72*(5280/3600)</f>
        <v>105.6</v>
      </c>
      <c r="M985" s="33"/>
      <c r="N985" s="33"/>
      <c r="O985" s="33"/>
      <c r="P985" s="33"/>
    </row>
    <row r="986" spans="1:16" x14ac:dyDescent="0.3">
      <c r="A986" t="s">
        <v>216</v>
      </c>
      <c r="B986">
        <v>4.8</v>
      </c>
      <c r="C986">
        <v>970</v>
      </c>
      <c r="D986" t="s">
        <v>145</v>
      </c>
      <c r="E986">
        <v>18.5</v>
      </c>
      <c r="F986">
        <v>14989</v>
      </c>
      <c r="G986">
        <v>34.94</v>
      </c>
      <c r="H986">
        <v>646.4</v>
      </c>
      <c r="I986">
        <f t="shared" si="33"/>
        <v>9.282178217821782</v>
      </c>
      <c r="J986">
        <f t="shared" si="32"/>
        <v>9.2823218180974347</v>
      </c>
      <c r="K986">
        <v>4.6937499999999996</v>
      </c>
      <c r="L986">
        <f>85.2*(5280/3600)</f>
        <v>124.96</v>
      </c>
      <c r="M986" s="33"/>
      <c r="N986" s="33"/>
      <c r="O986" s="33"/>
      <c r="P986" s="33"/>
    </row>
    <row r="987" spans="1:16" x14ac:dyDescent="0.3">
      <c r="A987" t="s">
        <v>216</v>
      </c>
      <c r="B987">
        <v>4.8</v>
      </c>
      <c r="C987">
        <v>970</v>
      </c>
      <c r="D987" t="s">
        <v>148</v>
      </c>
      <c r="E987">
        <v>22.2</v>
      </c>
      <c r="F987">
        <v>18677</v>
      </c>
      <c r="G987">
        <v>30.84</v>
      </c>
      <c r="H987">
        <v>684.7</v>
      </c>
      <c r="I987">
        <f t="shared" si="33"/>
        <v>8.7629618811158174</v>
      </c>
      <c r="J987">
        <f t="shared" si="32"/>
        <v>8.763627440670243</v>
      </c>
      <c r="K987">
        <v>3.6462500000000002</v>
      </c>
      <c r="L987">
        <f>88.4*(5280/3600)</f>
        <v>129.65333333333334</v>
      </c>
      <c r="M987" s="33"/>
      <c r="N987" s="33"/>
      <c r="O987" s="33"/>
      <c r="P987" s="33"/>
    </row>
    <row r="988" spans="1:16" x14ac:dyDescent="0.3">
      <c r="A988" t="s">
        <v>216</v>
      </c>
      <c r="B988">
        <v>4.8</v>
      </c>
      <c r="C988">
        <v>970</v>
      </c>
      <c r="D988" t="s">
        <v>149</v>
      </c>
      <c r="E988">
        <v>22.2</v>
      </c>
      <c r="F988">
        <v>18580</v>
      </c>
      <c r="G988">
        <v>31.88</v>
      </c>
      <c r="H988">
        <v>707.7</v>
      </c>
      <c r="I988">
        <f t="shared" si="33"/>
        <v>8.4781687155574392</v>
      </c>
      <c r="J988">
        <f t="shared" si="32"/>
        <v>8.4777374614262939</v>
      </c>
      <c r="K988">
        <v>3.8624999999999998</v>
      </c>
      <c r="L988">
        <f>105.6*(5280/3600)</f>
        <v>154.87999999999997</v>
      </c>
      <c r="M988" s="33"/>
      <c r="N988" s="33"/>
      <c r="O988" s="33"/>
      <c r="P988" s="33"/>
    </row>
    <row r="989" spans="1:16" x14ac:dyDescent="0.3">
      <c r="A989" t="s">
        <v>216</v>
      </c>
      <c r="B989">
        <v>4.8</v>
      </c>
      <c r="C989">
        <v>970</v>
      </c>
      <c r="D989" t="s">
        <v>125</v>
      </c>
      <c r="E989">
        <v>22.2</v>
      </c>
      <c r="F989">
        <v>17957</v>
      </c>
      <c r="G989">
        <v>38.28</v>
      </c>
      <c r="H989">
        <v>849.8</v>
      </c>
      <c r="I989">
        <f t="shared" si="33"/>
        <v>7.0604848199576375</v>
      </c>
      <c r="J989">
        <f t="shared" si="32"/>
        <v>7.0603518879380953</v>
      </c>
      <c r="K989">
        <v>3.75</v>
      </c>
      <c r="L989">
        <f>119*(5280/3600)</f>
        <v>174.53333333333333</v>
      </c>
      <c r="M989" s="33"/>
      <c r="N989" s="33"/>
      <c r="O989" s="33"/>
      <c r="P989" s="33"/>
    </row>
    <row r="990" spans="1:16" x14ac:dyDescent="0.3">
      <c r="A990" t="s">
        <v>216</v>
      </c>
      <c r="B990">
        <v>4.8</v>
      </c>
      <c r="C990">
        <v>970</v>
      </c>
      <c r="D990" t="s">
        <v>126</v>
      </c>
      <c r="E990">
        <v>22.2</v>
      </c>
      <c r="F990">
        <v>18119</v>
      </c>
      <c r="G990">
        <v>36.729999999999997</v>
      </c>
      <c r="H990">
        <v>815.5</v>
      </c>
      <c r="I990">
        <f t="shared" si="33"/>
        <v>7.3574494175352552</v>
      </c>
      <c r="J990">
        <f t="shared" si="32"/>
        <v>7.358297584270904</v>
      </c>
      <c r="K990">
        <v>4.8656249999999996</v>
      </c>
      <c r="L990">
        <f>68.6*(5280/3600)</f>
        <v>100.61333333333332</v>
      </c>
      <c r="M990" s="33"/>
      <c r="N990" s="33"/>
      <c r="O990" s="33"/>
      <c r="P990" s="33"/>
    </row>
    <row r="991" spans="1:16" x14ac:dyDescent="0.3">
      <c r="A991" t="s">
        <v>217</v>
      </c>
      <c r="B991">
        <v>5.82</v>
      </c>
      <c r="C991">
        <v>1140</v>
      </c>
      <c r="D991" t="s">
        <v>104</v>
      </c>
      <c r="E991">
        <v>11.1</v>
      </c>
      <c r="F991">
        <v>10274</v>
      </c>
      <c r="G991">
        <v>42.18</v>
      </c>
      <c r="H991">
        <v>468.1</v>
      </c>
      <c r="I991">
        <f t="shared" si="33"/>
        <v>12.817773979918819</v>
      </c>
      <c r="J991">
        <f t="shared" si="32"/>
        <v>12.81509105122192</v>
      </c>
      <c r="K991">
        <v>3.0887500000000001</v>
      </c>
      <c r="L991">
        <f>73*(5280/3600)</f>
        <v>107.06666666666666</v>
      </c>
      <c r="M991" s="2"/>
      <c r="N991" s="2"/>
      <c r="O991" s="2"/>
      <c r="P991" s="2"/>
    </row>
    <row r="992" spans="1:16" x14ac:dyDescent="0.3">
      <c r="A992" t="s">
        <v>217</v>
      </c>
      <c r="B992">
        <v>5.82</v>
      </c>
      <c r="C992">
        <v>1140</v>
      </c>
      <c r="D992" t="s">
        <v>210</v>
      </c>
      <c r="E992">
        <v>11.1</v>
      </c>
      <c r="F992">
        <v>10340</v>
      </c>
      <c r="G992">
        <v>43.28</v>
      </c>
      <c r="H992">
        <v>480.4</v>
      </c>
      <c r="I992">
        <f t="shared" si="33"/>
        <v>12.489592006661116</v>
      </c>
      <c r="J992">
        <f t="shared" si="32"/>
        <v>12.489384023579957</v>
      </c>
      <c r="K992">
        <v>4.1268750000000001</v>
      </c>
      <c r="L992">
        <f>78.3*(5280/3600)</f>
        <v>114.83999999999999</v>
      </c>
      <c r="M992" s="2"/>
      <c r="N992" s="2"/>
      <c r="O992" s="2"/>
      <c r="P992" s="2"/>
    </row>
    <row r="993" spans="1:16" x14ac:dyDescent="0.3">
      <c r="A993" t="s">
        <v>217</v>
      </c>
      <c r="B993">
        <v>5.82</v>
      </c>
      <c r="C993">
        <v>1140</v>
      </c>
      <c r="D993" t="s">
        <v>103</v>
      </c>
      <c r="E993">
        <v>11.1</v>
      </c>
      <c r="F993">
        <v>10035</v>
      </c>
      <c r="G993">
        <v>46.32</v>
      </c>
      <c r="H993">
        <v>514.20000000000005</v>
      </c>
      <c r="I993">
        <f t="shared" si="33"/>
        <v>11.668611435239205</v>
      </c>
      <c r="J993">
        <f t="shared" si="32"/>
        <v>11.669700788871772</v>
      </c>
      <c r="K993">
        <v>3.046875</v>
      </c>
      <c r="L993">
        <f>85.5*(5280/3600)</f>
        <v>125.39999999999999</v>
      </c>
      <c r="M993" s="2"/>
      <c r="N993" s="2"/>
      <c r="O993" s="2"/>
      <c r="P993" s="2"/>
    </row>
    <row r="994" spans="1:16" x14ac:dyDescent="0.3">
      <c r="A994" t="s">
        <v>217</v>
      </c>
      <c r="B994">
        <v>5.82</v>
      </c>
      <c r="C994">
        <v>1140</v>
      </c>
      <c r="D994" t="s">
        <v>67</v>
      </c>
      <c r="E994">
        <v>11.1</v>
      </c>
      <c r="F994">
        <v>10563</v>
      </c>
      <c r="G994">
        <v>36.58</v>
      </c>
      <c r="H994">
        <v>406</v>
      </c>
      <c r="I994">
        <f t="shared" si="33"/>
        <v>14.77832512315271</v>
      </c>
      <c r="J994">
        <f t="shared" si="32"/>
        <v>14.776942059610185</v>
      </c>
      <c r="K994">
        <v>3.8537499999999998</v>
      </c>
      <c r="L994">
        <f>60*(5280/3600)</f>
        <v>88</v>
      </c>
      <c r="M994" s="2"/>
      <c r="N994" s="2"/>
      <c r="O994" s="2"/>
      <c r="P994" s="2"/>
    </row>
    <row r="995" spans="1:16" x14ac:dyDescent="0.3">
      <c r="A995" t="s">
        <v>217</v>
      </c>
      <c r="B995">
        <v>5.82</v>
      </c>
      <c r="C995">
        <v>1140</v>
      </c>
      <c r="D995" t="s">
        <v>68</v>
      </c>
      <c r="E995">
        <v>11.1</v>
      </c>
      <c r="F995">
        <v>10202</v>
      </c>
      <c r="G995">
        <v>42.52</v>
      </c>
      <c r="H995">
        <v>472</v>
      </c>
      <c r="I995">
        <f t="shared" si="33"/>
        <v>12.711864406779661</v>
      </c>
      <c r="J995">
        <f t="shared" si="32"/>
        <v>12.712618545167933</v>
      </c>
      <c r="K995">
        <v>3.9087499999999999</v>
      </c>
      <c r="L995">
        <f>67.6*(5280/3600)</f>
        <v>99.146666666666647</v>
      </c>
      <c r="M995" s="2"/>
      <c r="N995" s="2"/>
      <c r="O995" s="2"/>
      <c r="P995" s="2"/>
    </row>
    <row r="996" spans="1:16" x14ac:dyDescent="0.3">
      <c r="A996" t="s">
        <v>217</v>
      </c>
      <c r="B996">
        <v>5.82</v>
      </c>
      <c r="C996">
        <v>1140</v>
      </c>
      <c r="D996" t="s">
        <v>69</v>
      </c>
      <c r="E996">
        <v>11.1</v>
      </c>
      <c r="F996">
        <v>9954</v>
      </c>
      <c r="G996">
        <v>47.09</v>
      </c>
      <c r="H996">
        <v>522.70000000000005</v>
      </c>
      <c r="I996">
        <f t="shared" si="33"/>
        <v>11.478859766596518</v>
      </c>
      <c r="J996">
        <f t="shared" si="32"/>
        <v>11.478881727342122</v>
      </c>
      <c r="K996">
        <v>3.90625</v>
      </c>
      <c r="L996">
        <f>75.4*(5280/3600)</f>
        <v>110.58666666666667</v>
      </c>
      <c r="M996" s="2"/>
      <c r="N996" s="2"/>
      <c r="O996" s="2"/>
      <c r="P996" s="2"/>
    </row>
    <row r="997" spans="1:16" x14ac:dyDescent="0.3">
      <c r="A997" t="s">
        <v>217</v>
      </c>
      <c r="B997">
        <v>5.82</v>
      </c>
      <c r="C997">
        <v>1140</v>
      </c>
      <c r="D997" t="s">
        <v>70</v>
      </c>
      <c r="E997">
        <v>11.1</v>
      </c>
      <c r="F997">
        <v>10006</v>
      </c>
      <c r="G997">
        <v>46.17</v>
      </c>
      <c r="H997">
        <v>512.5</v>
      </c>
      <c r="I997">
        <f t="shared" si="33"/>
        <v>11.707317073170731</v>
      </c>
      <c r="J997">
        <f t="shared" si="32"/>
        <v>11.707614046795333</v>
      </c>
      <c r="K997">
        <v>4.9537500000000003</v>
      </c>
      <c r="L997">
        <f>52.1*(5280/3600)</f>
        <v>76.413333333333327</v>
      </c>
      <c r="M997" s="2"/>
      <c r="N997" s="2"/>
      <c r="O997" s="2"/>
      <c r="P997" s="2"/>
    </row>
    <row r="998" spans="1:16" x14ac:dyDescent="0.3">
      <c r="A998" t="s">
        <v>217</v>
      </c>
      <c r="B998">
        <v>5.82</v>
      </c>
      <c r="C998">
        <v>1140</v>
      </c>
      <c r="D998" t="s">
        <v>71</v>
      </c>
      <c r="E998">
        <v>11.1</v>
      </c>
      <c r="F998">
        <v>9595</v>
      </c>
      <c r="G998">
        <v>52.86</v>
      </c>
      <c r="H998">
        <v>586.70000000000005</v>
      </c>
      <c r="I998">
        <f t="shared" si="33"/>
        <v>10.226691665246292</v>
      </c>
      <c r="J998">
        <f t="shared" si="32"/>
        <v>10.225889908069249</v>
      </c>
      <c r="K998">
        <v>5.0531249999999996</v>
      </c>
      <c r="L998">
        <f>63.6*(5280/3600)</f>
        <v>93.28</v>
      </c>
      <c r="M998" s="33"/>
      <c r="N998" s="33"/>
      <c r="O998" s="33"/>
      <c r="P998" s="33"/>
    </row>
    <row r="999" spans="1:16" x14ac:dyDescent="0.3">
      <c r="A999" t="s">
        <v>217</v>
      </c>
      <c r="B999">
        <v>5.82</v>
      </c>
      <c r="C999">
        <v>1140</v>
      </c>
      <c r="D999" t="s">
        <v>211</v>
      </c>
      <c r="E999">
        <v>11.1</v>
      </c>
      <c r="F999">
        <v>9738</v>
      </c>
      <c r="G999">
        <v>53.36</v>
      </c>
      <c r="H999">
        <v>592.29999999999995</v>
      </c>
      <c r="I999">
        <f t="shared" si="33"/>
        <v>10.130001688333614</v>
      </c>
      <c r="J999">
        <f t="shared" si="32"/>
        <v>10.130070100085094</v>
      </c>
      <c r="K999">
        <v>5.5843749999999996</v>
      </c>
      <c r="L999">
        <f>64.6*(5280/3600)</f>
        <v>94.746666666666655</v>
      </c>
      <c r="M999" s="33"/>
      <c r="N999" s="33"/>
      <c r="O999" s="33"/>
      <c r="P999" s="33"/>
    </row>
    <row r="1000" spans="1:16" x14ac:dyDescent="0.3">
      <c r="A1000" t="s">
        <v>217</v>
      </c>
      <c r="B1000">
        <v>5.82</v>
      </c>
      <c r="C1000">
        <v>1140</v>
      </c>
      <c r="D1000" t="s">
        <v>132</v>
      </c>
      <c r="E1000">
        <v>11.1</v>
      </c>
      <c r="F1000">
        <v>9959</v>
      </c>
      <c r="G1000">
        <v>49.23</v>
      </c>
      <c r="H1000">
        <v>546.5</v>
      </c>
      <c r="I1000">
        <f t="shared" si="33"/>
        <v>10.978956999085089</v>
      </c>
      <c r="J1000">
        <f t="shared" si="32"/>
        <v>10.979901290687398</v>
      </c>
      <c r="K1000">
        <v>4.9031250000000002</v>
      </c>
      <c r="L1000">
        <f>75.4*(5280/3600)</f>
        <v>110.58666666666667</v>
      </c>
      <c r="M1000" s="33"/>
      <c r="N1000" s="33"/>
      <c r="O1000" s="33"/>
      <c r="P1000" s="33"/>
    </row>
    <row r="1001" spans="1:16" x14ac:dyDescent="0.3">
      <c r="A1001" t="s">
        <v>217</v>
      </c>
      <c r="B1001">
        <v>5.82</v>
      </c>
      <c r="C1001">
        <v>1140</v>
      </c>
      <c r="D1001" t="s">
        <v>98</v>
      </c>
      <c r="E1001">
        <v>11.1</v>
      </c>
      <c r="F1001">
        <v>9752</v>
      </c>
      <c r="G1001">
        <v>50.52</v>
      </c>
      <c r="H1001">
        <v>560.79999999999995</v>
      </c>
      <c r="I1001">
        <f t="shared" si="33"/>
        <v>10.699001426533524</v>
      </c>
      <c r="J1001">
        <f t="shared" si="32"/>
        <v>10.699535640153218</v>
      </c>
      <c r="K1001">
        <v>5.9612499999999997</v>
      </c>
      <c r="L1001">
        <f>36.9*(5280/3600)</f>
        <v>54.12</v>
      </c>
      <c r="M1001" s="33"/>
      <c r="N1001" s="33"/>
      <c r="O1001" s="33"/>
      <c r="P1001" s="33"/>
    </row>
    <row r="1002" spans="1:16" x14ac:dyDescent="0.3">
      <c r="A1002" t="s">
        <v>217</v>
      </c>
      <c r="B1002">
        <v>5.82</v>
      </c>
      <c r="C1002">
        <v>1140</v>
      </c>
      <c r="D1002" t="s">
        <v>134</v>
      </c>
      <c r="E1002">
        <v>11.1</v>
      </c>
      <c r="F1002">
        <v>10514</v>
      </c>
      <c r="G1002">
        <v>40.049999999999997</v>
      </c>
      <c r="H1002">
        <v>444.6</v>
      </c>
      <c r="I1002">
        <f t="shared" si="33"/>
        <v>13.495276653171389</v>
      </c>
      <c r="J1002">
        <f t="shared" si="32"/>
        <v>13.496642710125858</v>
      </c>
      <c r="K1002">
        <v>3.2737500000000002</v>
      </c>
      <c r="L1002">
        <f>59.7*(5280/3600)</f>
        <v>87.56</v>
      </c>
      <c r="M1002" s="33"/>
      <c r="N1002" s="33"/>
      <c r="O1002" s="33"/>
      <c r="P1002" s="33"/>
    </row>
    <row r="1003" spans="1:16" x14ac:dyDescent="0.3">
      <c r="A1003" t="s">
        <v>217</v>
      </c>
      <c r="B1003">
        <v>5.82</v>
      </c>
      <c r="C1003">
        <v>1140</v>
      </c>
      <c r="D1003" t="s">
        <v>135</v>
      </c>
      <c r="E1003">
        <v>11.1</v>
      </c>
      <c r="F1003">
        <v>10341</v>
      </c>
      <c r="G1003">
        <v>42.9</v>
      </c>
      <c r="H1003">
        <v>476.2</v>
      </c>
      <c r="I1003">
        <f t="shared" si="33"/>
        <v>12.599748005039899</v>
      </c>
      <c r="J1003">
        <f t="shared" si="32"/>
        <v>12.600012600012601</v>
      </c>
      <c r="K1003">
        <v>3.1368749999999999</v>
      </c>
      <c r="L1003">
        <f>68.5*(5280/3600)</f>
        <v>100.46666666666665</v>
      </c>
      <c r="M1003" s="33"/>
      <c r="N1003" s="33"/>
      <c r="O1003" s="33"/>
      <c r="P1003" s="33"/>
    </row>
    <row r="1004" spans="1:16" x14ac:dyDescent="0.3">
      <c r="A1004" t="s">
        <v>217</v>
      </c>
      <c r="B1004">
        <v>5.82</v>
      </c>
      <c r="C1004">
        <v>1140</v>
      </c>
      <c r="D1004" t="s">
        <v>136</v>
      </c>
      <c r="E1004">
        <v>11.1</v>
      </c>
      <c r="F1004">
        <v>10076</v>
      </c>
      <c r="G1004">
        <v>47.08</v>
      </c>
      <c r="H1004">
        <v>522.6</v>
      </c>
      <c r="I1004">
        <f t="shared" si="33"/>
        <v>11.481056257175659</v>
      </c>
      <c r="J1004">
        <f t="shared" si="32"/>
        <v>11.481319892534845</v>
      </c>
      <c r="K1004">
        <v>3.399375</v>
      </c>
      <c r="L1004">
        <f>76.3*(5280/3600)</f>
        <v>111.90666666666665</v>
      </c>
      <c r="M1004" s="33"/>
      <c r="N1004" s="33"/>
      <c r="O1004" s="33"/>
      <c r="P1004" s="33"/>
    </row>
    <row r="1005" spans="1:16" x14ac:dyDescent="0.3">
      <c r="A1005" t="s">
        <v>217</v>
      </c>
      <c r="B1005">
        <v>5.82</v>
      </c>
      <c r="C1005">
        <v>1140</v>
      </c>
      <c r="D1005" t="s">
        <v>137</v>
      </c>
      <c r="E1005">
        <v>11.1</v>
      </c>
      <c r="F1005">
        <v>10565</v>
      </c>
      <c r="G1005">
        <v>39.590000000000003</v>
      </c>
      <c r="H1005">
        <v>439.4</v>
      </c>
      <c r="I1005">
        <f t="shared" si="33"/>
        <v>13.654984069185252</v>
      </c>
      <c r="J1005">
        <f t="shared" si="32"/>
        <v>13.653461493825221</v>
      </c>
      <c r="K1005">
        <v>4.2699999999999996</v>
      </c>
      <c r="L1005">
        <f>50*(5280/3600)</f>
        <v>73.333333333333329</v>
      </c>
      <c r="M1005" s="33"/>
      <c r="N1005" s="33"/>
      <c r="O1005" s="33"/>
      <c r="P1005" s="33"/>
    </row>
    <row r="1006" spans="1:16" x14ac:dyDescent="0.3">
      <c r="A1006" t="s">
        <v>217</v>
      </c>
      <c r="B1006">
        <v>5.82</v>
      </c>
      <c r="C1006">
        <v>1140</v>
      </c>
      <c r="D1006" t="s">
        <v>138</v>
      </c>
      <c r="E1006">
        <v>11.1</v>
      </c>
      <c r="F1006">
        <v>10222</v>
      </c>
      <c r="G1006">
        <v>45.29</v>
      </c>
      <c r="H1006">
        <v>502.7</v>
      </c>
      <c r="I1006">
        <f t="shared" si="33"/>
        <v>11.935548040580862</v>
      </c>
      <c r="J1006">
        <f t="shared" si="32"/>
        <v>11.935096942824918</v>
      </c>
      <c r="K1006">
        <v>4.7374999999999998</v>
      </c>
      <c r="L1006">
        <f>58.1*(5280/3600)</f>
        <v>85.213333333333324</v>
      </c>
      <c r="M1006" s="33"/>
      <c r="N1006" s="33"/>
      <c r="O1006" s="33"/>
      <c r="P1006" s="33"/>
    </row>
    <row r="1007" spans="1:16" x14ac:dyDescent="0.3">
      <c r="A1007" t="s">
        <v>217</v>
      </c>
      <c r="B1007">
        <v>5.82</v>
      </c>
      <c r="C1007">
        <v>1140</v>
      </c>
      <c r="D1007" t="s">
        <v>139</v>
      </c>
      <c r="E1007">
        <v>11.1</v>
      </c>
      <c r="F1007">
        <v>10159</v>
      </c>
      <c r="G1007">
        <v>46.01</v>
      </c>
      <c r="H1007">
        <v>510.7</v>
      </c>
      <c r="I1007">
        <f t="shared" si="33"/>
        <v>11.748580379870766</v>
      </c>
      <c r="J1007">
        <f t="shared" si="32"/>
        <v>11.748327331896121</v>
      </c>
      <c r="K1007">
        <v>4.7287499999999998</v>
      </c>
      <c r="L1007">
        <f>67.3*(5280/3600)</f>
        <v>98.706666666666649</v>
      </c>
      <c r="M1007" s="33"/>
      <c r="N1007" s="33"/>
      <c r="O1007" s="33"/>
      <c r="P1007" s="33"/>
    </row>
    <row r="1008" spans="1:16" x14ac:dyDescent="0.3">
      <c r="A1008" t="s">
        <v>217</v>
      </c>
      <c r="B1008">
        <v>5.82</v>
      </c>
      <c r="C1008">
        <v>1140</v>
      </c>
      <c r="D1008" t="s">
        <v>155</v>
      </c>
      <c r="E1008">
        <v>11.1</v>
      </c>
      <c r="F1008">
        <v>9695</v>
      </c>
      <c r="G1008">
        <v>53.43</v>
      </c>
      <c r="H1008">
        <v>593.1</v>
      </c>
      <c r="I1008">
        <f t="shared" si="33"/>
        <v>10.116337885685381</v>
      </c>
      <c r="J1008">
        <f t="shared" si="32"/>
        <v>10.11679843796632</v>
      </c>
      <c r="K1008">
        <v>5.3174999999999999</v>
      </c>
      <c r="L1008">
        <f>55.1*(5280/3600)</f>
        <v>80.813333333333333</v>
      </c>
      <c r="M1008" s="33"/>
      <c r="N1008" s="33"/>
      <c r="O1008" s="33"/>
      <c r="P1008" s="33"/>
    </row>
    <row r="1009" spans="1:16" x14ac:dyDescent="0.3">
      <c r="A1009" t="s">
        <v>217</v>
      </c>
      <c r="B1009">
        <v>5.82</v>
      </c>
      <c r="C1009">
        <v>1140</v>
      </c>
      <c r="D1009" t="s">
        <v>101</v>
      </c>
      <c r="E1009">
        <v>11.1</v>
      </c>
      <c r="F1009">
        <v>10653</v>
      </c>
      <c r="G1009">
        <v>38.1</v>
      </c>
      <c r="H1009">
        <v>422.9</v>
      </c>
      <c r="I1009">
        <f t="shared" si="33"/>
        <v>14.187751241428234</v>
      </c>
      <c r="J1009">
        <f t="shared" si="32"/>
        <v>14.187415762218912</v>
      </c>
      <c r="K1009">
        <v>3.9087499999999999</v>
      </c>
      <c r="L1009">
        <f>70.6*(5280/3600)</f>
        <v>103.54666666666665</v>
      </c>
      <c r="M1009" s="33"/>
      <c r="N1009" s="33"/>
      <c r="O1009" s="33"/>
      <c r="P1009" s="33"/>
    </row>
    <row r="1010" spans="1:16" x14ac:dyDescent="0.3">
      <c r="A1010" t="s">
        <v>217</v>
      </c>
      <c r="B1010">
        <v>5.82</v>
      </c>
      <c r="C1010">
        <v>1140</v>
      </c>
      <c r="D1010" t="s">
        <v>80</v>
      </c>
      <c r="E1010">
        <v>11.1</v>
      </c>
      <c r="F1010">
        <v>10031</v>
      </c>
      <c r="G1010">
        <v>48.12</v>
      </c>
      <c r="H1010">
        <v>534.1</v>
      </c>
      <c r="I1010">
        <f t="shared" si="33"/>
        <v>11.233851338700617</v>
      </c>
      <c r="J1010">
        <f t="shared" si="32"/>
        <v>11.233178315472582</v>
      </c>
      <c r="K1010">
        <v>4.8456250000000001</v>
      </c>
      <c r="L1010">
        <f>66.5*(5280/3600)</f>
        <v>97.533333333333331</v>
      </c>
      <c r="M1010" s="33"/>
      <c r="N1010" s="33"/>
      <c r="O1010" s="33"/>
      <c r="P1010" s="33"/>
    </row>
    <row r="1011" spans="1:16" x14ac:dyDescent="0.3">
      <c r="A1011" t="s">
        <v>217</v>
      </c>
      <c r="B1011">
        <v>5.82</v>
      </c>
      <c r="C1011">
        <v>1140</v>
      </c>
      <c r="D1011" t="s">
        <v>127</v>
      </c>
      <c r="E1011">
        <v>14.8</v>
      </c>
      <c r="F1011">
        <v>14330</v>
      </c>
      <c r="G1011">
        <v>40.21</v>
      </c>
      <c r="H1011">
        <v>595.20000000000005</v>
      </c>
      <c r="I1011">
        <f t="shared" si="33"/>
        <v>10.080645161290322</v>
      </c>
      <c r="J1011">
        <f t="shared" si="32"/>
        <v>10.082203566411474</v>
      </c>
      <c r="K1011">
        <v>3.8931249999999999</v>
      </c>
      <c r="L1011">
        <f>81.4*(5280/3600)</f>
        <v>119.38666666666667</v>
      </c>
      <c r="M1011" s="33"/>
      <c r="N1011" s="33"/>
      <c r="O1011" s="33"/>
      <c r="P1011" s="33"/>
    </row>
    <row r="1012" spans="1:16" x14ac:dyDescent="0.3">
      <c r="A1012" t="s">
        <v>217</v>
      </c>
      <c r="B1012">
        <v>5.82</v>
      </c>
      <c r="C1012">
        <v>1140</v>
      </c>
      <c r="D1012" t="s">
        <v>128</v>
      </c>
      <c r="E1012">
        <v>14.8</v>
      </c>
      <c r="F1012">
        <v>13792</v>
      </c>
      <c r="G1012">
        <v>48.58</v>
      </c>
      <c r="H1012">
        <v>718.9</v>
      </c>
      <c r="I1012">
        <f t="shared" si="33"/>
        <v>8.3460842954513836</v>
      </c>
      <c r="J1012">
        <f t="shared" si="32"/>
        <v>8.3451092096625228</v>
      </c>
      <c r="K1012">
        <v>3.73875</v>
      </c>
      <c r="L1012">
        <f>104.5*(5280/3600)</f>
        <v>153.26666666666665</v>
      </c>
      <c r="M1012" s="33"/>
      <c r="N1012" s="33"/>
      <c r="O1012" s="33"/>
      <c r="P1012" s="33"/>
    </row>
    <row r="1013" spans="1:16" x14ac:dyDescent="0.3">
      <c r="A1013" t="s">
        <v>217</v>
      </c>
      <c r="B1013">
        <v>5.82</v>
      </c>
      <c r="C1013">
        <v>1140</v>
      </c>
      <c r="D1013" t="s">
        <v>129</v>
      </c>
      <c r="E1013">
        <v>14.8</v>
      </c>
      <c r="F1013">
        <v>14330</v>
      </c>
      <c r="G1013">
        <v>40.4</v>
      </c>
      <c r="H1013">
        <v>598</v>
      </c>
      <c r="I1013">
        <f t="shared" si="33"/>
        <v>10.033444816053512</v>
      </c>
      <c r="J1013">
        <f t="shared" si="32"/>
        <v>10.034787262510035</v>
      </c>
      <c r="K1013">
        <v>4.9406249999999998</v>
      </c>
      <c r="L1013">
        <f>61.1*(5280/3600)</f>
        <v>89.61333333333333</v>
      </c>
      <c r="M1013" s="33"/>
      <c r="N1013" s="33"/>
      <c r="O1013" s="33"/>
      <c r="P1013" s="33"/>
    </row>
    <row r="1014" spans="1:16" x14ac:dyDescent="0.3">
      <c r="A1014" t="s">
        <v>217</v>
      </c>
      <c r="B1014">
        <v>5.82</v>
      </c>
      <c r="C1014">
        <v>1140</v>
      </c>
      <c r="D1014" t="s">
        <v>107</v>
      </c>
      <c r="E1014">
        <v>14.8</v>
      </c>
      <c r="F1014">
        <v>13908</v>
      </c>
      <c r="G1014">
        <v>46.26</v>
      </c>
      <c r="H1014">
        <v>684.7</v>
      </c>
      <c r="I1014">
        <f t="shared" si="33"/>
        <v>8.7629618811158174</v>
      </c>
      <c r="J1014">
        <f t="shared" si="32"/>
        <v>8.763627440670243</v>
      </c>
      <c r="K1014">
        <v>4.6537499999999996</v>
      </c>
      <c r="L1014">
        <f>79*(5280/3600)</f>
        <v>115.86666666666666</v>
      </c>
      <c r="M1014" s="33"/>
      <c r="N1014" s="33"/>
      <c r="O1014" s="33"/>
      <c r="P1014" s="33"/>
    </row>
    <row r="1015" spans="1:16" x14ac:dyDescent="0.3">
      <c r="A1015" t="s">
        <v>217</v>
      </c>
      <c r="B1015">
        <v>5.82</v>
      </c>
      <c r="C1015">
        <v>1140</v>
      </c>
      <c r="D1015" t="s">
        <v>99</v>
      </c>
      <c r="E1015">
        <v>14.8</v>
      </c>
      <c r="F1015">
        <v>13297</v>
      </c>
      <c r="G1015">
        <v>54.46</v>
      </c>
      <c r="H1015">
        <v>806.1</v>
      </c>
      <c r="I1015">
        <f t="shared" si="33"/>
        <v>7.4432452549311501</v>
      </c>
      <c r="J1015">
        <f t="shared" si="32"/>
        <v>7.4440948476938189</v>
      </c>
      <c r="K1015">
        <v>5.5931249999999997</v>
      </c>
      <c r="L1015">
        <f>63*(5280/3600)</f>
        <v>92.399999999999991</v>
      </c>
      <c r="M1015" s="33"/>
      <c r="N1015" s="33"/>
      <c r="O1015" s="33"/>
      <c r="P1015" s="33"/>
    </row>
    <row r="1016" spans="1:16" x14ac:dyDescent="0.3">
      <c r="A1016" t="s">
        <v>217</v>
      </c>
      <c r="B1016">
        <v>5.82</v>
      </c>
      <c r="C1016">
        <v>1140</v>
      </c>
      <c r="D1016" t="s">
        <v>133</v>
      </c>
      <c r="E1016">
        <v>14.8</v>
      </c>
      <c r="F1016">
        <v>13937</v>
      </c>
      <c r="G1016">
        <v>48.14</v>
      </c>
      <c r="H1016">
        <v>712.5</v>
      </c>
      <c r="I1016">
        <f t="shared" si="33"/>
        <v>8.4210526315789469</v>
      </c>
      <c r="J1016">
        <f t="shared" si="32"/>
        <v>8.4213835771791725</v>
      </c>
      <c r="K1016">
        <v>5.2712500000000002</v>
      </c>
      <c r="L1016">
        <f>66*(5280/3600)</f>
        <v>96.8</v>
      </c>
      <c r="M1016" s="33"/>
      <c r="N1016" s="33"/>
      <c r="O1016" s="33"/>
      <c r="P1016" s="33"/>
    </row>
    <row r="1017" spans="1:16" x14ac:dyDescent="0.3">
      <c r="A1017" t="s">
        <v>217</v>
      </c>
      <c r="B1017">
        <v>5.82</v>
      </c>
      <c r="C1017">
        <v>1140</v>
      </c>
      <c r="D1017" t="s">
        <v>130</v>
      </c>
      <c r="E1017">
        <v>14.8</v>
      </c>
      <c r="F1017">
        <v>14700</v>
      </c>
      <c r="G1017">
        <v>36.799999999999997</v>
      </c>
      <c r="H1017">
        <v>544.70000000000005</v>
      </c>
      <c r="I1017">
        <f t="shared" si="33"/>
        <v>11.015237745548008</v>
      </c>
      <c r="J1017">
        <f t="shared" si="32"/>
        <v>11.016451233842538</v>
      </c>
      <c r="K1017">
        <v>4.57</v>
      </c>
      <c r="L1017">
        <f>69.6*(5280/3600)</f>
        <v>102.07999999999998</v>
      </c>
      <c r="M1017" s="33"/>
      <c r="N1017" s="33"/>
      <c r="O1017" s="33"/>
      <c r="P1017" s="33"/>
    </row>
    <row r="1018" spans="1:16" x14ac:dyDescent="0.3">
      <c r="A1018" t="s">
        <v>217</v>
      </c>
      <c r="B1018">
        <v>5.82</v>
      </c>
      <c r="C1018">
        <v>1140</v>
      </c>
      <c r="D1018" t="s">
        <v>131</v>
      </c>
      <c r="E1018">
        <v>14.8</v>
      </c>
      <c r="F1018">
        <v>13661</v>
      </c>
      <c r="G1018">
        <v>52.42</v>
      </c>
      <c r="H1018">
        <v>775.8</v>
      </c>
      <c r="I1018">
        <f t="shared" si="33"/>
        <v>7.7339520494972938</v>
      </c>
      <c r="J1018">
        <f t="shared" si="32"/>
        <v>7.7337925487486716</v>
      </c>
      <c r="K1018">
        <v>6.0362499999999999</v>
      </c>
      <c r="L1018">
        <f>77.6*(5280/3600)</f>
        <v>113.81333333333332</v>
      </c>
      <c r="M1018" s="33"/>
      <c r="N1018" s="33"/>
      <c r="O1018" s="33"/>
      <c r="P1018" s="33"/>
    </row>
    <row r="1019" spans="1:16" x14ac:dyDescent="0.3">
      <c r="A1019" t="s">
        <v>217</v>
      </c>
      <c r="B1019">
        <v>5.82</v>
      </c>
      <c r="C1019">
        <v>1140</v>
      </c>
      <c r="D1019" t="s">
        <v>145</v>
      </c>
      <c r="E1019">
        <v>14.8</v>
      </c>
      <c r="F1019">
        <v>14551</v>
      </c>
      <c r="G1019">
        <v>39.25</v>
      </c>
      <c r="H1019">
        <v>580.9</v>
      </c>
      <c r="I1019">
        <f t="shared" si="33"/>
        <v>10.328800137717336</v>
      </c>
      <c r="J1019">
        <f t="shared" si="32"/>
        <v>10.328800137717334</v>
      </c>
      <c r="K1019">
        <v>4.4887499999999996</v>
      </c>
      <c r="L1019">
        <f>82.7*(5280/3600)</f>
        <v>121.29333333333332</v>
      </c>
      <c r="M1019" s="33"/>
      <c r="N1019" s="33"/>
      <c r="O1019" s="33"/>
      <c r="P1019" s="33"/>
    </row>
    <row r="1020" spans="1:16" x14ac:dyDescent="0.3">
      <c r="A1020" t="s">
        <v>217</v>
      </c>
      <c r="B1020">
        <v>5.82</v>
      </c>
      <c r="C1020">
        <v>1140</v>
      </c>
      <c r="D1020" t="s">
        <v>79</v>
      </c>
      <c r="E1020">
        <v>14.8</v>
      </c>
      <c r="F1020">
        <v>13549</v>
      </c>
      <c r="G1020">
        <v>54.01</v>
      </c>
      <c r="H1020">
        <v>799.4</v>
      </c>
      <c r="I1020">
        <f t="shared" si="33"/>
        <v>7.505629221916438</v>
      </c>
      <c r="J1020">
        <f t="shared" si="32"/>
        <v>7.5061174857508872</v>
      </c>
      <c r="K1020">
        <v>6.4924999999999997</v>
      </c>
      <c r="L1020">
        <f>64.2*(5280/3600)</f>
        <v>94.16</v>
      </c>
      <c r="M1020" s="33"/>
      <c r="N1020" s="33"/>
      <c r="O1020" s="33"/>
      <c r="P1020" s="33"/>
    </row>
    <row r="1021" spans="1:16" x14ac:dyDescent="0.3">
      <c r="A1021" t="s">
        <v>217</v>
      </c>
      <c r="B1021">
        <v>5.82</v>
      </c>
      <c r="C1021">
        <v>1140</v>
      </c>
      <c r="D1021" t="s">
        <v>148</v>
      </c>
      <c r="E1021">
        <v>18.5</v>
      </c>
      <c r="F1021">
        <v>18590</v>
      </c>
      <c r="G1021">
        <v>37.01</v>
      </c>
      <c r="H1021">
        <v>684.6</v>
      </c>
      <c r="I1021">
        <f t="shared" si="33"/>
        <v>8.7642418930762478</v>
      </c>
      <c r="J1021">
        <f t="shared" si="32"/>
        <v>8.7631538590738813</v>
      </c>
      <c r="K1021">
        <v>3.6549999999999998</v>
      </c>
      <c r="L1021">
        <f>88*(5280/3600)</f>
        <v>129.06666666666666</v>
      </c>
      <c r="M1021" s="33"/>
      <c r="N1021" s="33"/>
      <c r="O1021" s="33"/>
      <c r="P1021" s="33"/>
    </row>
    <row r="1022" spans="1:16" x14ac:dyDescent="0.3">
      <c r="A1022" t="s">
        <v>217</v>
      </c>
      <c r="B1022">
        <v>5.82</v>
      </c>
      <c r="C1022">
        <v>1140</v>
      </c>
      <c r="D1022" t="s">
        <v>149</v>
      </c>
      <c r="E1022">
        <v>18.5</v>
      </c>
      <c r="F1022">
        <v>18524</v>
      </c>
      <c r="G1022">
        <v>37.81</v>
      </c>
      <c r="H1022">
        <v>699.5</v>
      </c>
      <c r="I1022">
        <f t="shared" si="33"/>
        <v>8.5775553967119365</v>
      </c>
      <c r="J1022">
        <f t="shared" si="32"/>
        <v>8.5777393367977872</v>
      </c>
      <c r="K1022">
        <v>3.8318750000000001</v>
      </c>
      <c r="L1022">
        <f>105.3*(5280/3600)</f>
        <v>154.44</v>
      </c>
      <c r="M1022" s="33"/>
      <c r="N1022" s="33"/>
      <c r="O1022" s="33"/>
      <c r="P1022" s="33"/>
    </row>
    <row r="1023" spans="1:16" x14ac:dyDescent="0.3">
      <c r="A1023" t="s">
        <v>217</v>
      </c>
      <c r="B1023">
        <v>5.82</v>
      </c>
      <c r="C1023">
        <v>1140</v>
      </c>
      <c r="D1023" t="s">
        <v>125</v>
      </c>
      <c r="E1023">
        <v>18.5</v>
      </c>
      <c r="F1023">
        <v>17898</v>
      </c>
      <c r="G1023">
        <v>45.37</v>
      </c>
      <c r="H1023">
        <v>839.4</v>
      </c>
      <c r="I1023">
        <f t="shared" si="33"/>
        <v>7.147962830593281</v>
      </c>
      <c r="J1023">
        <f t="shared" si="32"/>
        <v>7.1484312171991258</v>
      </c>
      <c r="K1023">
        <v>3.7237499999999999</v>
      </c>
      <c r="L1023">
        <f>118.6*(5280/3600)</f>
        <v>173.94666666666666</v>
      </c>
      <c r="M1023" s="33"/>
      <c r="N1023" s="33"/>
      <c r="O1023" s="33"/>
      <c r="P1023" s="33"/>
    </row>
    <row r="1024" spans="1:16" x14ac:dyDescent="0.3">
      <c r="A1024" t="s">
        <v>217</v>
      </c>
      <c r="B1024">
        <v>5.82</v>
      </c>
      <c r="C1024">
        <v>1140</v>
      </c>
      <c r="D1024" t="s">
        <v>126</v>
      </c>
      <c r="E1024">
        <v>18.5</v>
      </c>
      <c r="F1024">
        <v>18048</v>
      </c>
      <c r="G1024">
        <v>43.41</v>
      </c>
      <c r="H1024">
        <v>803.1</v>
      </c>
      <c r="I1024">
        <f t="shared" si="33"/>
        <v>7.4710496824803876</v>
      </c>
      <c r="J1024">
        <f t="shared" si="32"/>
        <v>7.4711892265451354</v>
      </c>
      <c r="K1024">
        <v>4.8150000000000004</v>
      </c>
      <c r="L1024">
        <f>68.4*(5280/3600)</f>
        <v>100.32000000000001</v>
      </c>
      <c r="M1024" s="33"/>
      <c r="N1024" s="33"/>
      <c r="O1024" s="33"/>
      <c r="P1024" s="33"/>
    </row>
    <row r="1025" spans="1:16" x14ac:dyDescent="0.3">
      <c r="A1025" t="s">
        <v>217</v>
      </c>
      <c r="B1025">
        <v>5.82</v>
      </c>
      <c r="C1025">
        <v>1140</v>
      </c>
      <c r="D1025" t="s">
        <v>145</v>
      </c>
      <c r="E1025">
        <v>18.5</v>
      </c>
      <c r="F1025">
        <v>17324</v>
      </c>
      <c r="G1025">
        <v>54.95</v>
      </c>
      <c r="H1025">
        <v>1016.6</v>
      </c>
      <c r="I1025">
        <f t="shared" si="33"/>
        <v>5.9020263623844187</v>
      </c>
      <c r="J1025">
        <f t="shared" si="32"/>
        <v>5.9021715072670489</v>
      </c>
      <c r="K1025">
        <v>6.4437499999999996</v>
      </c>
      <c r="L1025">
        <f>98.4*(5280/3600)</f>
        <v>144.32</v>
      </c>
      <c r="M1025" s="33"/>
      <c r="N1025" s="33"/>
      <c r="O1025" s="33"/>
      <c r="P1025" s="33"/>
    </row>
    <row r="1026" spans="1:16" x14ac:dyDescent="0.3">
      <c r="A1026" t="s">
        <v>217</v>
      </c>
      <c r="B1026">
        <v>5.82</v>
      </c>
      <c r="C1026">
        <v>1140</v>
      </c>
      <c r="D1026" t="s">
        <v>165</v>
      </c>
      <c r="E1026">
        <v>22.2</v>
      </c>
      <c r="F1026">
        <v>22681</v>
      </c>
      <c r="G1026">
        <v>36.93</v>
      </c>
      <c r="H1026">
        <v>819.8</v>
      </c>
      <c r="I1026">
        <f t="shared" si="33"/>
        <v>7.3188582581117352</v>
      </c>
      <c r="J1026">
        <f t="shared" si="32"/>
        <v>7.3184476108927772</v>
      </c>
      <c r="K1026">
        <v>3.0425</v>
      </c>
      <c r="L1026">
        <f>139.6*(5280/3600)</f>
        <v>204.74666666666664</v>
      </c>
      <c r="M1026" s="33"/>
      <c r="N1026" s="33"/>
      <c r="O1026" s="33"/>
      <c r="P1026" s="33"/>
    </row>
    <row r="1027" spans="1:16" x14ac:dyDescent="0.3">
      <c r="A1027" t="s">
        <v>217</v>
      </c>
      <c r="B1027">
        <v>5.82</v>
      </c>
      <c r="C1027">
        <v>1140</v>
      </c>
      <c r="D1027" t="s">
        <v>146</v>
      </c>
      <c r="E1027">
        <v>22.2</v>
      </c>
      <c r="F1027">
        <v>22086</v>
      </c>
      <c r="G1027">
        <v>44.1</v>
      </c>
      <c r="H1027">
        <v>979.1</v>
      </c>
      <c r="I1027">
        <f t="shared" si="33"/>
        <v>6.1280768052292922</v>
      </c>
      <c r="J1027">
        <f t="shared" ref="J1027:J1030" si="34">( ($N$1/E1027)/G1027)*60</f>
        <v>6.1285775571489856</v>
      </c>
      <c r="K1027">
        <v>4.9606250000000003</v>
      </c>
      <c r="L1027">
        <f>83.7*(5280/3600)</f>
        <v>122.75999999999999</v>
      </c>
      <c r="M1027" s="33"/>
      <c r="N1027" s="33"/>
      <c r="O1027" s="33"/>
      <c r="P1027" s="33"/>
    </row>
    <row r="1028" spans="1:16" x14ac:dyDescent="0.3">
      <c r="A1028" t="s">
        <v>217</v>
      </c>
      <c r="B1028">
        <v>5.82</v>
      </c>
      <c r="C1028">
        <v>1140</v>
      </c>
      <c r="D1028" t="s">
        <v>148</v>
      </c>
      <c r="E1028">
        <v>22.2</v>
      </c>
      <c r="F1028">
        <v>21435</v>
      </c>
      <c r="G1028">
        <v>52.51</v>
      </c>
      <c r="H1028">
        <v>1165.7</v>
      </c>
      <c r="I1028">
        <f t="shared" ref="I1028:I1030" si="35" xml:space="preserve"> ($N$1/H1028)*60</f>
        <v>5.1471219010036888</v>
      </c>
      <c r="J1028">
        <f t="shared" si="34"/>
        <v>5.147024762336132</v>
      </c>
      <c r="K1028">
        <v>4.8612500000000001</v>
      </c>
      <c r="L1028">
        <f>101.5*(5280/3600)</f>
        <v>148.86666666666665</v>
      </c>
      <c r="M1028" s="33"/>
      <c r="N1028" s="33"/>
      <c r="O1028" s="33"/>
      <c r="P1028" s="33"/>
    </row>
    <row r="1029" spans="1:16" x14ac:dyDescent="0.3">
      <c r="A1029" t="s">
        <v>217</v>
      </c>
      <c r="B1029">
        <v>5.82</v>
      </c>
      <c r="C1029">
        <v>1140</v>
      </c>
      <c r="D1029" t="s">
        <v>149</v>
      </c>
      <c r="E1029">
        <v>22.2</v>
      </c>
      <c r="F1029">
        <v>21321</v>
      </c>
      <c r="G1029">
        <v>53.88</v>
      </c>
      <c r="H1029">
        <v>1196.2</v>
      </c>
      <c r="I1029">
        <f t="shared" si="35"/>
        <v>5.015883631499749</v>
      </c>
      <c r="J1029">
        <f t="shared" si="34"/>
        <v>5.0161520094704946</v>
      </c>
      <c r="K1029">
        <v>5.1143749999999999</v>
      </c>
      <c r="L1029">
        <f>121.1*(5280/3600)</f>
        <v>177.61333333333332</v>
      </c>
      <c r="M1029" s="33"/>
      <c r="N1029" s="33"/>
      <c r="O1029" s="33"/>
      <c r="P1029" s="33"/>
    </row>
    <row r="1030" spans="1:16" x14ac:dyDescent="0.3">
      <c r="A1030" t="s">
        <v>217</v>
      </c>
      <c r="B1030">
        <v>5.82</v>
      </c>
      <c r="C1030">
        <v>1140</v>
      </c>
      <c r="D1030" t="s">
        <v>144</v>
      </c>
      <c r="E1030">
        <v>22.2</v>
      </c>
      <c r="F1030">
        <v>22539</v>
      </c>
      <c r="G1030">
        <v>39.08</v>
      </c>
      <c r="H1030">
        <v>867.7</v>
      </c>
      <c r="I1030">
        <f t="shared" si="35"/>
        <v>6.9148323153163531</v>
      </c>
      <c r="J1030">
        <f t="shared" si="34"/>
        <v>6.9158206312761079</v>
      </c>
      <c r="K1030">
        <v>4.6606249999999996</v>
      </c>
      <c r="L1030">
        <f>85.4*(5280/3600)</f>
        <v>125.25333333333333</v>
      </c>
    </row>
  </sheetData>
  <autoFilter ref="D1:D1030" xr:uid="{213D0028-6FE6-411C-BD7E-D4AC17792C8F}"/>
  <phoneticPr fontId="7"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A44A-60FC-45BF-880B-3D810AB85982}">
  <sheetPr codeName="Sheet12"/>
  <dimension ref="A1:Q146"/>
  <sheetViews>
    <sheetView topLeftCell="A113" workbookViewId="0">
      <selection activeCell="H150" sqref="H150"/>
    </sheetView>
  </sheetViews>
  <sheetFormatPr defaultRowHeight="14.4" x14ac:dyDescent="0.3"/>
  <cols>
    <col min="1" max="1" width="20.44140625" customWidth="1"/>
    <col min="2" max="2" width="19.5546875" customWidth="1"/>
    <col min="3" max="3" width="22" customWidth="1"/>
    <col min="4" max="4" width="19.33203125" customWidth="1"/>
    <col min="5" max="5" width="17.109375" customWidth="1"/>
    <col min="6" max="6" width="19.109375" customWidth="1"/>
    <col min="7" max="7" width="15.44140625" customWidth="1"/>
    <col min="8" max="8" width="14" customWidth="1"/>
    <col min="9" max="9" width="17.33203125" customWidth="1"/>
    <col min="10" max="10" width="22.6640625" customWidth="1"/>
    <col min="11" max="11" width="18.5546875" customWidth="1"/>
    <col min="12" max="12" width="16.6640625" customWidth="1"/>
    <col min="13" max="13" width="23.109375" customWidth="1"/>
    <col min="25" max="25" width="45.6640625" customWidth="1"/>
  </cols>
  <sheetData>
    <row r="1" spans="1:17" ht="16.2" thickBot="1" x14ac:dyDescent="0.35">
      <c r="A1" t="s">
        <v>83</v>
      </c>
      <c r="B1" t="s">
        <v>93</v>
      </c>
      <c r="C1" t="s">
        <v>82</v>
      </c>
      <c r="D1" s="1" t="s">
        <v>84</v>
      </c>
      <c r="E1" s="1" t="s">
        <v>95</v>
      </c>
      <c r="F1" s="1" t="s">
        <v>96</v>
      </c>
      <c r="G1" s="1" t="s">
        <v>85</v>
      </c>
      <c r="H1" s="1" t="s">
        <v>86</v>
      </c>
      <c r="I1" s="1" t="s">
        <v>87</v>
      </c>
      <c r="J1" s="1" t="s">
        <v>88</v>
      </c>
      <c r="K1" s="1" t="s">
        <v>89</v>
      </c>
      <c r="L1" s="1" t="s">
        <v>90</v>
      </c>
      <c r="M1" s="1" t="s">
        <v>91</v>
      </c>
      <c r="N1" t="s">
        <v>94</v>
      </c>
    </row>
    <row r="2" spans="1:17" ht="16.2" thickBot="1" x14ac:dyDescent="0.35">
      <c r="A2" t="s">
        <v>168</v>
      </c>
      <c r="B2">
        <v>1.27</v>
      </c>
      <c r="C2">
        <v>1030</v>
      </c>
      <c r="D2" s="9" t="s">
        <v>141</v>
      </c>
      <c r="E2" s="9">
        <v>2</v>
      </c>
      <c r="F2" s="9">
        <v>7.4</v>
      </c>
      <c r="G2" s="9">
        <v>3.07</v>
      </c>
      <c r="H2" s="9">
        <v>22.7</v>
      </c>
      <c r="I2" s="10">
        <v>6581</v>
      </c>
      <c r="J2" s="9">
        <v>37.4</v>
      </c>
      <c r="K2" s="9">
        <v>113</v>
      </c>
      <c r="L2" s="9">
        <v>3.97</v>
      </c>
      <c r="M2" s="11">
        <v>4.95</v>
      </c>
      <c r="N2" s="2"/>
      <c r="O2" s="4"/>
      <c r="P2" s="2"/>
      <c r="Q2" s="4"/>
    </row>
    <row r="3" spans="1:17" ht="16.2" thickBot="1" x14ac:dyDescent="0.35">
      <c r="A3" t="s">
        <v>168</v>
      </c>
      <c r="B3">
        <v>1.27</v>
      </c>
      <c r="C3">
        <v>1030</v>
      </c>
      <c r="D3" s="8" t="s">
        <v>125</v>
      </c>
      <c r="E3" s="8">
        <v>2</v>
      </c>
      <c r="F3" s="8">
        <v>7.4</v>
      </c>
      <c r="G3" s="8">
        <v>4.16</v>
      </c>
      <c r="H3" s="8">
        <v>30.8</v>
      </c>
      <c r="I3" s="22">
        <v>6006</v>
      </c>
      <c r="J3" s="8">
        <v>39.799999999999997</v>
      </c>
      <c r="K3" s="8">
        <v>174</v>
      </c>
      <c r="L3" s="8">
        <v>6.14</v>
      </c>
      <c r="M3" s="23">
        <v>5.66</v>
      </c>
      <c r="N3" s="2"/>
      <c r="O3" t="s">
        <v>169</v>
      </c>
      <c r="P3" s="2"/>
      <c r="Q3" s="4"/>
    </row>
    <row r="4" spans="1:17" ht="16.2" thickBot="1" x14ac:dyDescent="0.35">
      <c r="A4" t="s">
        <v>168</v>
      </c>
      <c r="B4">
        <v>1.27</v>
      </c>
      <c r="C4">
        <v>1030</v>
      </c>
      <c r="D4" s="9" t="s">
        <v>182</v>
      </c>
      <c r="E4" s="9">
        <v>2</v>
      </c>
      <c r="F4" s="9">
        <v>7.4</v>
      </c>
      <c r="G4" s="9">
        <v>3.76</v>
      </c>
      <c r="H4" s="9">
        <v>27.8</v>
      </c>
      <c r="I4" s="10">
        <v>6233</v>
      </c>
      <c r="J4" s="9">
        <v>22.4</v>
      </c>
      <c r="K4" s="9">
        <v>246</v>
      </c>
      <c r="L4" s="9">
        <v>8.69</v>
      </c>
      <c r="M4" s="11">
        <v>8.85</v>
      </c>
      <c r="N4" s="2"/>
      <c r="O4" t="s">
        <v>180</v>
      </c>
      <c r="P4" s="2"/>
      <c r="Q4" s="4"/>
    </row>
    <row r="5" spans="1:17" ht="16.2" thickBot="1" x14ac:dyDescent="0.35">
      <c r="A5" t="s">
        <v>168</v>
      </c>
      <c r="B5">
        <v>1.27</v>
      </c>
      <c r="C5">
        <v>1030</v>
      </c>
      <c r="D5" s="12" t="s">
        <v>126</v>
      </c>
      <c r="E5" s="12">
        <v>2</v>
      </c>
      <c r="F5" s="12">
        <v>7.4</v>
      </c>
      <c r="G5" s="12">
        <v>3.61</v>
      </c>
      <c r="H5" s="12">
        <v>26.7</v>
      </c>
      <c r="I5" s="13">
        <v>6305</v>
      </c>
      <c r="J5" s="12">
        <v>23.9</v>
      </c>
      <c r="K5" s="12">
        <v>234</v>
      </c>
      <c r="L5" s="12">
        <v>8.25</v>
      </c>
      <c r="M5" s="14">
        <v>8.75</v>
      </c>
      <c r="N5" s="2"/>
      <c r="O5" t="s">
        <v>170</v>
      </c>
      <c r="P5" s="2"/>
      <c r="Q5" s="4"/>
    </row>
    <row r="6" spans="1:17" ht="16.2" thickBot="1" x14ac:dyDescent="0.35">
      <c r="A6" t="s">
        <v>168</v>
      </c>
      <c r="B6">
        <v>1.27</v>
      </c>
      <c r="C6">
        <v>1030</v>
      </c>
      <c r="D6" s="12" t="s">
        <v>150</v>
      </c>
      <c r="E6" s="12">
        <v>2</v>
      </c>
      <c r="F6" s="12">
        <v>7.4</v>
      </c>
      <c r="G6" s="12">
        <v>2.88</v>
      </c>
      <c r="H6" s="12">
        <v>21.3</v>
      </c>
      <c r="I6" s="13">
        <v>6690</v>
      </c>
      <c r="J6" s="12">
        <v>25.3</v>
      </c>
      <c r="K6" s="12">
        <v>160</v>
      </c>
      <c r="L6" s="12">
        <v>5.65</v>
      </c>
      <c r="M6" s="14">
        <v>7.53</v>
      </c>
      <c r="N6" s="2"/>
      <c r="O6" t="s">
        <v>171</v>
      </c>
      <c r="P6" s="2"/>
      <c r="Q6" s="4"/>
    </row>
    <row r="7" spans="1:17" ht="16.2" thickBot="1" x14ac:dyDescent="0.35">
      <c r="A7" t="s">
        <v>168</v>
      </c>
      <c r="B7">
        <v>1.27</v>
      </c>
      <c r="C7">
        <v>1030</v>
      </c>
      <c r="D7" s="15" t="s">
        <v>183</v>
      </c>
      <c r="E7" s="15">
        <v>2</v>
      </c>
      <c r="F7" s="15">
        <v>7.4</v>
      </c>
      <c r="G7" s="15">
        <v>4.22</v>
      </c>
      <c r="H7" s="15">
        <v>31.2</v>
      </c>
      <c r="I7" s="16">
        <v>5985</v>
      </c>
      <c r="J7" s="15">
        <v>26.6</v>
      </c>
      <c r="K7" s="15">
        <v>264</v>
      </c>
      <c r="L7" s="15">
        <v>9.33</v>
      </c>
      <c r="M7" s="17">
        <v>8.4700000000000006</v>
      </c>
      <c r="N7" s="2"/>
      <c r="O7" t="s">
        <v>172</v>
      </c>
      <c r="P7" s="2"/>
      <c r="Q7" s="4"/>
    </row>
    <row r="8" spans="1:17" ht="16.2" thickBot="1" x14ac:dyDescent="0.35">
      <c r="A8" t="s">
        <v>168</v>
      </c>
      <c r="B8">
        <v>1.27</v>
      </c>
      <c r="C8">
        <v>1030</v>
      </c>
      <c r="D8" s="15" t="s">
        <v>127</v>
      </c>
      <c r="E8" s="15">
        <v>2</v>
      </c>
      <c r="F8" s="15">
        <v>7.4</v>
      </c>
      <c r="G8" s="15">
        <v>4.75</v>
      </c>
      <c r="H8" s="15">
        <v>35.200000000000003</v>
      </c>
      <c r="I8" s="16">
        <v>5680</v>
      </c>
      <c r="J8" s="15">
        <v>32.299999999999997</v>
      </c>
      <c r="K8" s="15">
        <v>235</v>
      </c>
      <c r="L8" s="15">
        <v>8.2899999999999991</v>
      </c>
      <c r="M8" s="17">
        <v>6.68</v>
      </c>
      <c r="N8" s="2"/>
      <c r="O8" t="s">
        <v>173</v>
      </c>
      <c r="P8" s="2"/>
      <c r="Q8" s="4"/>
    </row>
    <row r="9" spans="1:17" ht="16.2" thickBot="1" x14ac:dyDescent="0.35">
      <c r="A9" t="s">
        <v>168</v>
      </c>
      <c r="B9">
        <v>1.27</v>
      </c>
      <c r="C9">
        <v>1030</v>
      </c>
      <c r="D9" s="15" t="s">
        <v>184</v>
      </c>
      <c r="E9" s="15">
        <v>2</v>
      </c>
      <c r="F9" s="15">
        <v>7.4</v>
      </c>
      <c r="G9" s="15">
        <v>5.35</v>
      </c>
      <c r="H9" s="15">
        <v>39.6</v>
      </c>
      <c r="I9" s="16">
        <v>5391</v>
      </c>
      <c r="J9" s="15">
        <v>30.6</v>
      </c>
      <c r="K9" s="15">
        <v>268</v>
      </c>
      <c r="L9" s="15">
        <v>9.44</v>
      </c>
      <c r="M9" s="17">
        <v>6.75</v>
      </c>
      <c r="N9" s="2"/>
      <c r="O9" t="s">
        <v>174</v>
      </c>
      <c r="P9" s="2"/>
      <c r="Q9" s="4"/>
    </row>
    <row r="10" spans="1:17" ht="16.2" thickBot="1" x14ac:dyDescent="0.35">
      <c r="A10" t="s">
        <v>168</v>
      </c>
      <c r="B10">
        <v>1.27</v>
      </c>
      <c r="C10">
        <v>1030</v>
      </c>
      <c r="D10" s="15" t="s">
        <v>128</v>
      </c>
      <c r="E10" s="15">
        <v>2</v>
      </c>
      <c r="F10" s="15">
        <v>7.4</v>
      </c>
      <c r="G10" s="15">
        <v>6.07</v>
      </c>
      <c r="H10" s="15">
        <v>44.9</v>
      </c>
      <c r="I10" s="16">
        <v>4960</v>
      </c>
      <c r="J10" s="15">
        <v>37.6</v>
      </c>
      <c r="K10" s="15">
        <v>196</v>
      </c>
      <c r="L10" s="15">
        <v>6.92</v>
      </c>
      <c r="M10" s="17">
        <v>4.37</v>
      </c>
      <c r="N10" s="2"/>
      <c r="O10" t="s">
        <v>175</v>
      </c>
      <c r="P10" s="2"/>
      <c r="Q10" s="4"/>
    </row>
    <row r="11" spans="1:17" ht="16.2" thickBot="1" x14ac:dyDescent="0.35">
      <c r="A11" t="s">
        <v>168</v>
      </c>
      <c r="B11">
        <v>1.27</v>
      </c>
      <c r="C11">
        <v>1030</v>
      </c>
      <c r="D11" s="15" t="s">
        <v>185</v>
      </c>
      <c r="E11" s="15">
        <v>2</v>
      </c>
      <c r="F11" s="15">
        <v>7.4</v>
      </c>
      <c r="G11" s="15">
        <v>4.67</v>
      </c>
      <c r="H11" s="15">
        <v>34.6</v>
      </c>
      <c r="I11" s="16">
        <v>5729</v>
      </c>
      <c r="J11" s="15">
        <v>20.6</v>
      </c>
      <c r="K11" s="15">
        <v>293</v>
      </c>
      <c r="L11" s="15">
        <v>10.32</v>
      </c>
      <c r="M11" s="17">
        <v>8.4600000000000009</v>
      </c>
      <c r="N11" s="2"/>
      <c r="O11" t="s">
        <v>176</v>
      </c>
      <c r="P11" s="2"/>
      <c r="Q11" s="4"/>
    </row>
    <row r="12" spans="1:17" ht="16.2" thickBot="1" x14ac:dyDescent="0.35">
      <c r="A12" t="s">
        <v>168</v>
      </c>
      <c r="B12">
        <v>1.27</v>
      </c>
      <c r="C12">
        <v>1030</v>
      </c>
      <c r="D12" s="15" t="s">
        <v>129</v>
      </c>
      <c r="E12" s="15">
        <v>2</v>
      </c>
      <c r="F12" s="15">
        <v>7.4</v>
      </c>
      <c r="G12" s="15">
        <v>4.67</v>
      </c>
      <c r="H12" s="15">
        <v>34.5</v>
      </c>
      <c r="I12" s="16">
        <v>5714</v>
      </c>
      <c r="J12" s="15">
        <v>24.3</v>
      </c>
      <c r="K12" s="15">
        <v>297</v>
      </c>
      <c r="L12" s="15">
        <v>10.49</v>
      </c>
      <c r="M12" s="17">
        <v>8.6199999999999992</v>
      </c>
      <c r="N12" s="2"/>
      <c r="O12" t="s">
        <v>177</v>
      </c>
      <c r="P12" s="2"/>
      <c r="Q12" s="4"/>
    </row>
    <row r="13" spans="1:17" ht="16.2" thickBot="1" x14ac:dyDescent="0.35">
      <c r="A13" t="s">
        <v>168</v>
      </c>
      <c r="B13">
        <v>1.27</v>
      </c>
      <c r="C13">
        <v>1030</v>
      </c>
      <c r="D13" s="15" t="s">
        <v>186</v>
      </c>
      <c r="E13" s="15">
        <v>2</v>
      </c>
      <c r="F13" s="15">
        <v>7.4</v>
      </c>
      <c r="G13" s="15">
        <v>5.22</v>
      </c>
      <c r="H13" s="15">
        <v>38.6</v>
      </c>
      <c r="I13" s="16">
        <v>5444</v>
      </c>
      <c r="J13" s="15">
        <v>24.2</v>
      </c>
      <c r="K13" s="15">
        <v>313</v>
      </c>
      <c r="L13" s="15">
        <v>11.04</v>
      </c>
      <c r="M13" s="17">
        <v>8.1</v>
      </c>
      <c r="N13" s="2"/>
      <c r="O13" t="s">
        <v>178</v>
      </c>
      <c r="P13" s="2"/>
      <c r="Q13" s="4"/>
    </row>
    <row r="14" spans="1:17" ht="16.2" thickBot="1" x14ac:dyDescent="0.35">
      <c r="A14" t="s">
        <v>168</v>
      </c>
      <c r="B14">
        <v>1.27</v>
      </c>
      <c r="C14">
        <v>1030</v>
      </c>
      <c r="D14" s="15" t="s">
        <v>130</v>
      </c>
      <c r="E14" s="15">
        <v>2</v>
      </c>
      <c r="F14" s="15">
        <v>7.4</v>
      </c>
      <c r="G14" s="15">
        <v>4.3</v>
      </c>
      <c r="H14" s="15">
        <v>31.8</v>
      </c>
      <c r="I14" s="16">
        <v>5945</v>
      </c>
      <c r="J14" s="15">
        <v>28.1</v>
      </c>
      <c r="K14" s="15">
        <v>243</v>
      </c>
      <c r="L14" s="15">
        <v>8.57</v>
      </c>
      <c r="M14" s="17">
        <v>7.65</v>
      </c>
      <c r="N14" s="2"/>
      <c r="O14" t="s">
        <v>179</v>
      </c>
      <c r="P14" s="2"/>
      <c r="Q14" s="4"/>
    </row>
    <row r="15" spans="1:17" ht="16.2" thickBot="1" x14ac:dyDescent="0.35">
      <c r="A15" t="s">
        <v>168</v>
      </c>
      <c r="B15">
        <v>1.27</v>
      </c>
      <c r="C15">
        <v>1030</v>
      </c>
      <c r="D15" s="15" t="s">
        <v>107</v>
      </c>
      <c r="E15" s="15">
        <v>2</v>
      </c>
      <c r="F15" s="15">
        <v>7.4</v>
      </c>
      <c r="G15" s="15">
        <v>5.24</v>
      </c>
      <c r="H15" s="15">
        <v>38.799999999999997</v>
      </c>
      <c r="I15" s="16">
        <v>5445</v>
      </c>
      <c r="J15" s="15">
        <v>30.9</v>
      </c>
      <c r="K15" s="15">
        <v>287</v>
      </c>
      <c r="L15" s="15">
        <v>10.119999999999999</v>
      </c>
      <c r="M15" s="17">
        <v>7.4</v>
      </c>
      <c r="N15" s="2"/>
      <c r="O15" t="s">
        <v>219</v>
      </c>
      <c r="P15" s="2"/>
      <c r="Q15" s="4"/>
    </row>
    <row r="16" spans="1:17" ht="16.2" thickBot="1" x14ac:dyDescent="0.35">
      <c r="A16" t="s">
        <v>168</v>
      </c>
      <c r="B16">
        <v>1.27</v>
      </c>
      <c r="C16">
        <v>1030</v>
      </c>
      <c r="D16" s="7" t="s">
        <v>187</v>
      </c>
      <c r="E16" s="7">
        <v>2</v>
      </c>
      <c r="F16" s="7">
        <v>7.4</v>
      </c>
      <c r="G16" s="7">
        <v>6.58</v>
      </c>
      <c r="H16" s="7">
        <v>48.7</v>
      </c>
      <c r="I16" s="18">
        <v>4632</v>
      </c>
      <c r="J16" s="7">
        <v>26.3</v>
      </c>
      <c r="K16" s="7">
        <v>308</v>
      </c>
      <c r="L16" s="7">
        <v>10.88</v>
      </c>
      <c r="M16" s="19">
        <v>6.33</v>
      </c>
      <c r="N16" s="2"/>
      <c r="O16" t="s">
        <v>181</v>
      </c>
      <c r="P16" s="2"/>
      <c r="Q16" s="4"/>
    </row>
    <row r="17" spans="1:17" ht="16.2" thickBot="1" x14ac:dyDescent="0.35">
      <c r="A17" t="s">
        <v>168</v>
      </c>
      <c r="B17">
        <v>1.27</v>
      </c>
      <c r="C17">
        <v>1030</v>
      </c>
      <c r="D17" s="7" t="s">
        <v>104</v>
      </c>
      <c r="E17" s="7">
        <v>2</v>
      </c>
      <c r="F17" s="7">
        <v>7.4</v>
      </c>
      <c r="G17" s="7">
        <v>6.71</v>
      </c>
      <c r="H17" s="7">
        <v>49.7</v>
      </c>
      <c r="I17" s="18">
        <v>4593</v>
      </c>
      <c r="J17" s="7">
        <v>32.6</v>
      </c>
      <c r="K17" s="7">
        <v>244</v>
      </c>
      <c r="L17" s="7">
        <v>8.6</v>
      </c>
      <c r="M17" s="19">
        <v>4.91</v>
      </c>
      <c r="N17" s="2"/>
      <c r="O17" s="24"/>
      <c r="P17" s="2"/>
      <c r="Q17" s="4"/>
    </row>
    <row r="18" spans="1:17" ht="16.2" thickBot="1" x14ac:dyDescent="0.35">
      <c r="A18" t="s">
        <v>168</v>
      </c>
      <c r="B18">
        <v>1.27</v>
      </c>
      <c r="C18">
        <v>1030</v>
      </c>
      <c r="D18" s="7" t="s">
        <v>188</v>
      </c>
      <c r="E18" s="7">
        <v>2</v>
      </c>
      <c r="F18" s="7">
        <v>7.4</v>
      </c>
      <c r="G18" s="7">
        <v>7.2</v>
      </c>
      <c r="H18" s="7">
        <v>53.3</v>
      </c>
      <c r="I18" s="18">
        <v>4268</v>
      </c>
      <c r="J18" s="7">
        <v>30.3</v>
      </c>
      <c r="K18" s="7">
        <v>281</v>
      </c>
      <c r="L18" s="7">
        <v>9.89</v>
      </c>
      <c r="M18" s="19">
        <v>5.27</v>
      </c>
      <c r="N18" s="2"/>
      <c r="O18" s="24"/>
      <c r="P18" s="2"/>
      <c r="Q18" s="4"/>
    </row>
    <row r="19" spans="1:17" ht="16.2" thickBot="1" x14ac:dyDescent="0.35">
      <c r="A19" t="s">
        <v>168</v>
      </c>
      <c r="B19">
        <v>1.27</v>
      </c>
      <c r="C19">
        <v>1030</v>
      </c>
      <c r="D19" s="7" t="s">
        <v>103</v>
      </c>
      <c r="E19" s="7">
        <v>2</v>
      </c>
      <c r="F19" s="7">
        <v>7.4</v>
      </c>
      <c r="G19" s="7">
        <v>7.49</v>
      </c>
      <c r="H19" s="7">
        <v>55.4</v>
      </c>
      <c r="I19" s="18">
        <v>4153</v>
      </c>
      <c r="J19" s="7">
        <v>35.4</v>
      </c>
      <c r="K19" s="7">
        <v>213</v>
      </c>
      <c r="L19" s="7">
        <v>7.51</v>
      </c>
      <c r="M19" s="19">
        <v>3.84</v>
      </c>
      <c r="N19" s="2"/>
      <c r="O19" s="24"/>
      <c r="P19" s="2"/>
      <c r="Q19" s="4"/>
    </row>
    <row r="20" spans="1:17" ht="16.2" thickBot="1" x14ac:dyDescent="0.35">
      <c r="A20" t="s">
        <v>168</v>
      </c>
      <c r="B20">
        <v>1.27</v>
      </c>
      <c r="C20">
        <v>1030</v>
      </c>
      <c r="D20" s="15" t="s">
        <v>189</v>
      </c>
      <c r="E20" s="15">
        <v>2</v>
      </c>
      <c r="F20" s="15">
        <v>7.4</v>
      </c>
      <c r="G20" s="15">
        <v>6.3</v>
      </c>
      <c r="H20" s="15">
        <v>46.6</v>
      </c>
      <c r="I20" s="16">
        <v>4839</v>
      </c>
      <c r="J20" s="15">
        <v>17.399999999999999</v>
      </c>
      <c r="K20" s="15">
        <v>347</v>
      </c>
      <c r="L20" s="15">
        <v>12.23</v>
      </c>
      <c r="M20" s="17">
        <v>7.44</v>
      </c>
      <c r="N20" s="2"/>
      <c r="O20" s="24"/>
      <c r="P20" s="2"/>
      <c r="Q20" s="4"/>
    </row>
    <row r="21" spans="1:17" ht="16.2" thickBot="1" x14ac:dyDescent="0.35">
      <c r="A21" t="s">
        <v>168</v>
      </c>
      <c r="B21">
        <v>1.27</v>
      </c>
      <c r="C21">
        <v>1030</v>
      </c>
      <c r="D21" s="7" t="s">
        <v>190</v>
      </c>
      <c r="E21" s="7">
        <v>2</v>
      </c>
      <c r="F21" s="7">
        <v>7.4</v>
      </c>
      <c r="G21" s="7">
        <v>6.7</v>
      </c>
      <c r="H21" s="7">
        <v>49.6</v>
      </c>
      <c r="I21" s="18">
        <v>4582</v>
      </c>
      <c r="J21" s="7">
        <v>20.399999999999999</v>
      </c>
      <c r="K21" s="7">
        <v>356</v>
      </c>
      <c r="L21" s="7">
        <v>12.57</v>
      </c>
      <c r="M21" s="19">
        <v>7.18</v>
      </c>
      <c r="N21" s="2"/>
      <c r="O21" s="24"/>
      <c r="P21" s="2"/>
      <c r="Q21" s="4"/>
    </row>
    <row r="22" spans="1:17" ht="16.2" thickBot="1" x14ac:dyDescent="0.35">
      <c r="A22" t="s">
        <v>168</v>
      </c>
      <c r="B22">
        <v>1.27</v>
      </c>
      <c r="C22">
        <v>1030</v>
      </c>
      <c r="D22" s="15" t="s">
        <v>99</v>
      </c>
      <c r="E22" s="15">
        <v>2</v>
      </c>
      <c r="F22" s="15">
        <v>7.4</v>
      </c>
      <c r="G22" s="15">
        <v>5.76</v>
      </c>
      <c r="H22" s="15">
        <v>42.6</v>
      </c>
      <c r="I22" s="16">
        <v>5152</v>
      </c>
      <c r="J22" s="15">
        <v>24.4</v>
      </c>
      <c r="K22" s="15">
        <v>334</v>
      </c>
      <c r="L22" s="15">
        <v>11.78</v>
      </c>
      <c r="M22" s="17">
        <v>7.85</v>
      </c>
      <c r="N22" s="2"/>
      <c r="O22" s="24"/>
      <c r="P22" s="2"/>
      <c r="Q22" s="4"/>
    </row>
    <row r="23" spans="1:17" ht="16.2" thickBot="1" x14ac:dyDescent="0.35">
      <c r="A23" t="s">
        <v>168</v>
      </c>
      <c r="B23">
        <v>1.27</v>
      </c>
      <c r="C23">
        <v>1030</v>
      </c>
      <c r="D23" s="15" t="s">
        <v>67</v>
      </c>
      <c r="E23" s="15">
        <v>2</v>
      </c>
      <c r="F23" s="15">
        <v>7.4</v>
      </c>
      <c r="G23" s="15">
        <v>6.29</v>
      </c>
      <c r="H23" s="15">
        <v>46.6</v>
      </c>
      <c r="I23" s="16">
        <v>4842</v>
      </c>
      <c r="J23" s="15">
        <v>27.5</v>
      </c>
      <c r="K23" s="15">
        <v>334</v>
      </c>
      <c r="L23" s="15">
        <v>11.78</v>
      </c>
      <c r="M23" s="17">
        <v>7.17</v>
      </c>
      <c r="N23" s="2"/>
      <c r="O23" s="24"/>
      <c r="P23" s="2"/>
      <c r="Q23" s="4"/>
    </row>
    <row r="24" spans="1:17" ht="16.2" thickBot="1" x14ac:dyDescent="0.35">
      <c r="A24" t="s">
        <v>168</v>
      </c>
      <c r="B24">
        <v>1.27</v>
      </c>
      <c r="C24">
        <v>1030</v>
      </c>
      <c r="D24" s="15" t="s">
        <v>131</v>
      </c>
      <c r="E24" s="15">
        <v>2</v>
      </c>
      <c r="F24" s="15">
        <v>7.4</v>
      </c>
      <c r="G24" s="15">
        <v>5.64</v>
      </c>
      <c r="H24" s="15">
        <v>41.7</v>
      </c>
      <c r="I24" s="16">
        <v>5186</v>
      </c>
      <c r="J24" s="15">
        <v>29.5</v>
      </c>
      <c r="K24" s="15">
        <v>300</v>
      </c>
      <c r="L24" s="15">
        <v>10.59</v>
      </c>
      <c r="M24" s="17">
        <v>7.2</v>
      </c>
      <c r="N24" s="2"/>
      <c r="O24" s="24"/>
      <c r="P24" s="2"/>
      <c r="Q24" s="4"/>
    </row>
    <row r="25" spans="1:17" ht="16.2" thickBot="1" x14ac:dyDescent="0.35">
      <c r="A25" t="s">
        <v>168</v>
      </c>
      <c r="B25">
        <v>1.27</v>
      </c>
      <c r="C25">
        <v>1030</v>
      </c>
      <c r="D25" s="7" t="s">
        <v>68</v>
      </c>
      <c r="E25" s="7">
        <v>2</v>
      </c>
      <c r="F25" s="7">
        <v>7.4</v>
      </c>
      <c r="G25" s="7">
        <v>6.84</v>
      </c>
      <c r="H25" s="7">
        <v>50.6</v>
      </c>
      <c r="I25" s="18">
        <v>4498</v>
      </c>
      <c r="J25" s="7">
        <v>29.8</v>
      </c>
      <c r="K25" s="7">
        <v>301</v>
      </c>
      <c r="L25" s="7">
        <v>10.6</v>
      </c>
      <c r="M25" s="19">
        <v>5.94</v>
      </c>
      <c r="N25" s="2"/>
      <c r="O25" s="24"/>
      <c r="P25" s="2"/>
      <c r="Q25" s="4"/>
    </row>
    <row r="26" spans="1:17" ht="16.2" thickBot="1" x14ac:dyDescent="0.35">
      <c r="A26" t="s">
        <v>168</v>
      </c>
      <c r="B26">
        <v>1.27</v>
      </c>
      <c r="C26">
        <v>1030</v>
      </c>
      <c r="D26" s="7" t="s">
        <v>191</v>
      </c>
      <c r="E26" s="7">
        <v>2</v>
      </c>
      <c r="F26" s="7">
        <v>7.4</v>
      </c>
      <c r="G26" s="7">
        <v>7.72</v>
      </c>
      <c r="H26" s="7">
        <v>57.1</v>
      </c>
      <c r="I26" s="18">
        <v>3945</v>
      </c>
      <c r="J26" s="7">
        <v>26.2</v>
      </c>
      <c r="K26" s="7">
        <v>334</v>
      </c>
      <c r="L26" s="7">
        <v>11.76</v>
      </c>
      <c r="M26" s="19">
        <v>5.84</v>
      </c>
      <c r="N26" s="2"/>
      <c r="O26" s="24"/>
      <c r="P26" s="2"/>
      <c r="Q26" s="4"/>
    </row>
    <row r="27" spans="1:17" ht="16.2" thickBot="1" x14ac:dyDescent="0.35">
      <c r="A27" t="s">
        <v>168</v>
      </c>
      <c r="B27">
        <v>1.27</v>
      </c>
      <c r="C27">
        <v>1030</v>
      </c>
      <c r="D27" s="7" t="s">
        <v>69</v>
      </c>
      <c r="E27" s="7">
        <v>2</v>
      </c>
      <c r="F27" s="7">
        <v>7.4</v>
      </c>
      <c r="G27" s="7">
        <v>7.4</v>
      </c>
      <c r="H27" s="7">
        <v>54.7</v>
      </c>
      <c r="I27" s="18">
        <v>4175</v>
      </c>
      <c r="J27" s="7">
        <v>31.6</v>
      </c>
      <c r="K27" s="7">
        <v>274</v>
      </c>
      <c r="L27" s="7">
        <v>9.67</v>
      </c>
      <c r="M27" s="19">
        <v>5.01</v>
      </c>
      <c r="N27" s="2"/>
      <c r="O27" s="24"/>
      <c r="P27" s="2"/>
      <c r="Q27" s="4"/>
    </row>
    <row r="28" spans="1:17" ht="16.2" thickBot="1" x14ac:dyDescent="0.35">
      <c r="A28" t="s">
        <v>168</v>
      </c>
      <c r="B28">
        <v>1.27</v>
      </c>
      <c r="C28">
        <v>1030</v>
      </c>
      <c r="D28" s="6" t="s">
        <v>55</v>
      </c>
      <c r="E28" s="6">
        <v>2</v>
      </c>
      <c r="F28" s="6">
        <v>7.4</v>
      </c>
      <c r="G28" s="6">
        <v>8.27</v>
      </c>
      <c r="H28" s="6">
        <v>61.2</v>
      </c>
      <c r="I28" s="20">
        <v>3633</v>
      </c>
      <c r="J28" s="6">
        <v>34.4</v>
      </c>
      <c r="K28" s="6">
        <v>209</v>
      </c>
      <c r="L28" s="6">
        <v>7.37</v>
      </c>
      <c r="M28" s="21">
        <v>3.42</v>
      </c>
      <c r="N28" s="2"/>
      <c r="O28" s="24"/>
      <c r="P28" s="2"/>
      <c r="Q28" s="4"/>
    </row>
    <row r="29" spans="1:17" ht="16.2" thickBot="1" x14ac:dyDescent="0.35">
      <c r="A29" t="s">
        <v>168</v>
      </c>
      <c r="B29">
        <v>1.27</v>
      </c>
      <c r="C29">
        <v>1030</v>
      </c>
      <c r="D29" s="7" t="s">
        <v>192</v>
      </c>
      <c r="E29" s="7">
        <v>2</v>
      </c>
      <c r="F29" s="7">
        <v>7.4</v>
      </c>
      <c r="G29" s="7">
        <v>6.7</v>
      </c>
      <c r="H29" s="7">
        <v>49.6</v>
      </c>
      <c r="I29" s="18">
        <v>4565</v>
      </c>
      <c r="J29" s="7">
        <v>16.399999999999999</v>
      </c>
      <c r="K29" s="7">
        <v>397</v>
      </c>
      <c r="L29" s="7">
        <v>13.99</v>
      </c>
      <c r="M29" s="19">
        <v>8</v>
      </c>
      <c r="N29" s="2"/>
      <c r="O29" s="24"/>
      <c r="P29" s="2"/>
      <c r="Q29" s="4"/>
    </row>
    <row r="30" spans="1:17" ht="16.2" thickBot="1" x14ac:dyDescent="0.35">
      <c r="A30" t="s">
        <v>168</v>
      </c>
      <c r="B30">
        <v>1.27</v>
      </c>
      <c r="C30">
        <v>1030</v>
      </c>
      <c r="D30" s="7" t="s">
        <v>193</v>
      </c>
      <c r="E30" s="7">
        <v>2</v>
      </c>
      <c r="F30" s="7">
        <v>7.4</v>
      </c>
      <c r="G30" s="7">
        <v>7.52</v>
      </c>
      <c r="H30" s="7">
        <v>55.7</v>
      </c>
      <c r="I30" s="18">
        <v>4084</v>
      </c>
      <c r="J30" s="7">
        <v>18.2</v>
      </c>
      <c r="K30" s="7">
        <v>377</v>
      </c>
      <c r="L30" s="7">
        <v>13.29</v>
      </c>
      <c r="M30" s="19">
        <v>6.77</v>
      </c>
      <c r="N30" s="2"/>
      <c r="O30" s="24"/>
      <c r="P30" s="2"/>
      <c r="Q30" s="4"/>
    </row>
    <row r="31" spans="1:17" ht="16.2" thickBot="1" x14ac:dyDescent="0.35">
      <c r="A31" t="s">
        <v>168</v>
      </c>
      <c r="B31">
        <v>1.27</v>
      </c>
      <c r="C31">
        <v>1030</v>
      </c>
      <c r="D31" s="7" t="s">
        <v>70</v>
      </c>
      <c r="E31" s="7">
        <v>2</v>
      </c>
      <c r="F31" s="7">
        <v>7.4</v>
      </c>
      <c r="G31" s="7">
        <v>6.85</v>
      </c>
      <c r="H31" s="7">
        <v>50.7</v>
      </c>
      <c r="I31" s="18">
        <v>4465</v>
      </c>
      <c r="J31" s="7">
        <v>23.3</v>
      </c>
      <c r="K31" s="7">
        <v>374</v>
      </c>
      <c r="L31" s="7">
        <v>13.19</v>
      </c>
      <c r="M31" s="19">
        <v>7.38</v>
      </c>
      <c r="N31" s="2"/>
      <c r="O31" s="24"/>
      <c r="P31" s="2"/>
      <c r="Q31" s="4"/>
    </row>
    <row r="32" spans="1:17" ht="16.2" thickBot="1" x14ac:dyDescent="0.35">
      <c r="A32" t="s">
        <v>168</v>
      </c>
      <c r="B32">
        <v>1.27</v>
      </c>
      <c r="C32">
        <v>1030</v>
      </c>
      <c r="D32" s="7" t="s">
        <v>71</v>
      </c>
      <c r="E32" s="7">
        <v>2</v>
      </c>
      <c r="F32" s="7">
        <v>7.4</v>
      </c>
      <c r="G32" s="7">
        <v>7.51</v>
      </c>
      <c r="H32" s="7">
        <v>55.6</v>
      </c>
      <c r="I32" s="18">
        <v>4085</v>
      </c>
      <c r="J32" s="7">
        <v>27.1</v>
      </c>
      <c r="K32" s="7">
        <v>357</v>
      </c>
      <c r="L32" s="7">
        <v>12.58</v>
      </c>
      <c r="M32" s="19">
        <v>6.41</v>
      </c>
      <c r="N32" s="2"/>
      <c r="O32" s="24"/>
      <c r="P32" s="2"/>
      <c r="Q32" s="4"/>
    </row>
    <row r="33" spans="1:17" ht="16.2" thickBot="1" x14ac:dyDescent="0.35">
      <c r="A33" t="s">
        <v>168</v>
      </c>
      <c r="B33">
        <v>1.27</v>
      </c>
      <c r="C33">
        <v>1030</v>
      </c>
      <c r="D33" s="7" t="s">
        <v>72</v>
      </c>
      <c r="E33" s="7">
        <v>2</v>
      </c>
      <c r="F33" s="7">
        <v>7.4</v>
      </c>
      <c r="G33" s="7">
        <v>7.95</v>
      </c>
      <c r="H33" s="7">
        <v>58.8</v>
      </c>
      <c r="I33" s="18">
        <v>3810</v>
      </c>
      <c r="J33" s="7">
        <v>28.9</v>
      </c>
      <c r="K33" s="7">
        <v>301</v>
      </c>
      <c r="L33" s="7">
        <v>10.61</v>
      </c>
      <c r="M33" s="19">
        <v>5.12</v>
      </c>
      <c r="N33" s="2"/>
      <c r="O33" s="24"/>
      <c r="P33" s="2"/>
      <c r="Q33" s="4"/>
    </row>
    <row r="34" spans="1:17" ht="16.2" thickBot="1" x14ac:dyDescent="0.35">
      <c r="A34" t="s">
        <v>168</v>
      </c>
      <c r="B34">
        <v>1.27</v>
      </c>
      <c r="C34">
        <v>1030</v>
      </c>
      <c r="D34" s="7" t="s">
        <v>132</v>
      </c>
      <c r="E34" s="7">
        <v>2</v>
      </c>
      <c r="F34" s="7">
        <v>7.4</v>
      </c>
      <c r="G34" s="7">
        <v>7.25</v>
      </c>
      <c r="H34" s="7">
        <v>53.6</v>
      </c>
      <c r="I34" s="18">
        <v>4243</v>
      </c>
      <c r="J34" s="7">
        <v>32.1</v>
      </c>
      <c r="K34" s="7">
        <v>343</v>
      </c>
      <c r="L34" s="7">
        <v>12.1</v>
      </c>
      <c r="M34" s="19">
        <v>6.4</v>
      </c>
      <c r="N34" s="2"/>
      <c r="O34" s="24"/>
      <c r="P34" s="2"/>
      <c r="Q34" s="4"/>
    </row>
    <row r="35" spans="1:17" ht="16.2" thickBot="1" x14ac:dyDescent="0.35">
      <c r="A35" t="s">
        <v>168</v>
      </c>
      <c r="B35">
        <v>1.27</v>
      </c>
      <c r="C35">
        <v>1030</v>
      </c>
      <c r="D35" s="6" t="s">
        <v>56</v>
      </c>
      <c r="E35" s="6">
        <v>2</v>
      </c>
      <c r="F35" s="6">
        <v>7.4</v>
      </c>
      <c r="G35" s="6">
        <v>8.19</v>
      </c>
      <c r="H35" s="6">
        <v>60.6</v>
      </c>
      <c r="I35" s="20">
        <v>3650</v>
      </c>
      <c r="J35" s="6">
        <v>29.4</v>
      </c>
      <c r="K35" s="6">
        <v>293</v>
      </c>
      <c r="L35" s="6">
        <v>10.35</v>
      </c>
      <c r="M35" s="21">
        <v>4.84</v>
      </c>
      <c r="N35" s="2"/>
      <c r="O35" s="24"/>
      <c r="P35" s="2"/>
      <c r="Q35" s="4"/>
    </row>
    <row r="36" spans="1:17" ht="16.2" thickBot="1" x14ac:dyDescent="0.35">
      <c r="A36" t="s">
        <v>168</v>
      </c>
      <c r="B36">
        <v>1.27</v>
      </c>
      <c r="C36">
        <v>1030</v>
      </c>
      <c r="D36" s="7" t="s">
        <v>58</v>
      </c>
      <c r="E36" s="7">
        <v>2</v>
      </c>
      <c r="F36" s="7">
        <v>7.4</v>
      </c>
      <c r="G36" s="7">
        <v>7.64</v>
      </c>
      <c r="H36" s="7">
        <v>56.5</v>
      </c>
      <c r="I36" s="18">
        <v>3994</v>
      </c>
      <c r="J36" s="7">
        <v>22.7</v>
      </c>
      <c r="K36" s="7">
        <v>390</v>
      </c>
      <c r="L36" s="7">
        <v>13.75</v>
      </c>
      <c r="M36" s="19">
        <v>6.9</v>
      </c>
      <c r="N36" s="2"/>
      <c r="O36" s="24"/>
      <c r="P36" s="2"/>
      <c r="Q36" s="4"/>
    </row>
    <row r="37" spans="1:17" ht="16.2" thickBot="1" x14ac:dyDescent="0.35">
      <c r="A37" t="s">
        <v>168</v>
      </c>
      <c r="B37">
        <v>1.27</v>
      </c>
      <c r="C37">
        <v>1030</v>
      </c>
      <c r="D37" s="6" t="s">
        <v>32</v>
      </c>
      <c r="E37" s="6">
        <v>2</v>
      </c>
      <c r="F37" s="6">
        <v>7.4</v>
      </c>
      <c r="G37" s="6">
        <v>8.44</v>
      </c>
      <c r="H37" s="6">
        <v>62.4</v>
      </c>
      <c r="I37" s="20">
        <v>3463</v>
      </c>
      <c r="J37" s="6">
        <v>26.2</v>
      </c>
      <c r="K37" s="6">
        <v>320</v>
      </c>
      <c r="L37" s="6">
        <v>11.29</v>
      </c>
      <c r="M37" s="21">
        <v>5.13</v>
      </c>
      <c r="N37" s="2"/>
      <c r="O37" s="24"/>
      <c r="P37" s="2"/>
      <c r="Q37" s="4"/>
    </row>
    <row r="38" spans="1:17" ht="16.2" thickBot="1" x14ac:dyDescent="0.35">
      <c r="A38" t="s">
        <v>168</v>
      </c>
      <c r="B38">
        <v>1.27</v>
      </c>
      <c r="C38">
        <v>1030</v>
      </c>
      <c r="D38" s="12" t="s">
        <v>144</v>
      </c>
      <c r="E38" s="12">
        <v>2</v>
      </c>
      <c r="F38" s="12">
        <v>7.4</v>
      </c>
      <c r="G38" s="12">
        <v>3.18</v>
      </c>
      <c r="H38" s="12">
        <v>23.5</v>
      </c>
      <c r="I38" s="13">
        <v>6550</v>
      </c>
      <c r="J38" s="12">
        <v>24.8</v>
      </c>
      <c r="K38" s="12">
        <v>138</v>
      </c>
      <c r="L38" s="12">
        <v>4.87</v>
      </c>
      <c r="M38" s="14">
        <v>5.87</v>
      </c>
      <c r="N38" s="2"/>
      <c r="O38" s="24"/>
      <c r="P38" s="2"/>
      <c r="Q38" s="4"/>
    </row>
    <row r="39" spans="1:17" ht="16.2" thickBot="1" x14ac:dyDescent="0.35">
      <c r="A39" t="s">
        <v>168</v>
      </c>
      <c r="B39">
        <v>1.27</v>
      </c>
      <c r="C39">
        <v>1030</v>
      </c>
      <c r="D39" s="15" t="s">
        <v>145</v>
      </c>
      <c r="E39" s="15">
        <v>2</v>
      </c>
      <c r="F39" s="15">
        <v>7.4</v>
      </c>
      <c r="G39" s="15">
        <v>5.19</v>
      </c>
      <c r="H39" s="15">
        <v>38.4</v>
      </c>
      <c r="I39" s="16">
        <v>5469</v>
      </c>
      <c r="J39" s="15">
        <v>31.1</v>
      </c>
      <c r="K39" s="15">
        <v>218</v>
      </c>
      <c r="L39" s="15">
        <v>7.69</v>
      </c>
      <c r="M39" s="17">
        <v>5.67</v>
      </c>
      <c r="N39" s="2"/>
      <c r="O39" s="24"/>
      <c r="P39" s="2"/>
      <c r="Q39" s="4"/>
    </row>
    <row r="40" spans="1:17" ht="16.2" thickBot="1" x14ac:dyDescent="0.35">
      <c r="A40" t="s">
        <v>168</v>
      </c>
      <c r="B40">
        <v>1.27</v>
      </c>
      <c r="C40">
        <v>1030</v>
      </c>
      <c r="D40" s="7" t="s">
        <v>101</v>
      </c>
      <c r="E40" s="7">
        <v>2</v>
      </c>
      <c r="F40" s="7">
        <v>7.4</v>
      </c>
      <c r="G40" s="7">
        <v>6.71</v>
      </c>
      <c r="H40" s="7">
        <v>49.7</v>
      </c>
      <c r="I40" s="18">
        <v>4569</v>
      </c>
      <c r="J40" s="7">
        <v>30.3</v>
      </c>
      <c r="K40" s="7">
        <v>250</v>
      </c>
      <c r="L40" s="7">
        <v>8.8000000000000007</v>
      </c>
      <c r="M40" s="19">
        <v>5.0199999999999996</v>
      </c>
      <c r="N40" s="2"/>
      <c r="O40" s="24"/>
      <c r="P40" s="2"/>
      <c r="Q40" s="4"/>
    </row>
    <row r="41" spans="1:17" ht="16.2" thickBot="1" x14ac:dyDescent="0.35">
      <c r="A41" t="s">
        <v>168</v>
      </c>
      <c r="B41">
        <v>1.27</v>
      </c>
      <c r="C41">
        <v>1030</v>
      </c>
      <c r="D41" s="15" t="s">
        <v>79</v>
      </c>
      <c r="E41" s="15">
        <v>2</v>
      </c>
      <c r="F41" s="15">
        <v>7.4</v>
      </c>
      <c r="G41" s="15">
        <v>6.29</v>
      </c>
      <c r="H41" s="15">
        <v>46.5</v>
      </c>
      <c r="I41" s="16">
        <v>4849</v>
      </c>
      <c r="J41" s="15">
        <v>23</v>
      </c>
      <c r="K41" s="15">
        <v>322</v>
      </c>
      <c r="L41" s="15">
        <v>11.37</v>
      </c>
      <c r="M41" s="17">
        <v>6.93</v>
      </c>
      <c r="N41" s="2"/>
      <c r="O41" s="24"/>
      <c r="P41" s="2"/>
      <c r="Q41" s="4"/>
    </row>
    <row r="42" spans="1:17" ht="16.2" thickBot="1" x14ac:dyDescent="0.35">
      <c r="A42" t="s">
        <v>168</v>
      </c>
      <c r="B42">
        <v>1.27</v>
      </c>
      <c r="C42">
        <v>1030</v>
      </c>
      <c r="D42" s="7" t="s">
        <v>80</v>
      </c>
      <c r="E42" s="7">
        <v>2</v>
      </c>
      <c r="F42" s="7">
        <v>7.4</v>
      </c>
      <c r="G42" s="7">
        <v>7.49</v>
      </c>
      <c r="H42" s="7">
        <v>55.4</v>
      </c>
      <c r="I42" s="18">
        <v>4085</v>
      </c>
      <c r="J42" s="7">
        <v>27.1</v>
      </c>
      <c r="K42" s="7">
        <v>283</v>
      </c>
      <c r="L42" s="7">
        <v>9.9700000000000006</v>
      </c>
      <c r="M42" s="19">
        <v>5.0999999999999996</v>
      </c>
      <c r="N42" s="2"/>
      <c r="O42" s="24"/>
      <c r="P42" s="2"/>
      <c r="Q42" s="4"/>
    </row>
    <row r="43" spans="1:17" ht="16.2" thickBot="1" x14ac:dyDescent="0.35">
      <c r="A43" t="s">
        <v>168</v>
      </c>
      <c r="B43">
        <v>1.27</v>
      </c>
      <c r="C43">
        <v>1030</v>
      </c>
      <c r="D43" s="15" t="s">
        <v>146</v>
      </c>
      <c r="E43" s="15">
        <v>3</v>
      </c>
      <c r="F43" s="15">
        <v>11.1</v>
      </c>
      <c r="G43" s="15">
        <v>4.5199999999999996</v>
      </c>
      <c r="H43" s="15">
        <v>50.2</v>
      </c>
      <c r="I43" s="16">
        <v>9316</v>
      </c>
      <c r="J43" s="15">
        <v>35.299999999999997</v>
      </c>
      <c r="K43" s="15">
        <v>333</v>
      </c>
      <c r="L43" s="15">
        <v>11.75</v>
      </c>
      <c r="M43" s="17">
        <v>6.63</v>
      </c>
      <c r="N43" s="2"/>
      <c r="O43" s="3"/>
      <c r="P43" s="2"/>
      <c r="Q43" s="4"/>
    </row>
    <row r="44" spans="1:17" ht="16.2" thickBot="1" x14ac:dyDescent="0.35">
      <c r="A44" t="s">
        <v>168</v>
      </c>
      <c r="B44">
        <v>1.27</v>
      </c>
      <c r="C44">
        <v>1030</v>
      </c>
      <c r="D44" s="12" t="s">
        <v>147</v>
      </c>
      <c r="E44" s="12">
        <v>3</v>
      </c>
      <c r="F44" s="12">
        <v>11.1</v>
      </c>
      <c r="G44" s="12">
        <v>3.8</v>
      </c>
      <c r="H44" s="12">
        <v>42.2</v>
      </c>
      <c r="I44" s="13">
        <v>9745</v>
      </c>
      <c r="J44" s="12">
        <v>36.9</v>
      </c>
      <c r="K44" s="12">
        <v>216</v>
      </c>
      <c r="L44" s="12">
        <v>7.62</v>
      </c>
      <c r="M44" s="14">
        <v>5.12</v>
      </c>
      <c r="N44" s="2"/>
      <c r="O44" s="3"/>
      <c r="P44" s="2"/>
      <c r="Q44" s="4"/>
    </row>
    <row r="45" spans="1:17" ht="16.2" thickBot="1" x14ac:dyDescent="0.35">
      <c r="A45" t="s">
        <v>168</v>
      </c>
      <c r="B45">
        <v>1.27</v>
      </c>
      <c r="C45">
        <v>1030</v>
      </c>
      <c r="D45" s="15" t="s">
        <v>194</v>
      </c>
      <c r="E45" s="15">
        <v>3</v>
      </c>
      <c r="F45" s="15">
        <v>11.1</v>
      </c>
      <c r="G45" s="15">
        <v>4.55</v>
      </c>
      <c r="H45" s="15">
        <v>50.5</v>
      </c>
      <c r="I45" s="16">
        <v>9300</v>
      </c>
      <c r="J45" s="15">
        <v>35.200000000000003</v>
      </c>
      <c r="K45" s="15">
        <v>328</v>
      </c>
      <c r="L45" s="15">
        <v>11.55</v>
      </c>
      <c r="M45" s="17">
        <v>6.49</v>
      </c>
      <c r="N45" s="2"/>
      <c r="O45" s="3"/>
      <c r="P45" s="2"/>
      <c r="Q45" s="4"/>
    </row>
    <row r="46" spans="1:17" ht="16.2" thickBot="1" x14ac:dyDescent="0.35">
      <c r="A46" t="s">
        <v>168</v>
      </c>
      <c r="B46">
        <v>1.27</v>
      </c>
      <c r="C46">
        <v>1030</v>
      </c>
      <c r="D46" s="15" t="s">
        <v>148</v>
      </c>
      <c r="E46" s="15">
        <v>3</v>
      </c>
      <c r="F46" s="15">
        <v>11.1</v>
      </c>
      <c r="G46" s="15">
        <v>5.46</v>
      </c>
      <c r="H46" s="15">
        <v>60.6</v>
      </c>
      <c r="I46" s="16">
        <v>8740</v>
      </c>
      <c r="J46" s="15">
        <v>41.4</v>
      </c>
      <c r="K46" s="15">
        <v>325</v>
      </c>
      <c r="L46" s="15">
        <v>11.48</v>
      </c>
      <c r="M46" s="17">
        <v>5.37</v>
      </c>
      <c r="N46" s="2"/>
      <c r="O46" s="3"/>
      <c r="P46" s="2"/>
      <c r="Q46" s="4"/>
    </row>
    <row r="47" spans="1:17" ht="16.2" thickBot="1" x14ac:dyDescent="0.35">
      <c r="A47" t="s">
        <v>168</v>
      </c>
      <c r="B47">
        <v>1.27</v>
      </c>
      <c r="C47">
        <v>1030</v>
      </c>
      <c r="D47" s="15" t="s">
        <v>195</v>
      </c>
      <c r="E47" s="15">
        <v>3</v>
      </c>
      <c r="F47" s="15">
        <v>11.1</v>
      </c>
      <c r="G47" s="15">
        <v>5.23</v>
      </c>
      <c r="H47" s="15">
        <v>58</v>
      </c>
      <c r="I47" s="16">
        <v>8890</v>
      </c>
      <c r="J47" s="15">
        <v>42.1</v>
      </c>
      <c r="K47" s="15">
        <v>335</v>
      </c>
      <c r="L47" s="15">
        <v>11.8</v>
      </c>
      <c r="M47" s="17">
        <v>5.77</v>
      </c>
      <c r="N47" s="2"/>
      <c r="O47" s="3"/>
      <c r="P47" s="2"/>
      <c r="Q47" s="4"/>
    </row>
    <row r="48" spans="1:17" ht="16.2" thickBot="1" x14ac:dyDescent="0.35">
      <c r="A48" t="s">
        <v>168</v>
      </c>
      <c r="B48">
        <v>1.27</v>
      </c>
      <c r="C48">
        <v>1030</v>
      </c>
      <c r="D48" s="15" t="s">
        <v>149</v>
      </c>
      <c r="E48" s="15">
        <v>3</v>
      </c>
      <c r="F48" s="15">
        <v>11.1</v>
      </c>
      <c r="G48" s="15">
        <v>5.72</v>
      </c>
      <c r="H48" s="15">
        <v>63.5</v>
      </c>
      <c r="I48" s="16">
        <v>8592</v>
      </c>
      <c r="J48" s="15">
        <v>48.8</v>
      </c>
      <c r="K48" s="15">
        <v>347</v>
      </c>
      <c r="L48" s="15">
        <v>12.24</v>
      </c>
      <c r="M48" s="17">
        <v>5.46</v>
      </c>
      <c r="N48" s="2"/>
      <c r="O48" s="3"/>
      <c r="P48" s="2"/>
      <c r="Q48" s="4"/>
    </row>
    <row r="49" spans="1:17" ht="16.2" thickBot="1" x14ac:dyDescent="0.35">
      <c r="A49" t="s">
        <v>168</v>
      </c>
      <c r="B49">
        <v>1.27</v>
      </c>
      <c r="C49">
        <v>1030</v>
      </c>
      <c r="D49" s="15" t="s">
        <v>141</v>
      </c>
      <c r="E49" s="15">
        <v>3</v>
      </c>
      <c r="F49" s="15">
        <v>11.1</v>
      </c>
      <c r="G49" s="15">
        <v>5.12</v>
      </c>
      <c r="H49" s="15">
        <v>56.8</v>
      </c>
      <c r="I49" s="16">
        <v>8940</v>
      </c>
      <c r="J49" s="15">
        <v>50.8</v>
      </c>
      <c r="K49" s="15">
        <v>220</v>
      </c>
      <c r="L49" s="15">
        <v>7.77</v>
      </c>
      <c r="M49" s="17">
        <v>3.88</v>
      </c>
      <c r="N49" s="2"/>
      <c r="O49" s="3"/>
      <c r="P49" s="2"/>
      <c r="Q49" s="4"/>
    </row>
    <row r="50" spans="1:17" ht="16.2" thickBot="1" x14ac:dyDescent="0.35">
      <c r="A50" t="s">
        <v>168</v>
      </c>
      <c r="B50">
        <v>1.27</v>
      </c>
      <c r="C50">
        <v>1030</v>
      </c>
      <c r="D50" s="15" t="s">
        <v>196</v>
      </c>
      <c r="E50" s="15">
        <v>3</v>
      </c>
      <c r="F50" s="15">
        <v>11.1</v>
      </c>
      <c r="G50" s="15">
        <v>6.01</v>
      </c>
      <c r="H50" s="15">
        <v>66.7</v>
      </c>
      <c r="I50" s="16">
        <v>8409</v>
      </c>
      <c r="J50" s="15">
        <v>47.8</v>
      </c>
      <c r="K50" s="15">
        <v>320</v>
      </c>
      <c r="L50" s="15">
        <v>11.29</v>
      </c>
      <c r="M50" s="17">
        <v>4.8</v>
      </c>
      <c r="N50" s="2"/>
      <c r="O50" s="3"/>
      <c r="P50" s="2"/>
      <c r="Q50" s="4"/>
    </row>
    <row r="51" spans="1:17" ht="16.2" thickBot="1" x14ac:dyDescent="0.35">
      <c r="A51" t="s">
        <v>168</v>
      </c>
      <c r="B51">
        <v>1.27</v>
      </c>
      <c r="C51">
        <v>1030</v>
      </c>
      <c r="D51" s="7" t="s">
        <v>125</v>
      </c>
      <c r="E51" s="7">
        <v>3</v>
      </c>
      <c r="F51" s="7">
        <v>11.1</v>
      </c>
      <c r="G51" s="7">
        <v>6.57</v>
      </c>
      <c r="H51" s="7">
        <v>73</v>
      </c>
      <c r="I51" s="18">
        <v>8059</v>
      </c>
      <c r="J51" s="7">
        <v>53.4</v>
      </c>
      <c r="K51" s="7">
        <v>327</v>
      </c>
      <c r="L51" s="7">
        <v>11.53</v>
      </c>
      <c r="M51" s="19">
        <v>4.4800000000000004</v>
      </c>
      <c r="N51" s="2"/>
      <c r="O51" s="3"/>
      <c r="P51" s="2"/>
      <c r="Q51" s="4"/>
    </row>
    <row r="52" spans="1:17" ht="16.2" thickBot="1" x14ac:dyDescent="0.35">
      <c r="A52" t="s">
        <v>168</v>
      </c>
      <c r="B52">
        <v>1.27</v>
      </c>
      <c r="C52">
        <v>1030</v>
      </c>
      <c r="D52" s="7" t="s">
        <v>182</v>
      </c>
      <c r="E52" s="7">
        <v>3</v>
      </c>
      <c r="F52" s="7">
        <v>11.1</v>
      </c>
      <c r="G52" s="7">
        <v>6.53</v>
      </c>
      <c r="H52" s="7">
        <v>72.400000000000006</v>
      </c>
      <c r="I52" s="18">
        <v>8138</v>
      </c>
      <c r="J52" s="7">
        <v>29.3</v>
      </c>
      <c r="K52" s="7">
        <v>451</v>
      </c>
      <c r="L52" s="7">
        <v>15.9</v>
      </c>
      <c r="M52" s="19">
        <v>6.22</v>
      </c>
      <c r="N52" s="2"/>
      <c r="O52" s="3"/>
      <c r="P52" s="2"/>
      <c r="Q52" s="4"/>
    </row>
    <row r="53" spans="1:17" ht="16.2" thickBot="1" x14ac:dyDescent="0.35">
      <c r="A53" t="s">
        <v>168</v>
      </c>
      <c r="B53">
        <v>1.27</v>
      </c>
      <c r="C53">
        <v>1030</v>
      </c>
      <c r="D53" s="15" t="s">
        <v>126</v>
      </c>
      <c r="E53" s="15">
        <v>3</v>
      </c>
      <c r="F53" s="15">
        <v>11.1</v>
      </c>
      <c r="G53" s="15">
        <v>6</v>
      </c>
      <c r="H53" s="15">
        <v>66.599999999999994</v>
      </c>
      <c r="I53" s="16">
        <v>8420</v>
      </c>
      <c r="J53" s="15">
        <v>31.9</v>
      </c>
      <c r="K53" s="15">
        <v>419</v>
      </c>
      <c r="L53" s="15">
        <v>14.77</v>
      </c>
      <c r="M53" s="17">
        <v>6.29</v>
      </c>
      <c r="N53" s="2"/>
      <c r="O53" s="3"/>
      <c r="P53" s="2"/>
      <c r="Q53" s="4"/>
    </row>
    <row r="54" spans="1:17" ht="16.2" thickBot="1" x14ac:dyDescent="0.35">
      <c r="A54" t="s">
        <v>168</v>
      </c>
      <c r="B54">
        <v>1.27</v>
      </c>
      <c r="C54">
        <v>1030</v>
      </c>
      <c r="D54" s="15" t="s">
        <v>150</v>
      </c>
      <c r="E54" s="15">
        <v>3</v>
      </c>
      <c r="F54" s="15">
        <v>11.1</v>
      </c>
      <c r="G54" s="15">
        <v>4.9800000000000004</v>
      </c>
      <c r="H54" s="15">
        <v>55.2</v>
      </c>
      <c r="I54" s="16">
        <v>9065</v>
      </c>
      <c r="J54" s="15">
        <v>34.299999999999997</v>
      </c>
      <c r="K54" s="15">
        <v>322</v>
      </c>
      <c r="L54" s="15">
        <v>11.37</v>
      </c>
      <c r="M54" s="17">
        <v>5.84</v>
      </c>
      <c r="N54" s="2"/>
      <c r="O54" s="3"/>
      <c r="P54" s="2"/>
      <c r="Q54" s="4"/>
    </row>
    <row r="55" spans="1:17" ht="16.2" thickBot="1" x14ac:dyDescent="0.35">
      <c r="A55" t="s">
        <v>168</v>
      </c>
      <c r="B55">
        <v>1.27</v>
      </c>
      <c r="C55">
        <v>1030</v>
      </c>
      <c r="D55" s="7" t="s">
        <v>183</v>
      </c>
      <c r="E55" s="7">
        <v>3</v>
      </c>
      <c r="F55" s="7">
        <v>11.1</v>
      </c>
      <c r="G55" s="7">
        <v>7.06</v>
      </c>
      <c r="H55" s="7">
        <v>78.3</v>
      </c>
      <c r="I55" s="18">
        <v>7784</v>
      </c>
      <c r="J55" s="7">
        <v>34.6</v>
      </c>
      <c r="K55" s="7">
        <v>466</v>
      </c>
      <c r="L55" s="7">
        <v>16.440000000000001</v>
      </c>
      <c r="M55" s="19">
        <v>5.95</v>
      </c>
      <c r="N55" s="2"/>
      <c r="O55" s="3"/>
      <c r="P55" s="2"/>
      <c r="Q55" s="4"/>
    </row>
    <row r="56" spans="1:17" ht="16.2" thickBot="1" x14ac:dyDescent="0.35">
      <c r="A56" t="s">
        <v>168</v>
      </c>
      <c r="B56">
        <v>1.27</v>
      </c>
      <c r="C56">
        <v>1030</v>
      </c>
      <c r="D56" s="7" t="s">
        <v>127</v>
      </c>
      <c r="E56" s="7">
        <v>3</v>
      </c>
      <c r="F56" s="7">
        <v>11.1</v>
      </c>
      <c r="G56" s="7">
        <v>7.6</v>
      </c>
      <c r="H56" s="7">
        <v>84.3</v>
      </c>
      <c r="I56" s="18">
        <v>7385</v>
      </c>
      <c r="J56" s="7">
        <v>42</v>
      </c>
      <c r="K56" s="7">
        <v>406</v>
      </c>
      <c r="L56" s="7">
        <v>14.33</v>
      </c>
      <c r="M56" s="19">
        <v>4.82</v>
      </c>
      <c r="N56" s="2"/>
      <c r="O56" s="3"/>
      <c r="P56" s="2"/>
      <c r="Q56" s="4"/>
    </row>
    <row r="57" spans="1:17" ht="16.2" thickBot="1" x14ac:dyDescent="0.35">
      <c r="A57" t="s">
        <v>168</v>
      </c>
      <c r="B57">
        <v>1.27</v>
      </c>
      <c r="C57">
        <v>1030</v>
      </c>
      <c r="D57" s="6" t="s">
        <v>184</v>
      </c>
      <c r="E57" s="6">
        <v>3</v>
      </c>
      <c r="F57" s="6">
        <v>11.1</v>
      </c>
      <c r="G57" s="6">
        <v>8.5500000000000007</v>
      </c>
      <c r="H57" s="6">
        <v>94.8</v>
      </c>
      <c r="I57" s="20">
        <v>6756</v>
      </c>
      <c r="J57" s="6">
        <v>38.4</v>
      </c>
      <c r="K57" s="6">
        <v>429</v>
      </c>
      <c r="L57" s="6">
        <v>15.11</v>
      </c>
      <c r="M57" s="21">
        <v>4.5199999999999996</v>
      </c>
      <c r="N57" s="2"/>
      <c r="O57" s="3"/>
      <c r="P57" s="2"/>
      <c r="Q57" s="4"/>
    </row>
    <row r="58" spans="1:17" ht="16.2" thickBot="1" x14ac:dyDescent="0.35">
      <c r="A58" t="s">
        <v>168</v>
      </c>
      <c r="B58">
        <v>1.27</v>
      </c>
      <c r="C58">
        <v>1030</v>
      </c>
      <c r="D58" s="6" t="s">
        <v>128</v>
      </c>
      <c r="E58" s="6">
        <v>3</v>
      </c>
      <c r="F58" s="6">
        <v>11.1</v>
      </c>
      <c r="G58" s="6">
        <v>9.23</v>
      </c>
      <c r="H58" s="6">
        <v>102.5</v>
      </c>
      <c r="I58" s="20">
        <v>6268</v>
      </c>
      <c r="J58" s="6">
        <v>47.5</v>
      </c>
      <c r="K58" s="6">
        <v>314</v>
      </c>
      <c r="L58" s="6">
        <v>11.07</v>
      </c>
      <c r="M58" s="21">
        <v>3.06</v>
      </c>
      <c r="N58" s="2"/>
      <c r="O58" s="3"/>
      <c r="P58" s="2"/>
      <c r="Q58" s="4"/>
    </row>
    <row r="59" spans="1:17" ht="16.2" thickBot="1" x14ac:dyDescent="0.35">
      <c r="A59" t="s">
        <v>168</v>
      </c>
      <c r="B59">
        <v>1.27</v>
      </c>
      <c r="C59">
        <v>1030</v>
      </c>
      <c r="D59" s="7" t="s">
        <v>185</v>
      </c>
      <c r="E59" s="7">
        <v>3</v>
      </c>
      <c r="F59" s="7">
        <v>11.1</v>
      </c>
      <c r="G59" s="7">
        <v>7.76</v>
      </c>
      <c r="H59" s="7">
        <v>86.1</v>
      </c>
      <c r="I59" s="18">
        <v>7317</v>
      </c>
      <c r="J59" s="7">
        <v>26.3</v>
      </c>
      <c r="K59" s="7">
        <v>505</v>
      </c>
      <c r="L59" s="7">
        <v>17.82</v>
      </c>
      <c r="M59" s="19">
        <v>5.87</v>
      </c>
      <c r="N59" s="2"/>
      <c r="O59" s="3"/>
      <c r="P59" s="2"/>
      <c r="Q59" s="4"/>
    </row>
    <row r="60" spans="1:17" ht="16.2" thickBot="1" x14ac:dyDescent="0.35">
      <c r="A60" t="s">
        <v>168</v>
      </c>
      <c r="B60">
        <v>1.27</v>
      </c>
      <c r="C60">
        <v>1030</v>
      </c>
      <c r="D60" s="7" t="s">
        <v>129</v>
      </c>
      <c r="E60" s="7">
        <v>3</v>
      </c>
      <c r="F60" s="7">
        <v>11.1</v>
      </c>
      <c r="G60" s="7">
        <v>7.51</v>
      </c>
      <c r="H60" s="7">
        <v>83.4</v>
      </c>
      <c r="I60" s="18">
        <v>7449</v>
      </c>
      <c r="J60" s="7">
        <v>31.7</v>
      </c>
      <c r="K60" s="7">
        <v>503</v>
      </c>
      <c r="L60" s="7">
        <v>17.75</v>
      </c>
      <c r="M60" s="19">
        <v>6.04</v>
      </c>
      <c r="N60" s="2"/>
      <c r="O60" s="3"/>
      <c r="P60" s="2"/>
      <c r="Q60" s="4"/>
    </row>
    <row r="61" spans="1:17" ht="16.2" thickBot="1" x14ac:dyDescent="0.35">
      <c r="A61" t="s">
        <v>168</v>
      </c>
      <c r="B61">
        <v>1.27</v>
      </c>
      <c r="C61">
        <v>1030</v>
      </c>
      <c r="D61" s="6" t="s">
        <v>186</v>
      </c>
      <c r="E61" s="6">
        <v>3</v>
      </c>
      <c r="F61" s="6">
        <v>11.1</v>
      </c>
      <c r="G61" s="6">
        <v>8.1199999999999992</v>
      </c>
      <c r="H61" s="6">
        <v>90.1</v>
      </c>
      <c r="I61" s="20">
        <v>7012</v>
      </c>
      <c r="J61" s="6">
        <v>31.2</v>
      </c>
      <c r="K61" s="6">
        <v>512</v>
      </c>
      <c r="L61" s="6">
        <v>18.05</v>
      </c>
      <c r="M61" s="21">
        <v>5.68</v>
      </c>
      <c r="N61" s="2"/>
      <c r="O61" s="3"/>
      <c r="P61" s="2"/>
      <c r="Q61" s="4"/>
    </row>
    <row r="62" spans="1:17" ht="16.2" thickBot="1" x14ac:dyDescent="0.35">
      <c r="A62" t="s">
        <v>168</v>
      </c>
      <c r="B62">
        <v>1.27</v>
      </c>
      <c r="C62">
        <v>1030</v>
      </c>
      <c r="D62" s="7" t="s">
        <v>130</v>
      </c>
      <c r="E62" s="7">
        <v>3</v>
      </c>
      <c r="F62" s="7">
        <v>11.1</v>
      </c>
      <c r="G62" s="7">
        <v>6.97</v>
      </c>
      <c r="H62" s="7">
        <v>77.400000000000006</v>
      </c>
      <c r="I62" s="18">
        <v>7795</v>
      </c>
      <c r="J62" s="7">
        <v>36.9</v>
      </c>
      <c r="K62" s="7">
        <v>435</v>
      </c>
      <c r="L62" s="7">
        <v>15.33</v>
      </c>
      <c r="M62" s="19">
        <v>5.62</v>
      </c>
      <c r="N62" s="2"/>
      <c r="O62" s="3"/>
      <c r="P62" s="2"/>
      <c r="Q62" s="4"/>
    </row>
    <row r="63" spans="1:17" ht="16.2" thickBot="1" x14ac:dyDescent="0.35">
      <c r="A63" t="s">
        <v>168</v>
      </c>
      <c r="B63">
        <v>1.27</v>
      </c>
      <c r="C63">
        <v>1030</v>
      </c>
      <c r="D63" s="6" t="s">
        <v>107</v>
      </c>
      <c r="E63" s="6">
        <v>3</v>
      </c>
      <c r="F63" s="6">
        <v>11.1</v>
      </c>
      <c r="G63" s="6">
        <v>8.24</v>
      </c>
      <c r="H63" s="6">
        <v>91.5</v>
      </c>
      <c r="I63" s="20">
        <v>6955</v>
      </c>
      <c r="J63" s="6">
        <v>39.5</v>
      </c>
      <c r="K63" s="6">
        <v>477</v>
      </c>
      <c r="L63" s="6">
        <v>16.84</v>
      </c>
      <c r="M63" s="21">
        <v>5.22</v>
      </c>
      <c r="N63" s="2"/>
      <c r="O63" s="3"/>
      <c r="P63" s="2"/>
      <c r="Q63" s="4"/>
    </row>
    <row r="64" spans="1:17" ht="16.2" thickBot="1" x14ac:dyDescent="0.35">
      <c r="A64" t="s">
        <v>168</v>
      </c>
      <c r="B64">
        <v>1.27</v>
      </c>
      <c r="C64">
        <v>1030</v>
      </c>
      <c r="D64" s="6" t="s">
        <v>187</v>
      </c>
      <c r="E64" s="6">
        <v>3</v>
      </c>
      <c r="F64" s="6">
        <v>11.1</v>
      </c>
      <c r="G64" s="6">
        <v>10.02</v>
      </c>
      <c r="H64" s="6">
        <v>111.2</v>
      </c>
      <c r="I64" s="20">
        <v>5603</v>
      </c>
      <c r="J64" s="6">
        <v>31.8</v>
      </c>
      <c r="K64" s="6">
        <v>468</v>
      </c>
      <c r="L64" s="6">
        <v>16.510000000000002</v>
      </c>
      <c r="M64" s="21">
        <v>4.21</v>
      </c>
      <c r="N64" s="2"/>
      <c r="O64" s="3"/>
      <c r="P64" s="2"/>
      <c r="Q64" s="4"/>
    </row>
    <row r="65" spans="1:17" ht="16.2" thickBot="1" x14ac:dyDescent="0.35">
      <c r="A65" t="s">
        <v>168</v>
      </c>
      <c r="B65">
        <v>1.27</v>
      </c>
      <c r="C65">
        <v>1030</v>
      </c>
      <c r="D65" s="6" t="s">
        <v>99</v>
      </c>
      <c r="E65" s="6">
        <v>3</v>
      </c>
      <c r="F65" s="6">
        <v>11.1</v>
      </c>
      <c r="G65" s="6">
        <v>8.93</v>
      </c>
      <c r="H65" s="6">
        <v>99.1</v>
      </c>
      <c r="I65" s="20">
        <v>6442</v>
      </c>
      <c r="J65" s="6">
        <v>30.5</v>
      </c>
      <c r="K65" s="6">
        <v>535</v>
      </c>
      <c r="L65" s="6">
        <v>18.88</v>
      </c>
      <c r="M65" s="21">
        <v>5.4</v>
      </c>
      <c r="N65" s="2"/>
      <c r="O65" s="3"/>
      <c r="P65" s="2"/>
      <c r="Q65" s="4"/>
    </row>
    <row r="66" spans="1:17" ht="16.2" thickBot="1" x14ac:dyDescent="0.35">
      <c r="A66" t="s">
        <v>168</v>
      </c>
      <c r="B66">
        <v>1.27</v>
      </c>
      <c r="C66">
        <v>1030</v>
      </c>
      <c r="D66" s="6" t="s">
        <v>67</v>
      </c>
      <c r="E66" s="6">
        <v>3</v>
      </c>
      <c r="F66" s="6">
        <v>11.1</v>
      </c>
      <c r="G66" s="6">
        <v>9.5299999999999994</v>
      </c>
      <c r="H66" s="6">
        <v>105.8</v>
      </c>
      <c r="I66" s="20">
        <v>5967</v>
      </c>
      <c r="J66" s="6">
        <v>33.9</v>
      </c>
      <c r="K66" s="6">
        <v>522</v>
      </c>
      <c r="L66" s="6">
        <v>18.41</v>
      </c>
      <c r="M66" s="21">
        <v>4.93</v>
      </c>
      <c r="N66" s="2"/>
      <c r="O66" s="3"/>
      <c r="P66" s="2"/>
      <c r="Q66" s="4"/>
    </row>
    <row r="67" spans="1:17" ht="16.2" thickBot="1" x14ac:dyDescent="0.35">
      <c r="A67" t="s">
        <v>168</v>
      </c>
      <c r="B67">
        <v>1.27</v>
      </c>
      <c r="C67">
        <v>1030</v>
      </c>
      <c r="D67" s="6" t="s">
        <v>131</v>
      </c>
      <c r="E67" s="6">
        <v>3</v>
      </c>
      <c r="F67" s="6">
        <v>11.1</v>
      </c>
      <c r="G67" s="6">
        <v>8.68</v>
      </c>
      <c r="H67" s="6">
        <v>96.4</v>
      </c>
      <c r="I67" s="20">
        <v>6584</v>
      </c>
      <c r="J67" s="6">
        <v>37.4</v>
      </c>
      <c r="K67" s="6">
        <v>487</v>
      </c>
      <c r="L67" s="6">
        <v>17.16</v>
      </c>
      <c r="M67" s="21">
        <v>5.05</v>
      </c>
      <c r="N67" s="2"/>
      <c r="O67" s="3"/>
      <c r="P67" s="2"/>
      <c r="Q67" s="4"/>
    </row>
    <row r="68" spans="1:17" ht="16.2" thickBot="1" x14ac:dyDescent="0.35">
      <c r="A68" t="s">
        <v>168</v>
      </c>
      <c r="B68">
        <v>1.27</v>
      </c>
      <c r="C68">
        <v>1030</v>
      </c>
      <c r="D68" s="12" t="s">
        <v>166</v>
      </c>
      <c r="E68" s="12">
        <v>3</v>
      </c>
      <c r="F68" s="12">
        <v>11.1</v>
      </c>
      <c r="G68" s="12">
        <v>3.65</v>
      </c>
      <c r="H68" s="12">
        <v>40.5</v>
      </c>
      <c r="I68" s="13">
        <v>9817</v>
      </c>
      <c r="J68" s="12">
        <v>37.200000000000003</v>
      </c>
      <c r="K68" s="12">
        <v>207</v>
      </c>
      <c r="L68" s="12">
        <v>7.3</v>
      </c>
      <c r="M68" s="14">
        <v>5.1100000000000003</v>
      </c>
      <c r="N68" s="2"/>
      <c r="O68" s="3"/>
      <c r="P68" s="2"/>
      <c r="Q68" s="4"/>
    </row>
    <row r="69" spans="1:17" ht="16.2" thickBot="1" x14ac:dyDescent="0.35">
      <c r="A69" t="s">
        <v>168</v>
      </c>
      <c r="B69">
        <v>1.27</v>
      </c>
      <c r="C69">
        <v>1030</v>
      </c>
      <c r="D69" s="15" t="s">
        <v>144</v>
      </c>
      <c r="E69" s="15">
        <v>3</v>
      </c>
      <c r="F69" s="15">
        <v>11.1</v>
      </c>
      <c r="G69" s="15">
        <v>5.25</v>
      </c>
      <c r="H69" s="15">
        <v>58.2</v>
      </c>
      <c r="I69" s="16">
        <v>8879</v>
      </c>
      <c r="J69" s="15">
        <v>33.6</v>
      </c>
      <c r="K69" s="15">
        <v>279</v>
      </c>
      <c r="L69" s="15">
        <v>9.85</v>
      </c>
      <c r="M69" s="17">
        <v>4.8</v>
      </c>
      <c r="N69" s="2"/>
      <c r="O69" s="3"/>
      <c r="P69" s="2"/>
      <c r="Q69" s="4"/>
    </row>
    <row r="70" spans="1:17" ht="16.2" thickBot="1" x14ac:dyDescent="0.35">
      <c r="A70" t="s">
        <v>168</v>
      </c>
      <c r="B70">
        <v>1.27</v>
      </c>
      <c r="C70">
        <v>1030</v>
      </c>
      <c r="D70" s="25" t="s">
        <v>145</v>
      </c>
      <c r="E70" s="6">
        <v>3</v>
      </c>
      <c r="F70" s="6">
        <v>11.1</v>
      </c>
      <c r="G70" s="25">
        <v>8.0500000000000007</v>
      </c>
      <c r="H70" s="6">
        <v>89.3</v>
      </c>
      <c r="I70" s="26">
        <v>7063</v>
      </c>
      <c r="J70" s="6">
        <v>40.1</v>
      </c>
      <c r="K70" s="25">
        <v>382</v>
      </c>
      <c r="L70" s="6">
        <v>13.49</v>
      </c>
      <c r="M70" s="21">
        <v>4.28</v>
      </c>
      <c r="N70" s="2"/>
      <c r="O70" s="3"/>
      <c r="P70" s="2"/>
      <c r="Q70" s="4"/>
    </row>
    <row r="71" spans="1:17" ht="16.2" thickBot="1" x14ac:dyDescent="0.35">
      <c r="A71" t="s">
        <v>168</v>
      </c>
      <c r="B71">
        <v>1.27</v>
      </c>
      <c r="C71">
        <v>1030</v>
      </c>
      <c r="D71" s="27" t="s">
        <v>159</v>
      </c>
      <c r="E71" s="27">
        <v>4</v>
      </c>
      <c r="F71" s="27">
        <v>14.8</v>
      </c>
      <c r="G71" s="27">
        <v>4.41</v>
      </c>
      <c r="H71" s="27">
        <v>65.2</v>
      </c>
      <c r="I71" s="28">
        <v>12876</v>
      </c>
      <c r="J71" s="27">
        <v>48.8</v>
      </c>
      <c r="K71" s="27">
        <v>318</v>
      </c>
      <c r="L71" s="27">
        <v>11.23</v>
      </c>
      <c r="M71" s="29">
        <v>4.88</v>
      </c>
      <c r="N71" s="2"/>
      <c r="O71" s="2"/>
      <c r="P71" s="2"/>
      <c r="Q71" s="2"/>
    </row>
    <row r="72" spans="1:17" ht="16.2" thickBot="1" x14ac:dyDescent="0.35">
      <c r="A72" t="s">
        <v>168</v>
      </c>
      <c r="B72">
        <v>1.27</v>
      </c>
      <c r="C72">
        <v>1030</v>
      </c>
      <c r="D72" s="15" t="s">
        <v>160</v>
      </c>
      <c r="E72" s="15">
        <v>4</v>
      </c>
      <c r="F72" s="15">
        <v>14.8</v>
      </c>
      <c r="G72" s="15">
        <v>5.87</v>
      </c>
      <c r="H72" s="15">
        <v>86.8</v>
      </c>
      <c r="I72" s="16">
        <v>11913</v>
      </c>
      <c r="J72" s="15">
        <v>48.5</v>
      </c>
      <c r="K72" s="15">
        <v>427</v>
      </c>
      <c r="L72" s="15">
        <v>15.07</v>
      </c>
      <c r="M72" s="17">
        <v>4.92</v>
      </c>
      <c r="N72" s="2"/>
      <c r="O72" s="2"/>
      <c r="P72" s="2"/>
      <c r="Q72" s="2"/>
    </row>
    <row r="73" spans="1:17" ht="16.2" thickBot="1" x14ac:dyDescent="0.35">
      <c r="A73" t="s">
        <v>168</v>
      </c>
      <c r="B73">
        <v>1.27</v>
      </c>
      <c r="C73">
        <v>1030</v>
      </c>
      <c r="D73" s="15" t="s">
        <v>151</v>
      </c>
      <c r="E73" s="15">
        <v>4</v>
      </c>
      <c r="F73" s="15">
        <v>14.8</v>
      </c>
      <c r="G73" s="15">
        <v>5.73</v>
      </c>
      <c r="H73" s="15">
        <v>84.8</v>
      </c>
      <c r="I73" s="16">
        <v>12006</v>
      </c>
      <c r="J73" s="15">
        <v>51.2</v>
      </c>
      <c r="K73" s="15">
        <v>425</v>
      </c>
      <c r="L73" s="15">
        <v>15</v>
      </c>
      <c r="M73" s="17">
        <v>5.0199999999999996</v>
      </c>
      <c r="N73" s="2"/>
      <c r="O73" s="2"/>
      <c r="P73" s="2"/>
      <c r="Q73" s="2"/>
    </row>
    <row r="74" spans="1:17" ht="16.2" thickBot="1" x14ac:dyDescent="0.35">
      <c r="A74" t="s">
        <v>168</v>
      </c>
      <c r="B74">
        <v>1.27</v>
      </c>
      <c r="C74">
        <v>1030</v>
      </c>
      <c r="D74" s="15" t="s">
        <v>161</v>
      </c>
      <c r="E74" s="15">
        <v>4</v>
      </c>
      <c r="F74" s="15">
        <v>14.8</v>
      </c>
      <c r="G74" s="15">
        <v>5.38</v>
      </c>
      <c r="H74" s="15">
        <v>79.599999999999994</v>
      </c>
      <c r="I74" s="16">
        <v>12222</v>
      </c>
      <c r="J74" s="15">
        <v>63.7</v>
      </c>
      <c r="K74" s="15">
        <v>333</v>
      </c>
      <c r="L74" s="15">
        <v>11.74</v>
      </c>
      <c r="M74" s="17">
        <v>4.18</v>
      </c>
      <c r="N74" s="2"/>
      <c r="O74" s="2"/>
      <c r="P74" s="2"/>
      <c r="Q74" s="2"/>
    </row>
    <row r="75" spans="1:17" ht="16.2" thickBot="1" x14ac:dyDescent="0.35">
      <c r="A75" t="s">
        <v>168</v>
      </c>
      <c r="B75">
        <v>1.27</v>
      </c>
      <c r="C75">
        <v>1030</v>
      </c>
      <c r="D75" s="15" t="s">
        <v>152</v>
      </c>
      <c r="E75" s="15">
        <v>4</v>
      </c>
      <c r="F75" s="15">
        <v>14.8</v>
      </c>
      <c r="G75" s="15">
        <v>5.8</v>
      </c>
      <c r="H75" s="15">
        <v>85.8</v>
      </c>
      <c r="I75" s="16">
        <v>11954</v>
      </c>
      <c r="J75" s="15">
        <v>67.900000000000006</v>
      </c>
      <c r="K75" s="15">
        <v>343</v>
      </c>
      <c r="L75" s="15">
        <v>12.1</v>
      </c>
      <c r="M75" s="17">
        <v>4</v>
      </c>
      <c r="N75" s="2"/>
      <c r="O75" s="2"/>
      <c r="P75" s="2"/>
      <c r="Q75" s="2"/>
    </row>
    <row r="76" spans="1:17" ht="16.2" thickBot="1" x14ac:dyDescent="0.35">
      <c r="A76" t="s">
        <v>168</v>
      </c>
      <c r="B76">
        <v>1.27</v>
      </c>
      <c r="C76">
        <v>1030</v>
      </c>
      <c r="D76" s="7" t="s">
        <v>146</v>
      </c>
      <c r="E76" s="7">
        <v>4</v>
      </c>
      <c r="F76" s="7">
        <v>14.8</v>
      </c>
      <c r="G76" s="7">
        <v>6.62</v>
      </c>
      <c r="H76" s="7">
        <v>97.9</v>
      </c>
      <c r="I76" s="18">
        <v>11401</v>
      </c>
      <c r="J76" s="7">
        <v>43.2</v>
      </c>
      <c r="K76" s="7">
        <v>511</v>
      </c>
      <c r="L76" s="7">
        <v>18.04</v>
      </c>
      <c r="M76" s="19">
        <v>5.22</v>
      </c>
      <c r="N76" s="2"/>
      <c r="O76" s="2"/>
      <c r="P76" s="2"/>
      <c r="Q76" s="2"/>
    </row>
    <row r="77" spans="1:17" ht="16.2" thickBot="1" x14ac:dyDescent="0.35">
      <c r="A77" t="s">
        <v>168</v>
      </c>
      <c r="B77">
        <v>1.27</v>
      </c>
      <c r="C77">
        <v>1030</v>
      </c>
      <c r="D77" s="15" t="s">
        <v>147</v>
      </c>
      <c r="E77" s="15">
        <v>4</v>
      </c>
      <c r="F77" s="15">
        <v>14.8</v>
      </c>
      <c r="G77" s="15">
        <v>5.59</v>
      </c>
      <c r="H77" s="15">
        <v>82.7</v>
      </c>
      <c r="I77" s="16">
        <v>12078</v>
      </c>
      <c r="J77" s="15">
        <v>45.8</v>
      </c>
      <c r="K77" s="15">
        <v>344</v>
      </c>
      <c r="L77" s="15">
        <v>12.15</v>
      </c>
      <c r="M77" s="17">
        <v>4.16</v>
      </c>
      <c r="N77" s="2"/>
      <c r="O77" s="2"/>
      <c r="P77" s="2"/>
      <c r="Q77" s="2"/>
    </row>
    <row r="78" spans="1:17" ht="16.2" thickBot="1" x14ac:dyDescent="0.35">
      <c r="A78" t="s">
        <v>168</v>
      </c>
      <c r="B78">
        <v>1.27</v>
      </c>
      <c r="C78">
        <v>1030</v>
      </c>
      <c r="D78" s="7" t="s">
        <v>148</v>
      </c>
      <c r="E78" s="7">
        <v>4</v>
      </c>
      <c r="F78" s="7">
        <v>14.8</v>
      </c>
      <c r="G78" s="7">
        <v>7.76</v>
      </c>
      <c r="H78" s="7">
        <v>114.9</v>
      </c>
      <c r="I78" s="18">
        <v>10585</v>
      </c>
      <c r="J78" s="7">
        <v>50.1</v>
      </c>
      <c r="K78" s="7">
        <v>478</v>
      </c>
      <c r="L78" s="7">
        <v>16.850000000000001</v>
      </c>
      <c r="M78" s="19">
        <v>4.16</v>
      </c>
      <c r="N78" s="2"/>
      <c r="O78" s="2"/>
      <c r="P78" s="2"/>
      <c r="Q78" s="2"/>
    </row>
    <row r="79" spans="1:17" ht="16.2" thickBot="1" x14ac:dyDescent="0.35">
      <c r="A79" t="s">
        <v>168</v>
      </c>
      <c r="B79">
        <v>1.27</v>
      </c>
      <c r="C79">
        <v>1030</v>
      </c>
      <c r="D79" s="6" t="s">
        <v>149</v>
      </c>
      <c r="E79" s="6">
        <v>4</v>
      </c>
      <c r="F79" s="6">
        <v>14.8</v>
      </c>
      <c r="G79" s="6">
        <v>8.09</v>
      </c>
      <c r="H79" s="6">
        <v>119.8</v>
      </c>
      <c r="I79" s="20">
        <v>10363</v>
      </c>
      <c r="J79" s="6">
        <v>58.9</v>
      </c>
      <c r="K79" s="6">
        <v>512</v>
      </c>
      <c r="L79" s="6">
        <v>18.07</v>
      </c>
      <c r="M79" s="21">
        <v>4.28</v>
      </c>
      <c r="N79" s="2"/>
      <c r="O79" s="2"/>
      <c r="P79" s="2"/>
      <c r="Q79" s="2"/>
    </row>
    <row r="80" spans="1:17" ht="16.2" thickBot="1" x14ac:dyDescent="0.35">
      <c r="A80" t="s">
        <v>168</v>
      </c>
      <c r="B80">
        <v>1.27</v>
      </c>
      <c r="C80">
        <v>1030</v>
      </c>
      <c r="D80" s="7" t="s">
        <v>141</v>
      </c>
      <c r="E80" s="7">
        <v>4</v>
      </c>
      <c r="F80" s="7">
        <v>14.8</v>
      </c>
      <c r="G80" s="7">
        <v>7.29</v>
      </c>
      <c r="H80" s="7">
        <v>107.8</v>
      </c>
      <c r="I80" s="18">
        <v>10910</v>
      </c>
      <c r="J80" s="7">
        <v>62</v>
      </c>
      <c r="K80" s="7">
        <v>343</v>
      </c>
      <c r="L80" s="7">
        <v>12.09</v>
      </c>
      <c r="M80" s="19">
        <v>3.18</v>
      </c>
      <c r="N80" s="2"/>
      <c r="O80" s="2"/>
      <c r="P80" s="2"/>
      <c r="Q80" s="2"/>
    </row>
    <row r="81" spans="1:17" ht="16.2" thickBot="1" x14ac:dyDescent="0.35">
      <c r="A81" t="s">
        <v>168</v>
      </c>
      <c r="B81">
        <v>1.27</v>
      </c>
      <c r="C81">
        <v>1030</v>
      </c>
      <c r="D81" s="6" t="s">
        <v>125</v>
      </c>
      <c r="E81" s="6">
        <v>4</v>
      </c>
      <c r="F81" s="6">
        <v>14.8</v>
      </c>
      <c r="G81" s="6">
        <v>9.0399999999999991</v>
      </c>
      <c r="H81" s="6">
        <v>133.80000000000001</v>
      </c>
      <c r="I81" s="20">
        <v>9605</v>
      </c>
      <c r="J81" s="6">
        <v>63.7</v>
      </c>
      <c r="K81" s="6">
        <v>468</v>
      </c>
      <c r="L81" s="6">
        <v>16.52</v>
      </c>
      <c r="M81" s="21">
        <v>3.5</v>
      </c>
      <c r="N81" s="2"/>
      <c r="O81" s="2"/>
      <c r="P81" s="2"/>
      <c r="Q81" s="2"/>
    </row>
    <row r="82" spans="1:17" ht="16.2" thickBot="1" x14ac:dyDescent="0.35">
      <c r="A82" t="s">
        <v>168</v>
      </c>
      <c r="B82">
        <v>1.27</v>
      </c>
      <c r="C82">
        <v>1030</v>
      </c>
      <c r="D82" s="6" t="s">
        <v>126</v>
      </c>
      <c r="E82" s="6">
        <v>4</v>
      </c>
      <c r="F82" s="6">
        <v>14.8</v>
      </c>
      <c r="G82" s="6">
        <v>8.4700000000000006</v>
      </c>
      <c r="H82" s="6">
        <v>125.4</v>
      </c>
      <c r="I82" s="20">
        <v>10046</v>
      </c>
      <c r="J82" s="6">
        <v>38.1</v>
      </c>
      <c r="K82" s="6">
        <v>607</v>
      </c>
      <c r="L82" s="6">
        <v>21.41</v>
      </c>
      <c r="M82" s="21">
        <v>4.84</v>
      </c>
      <c r="N82" s="2"/>
      <c r="O82" s="2"/>
      <c r="P82" s="2"/>
      <c r="Q82" s="2"/>
    </row>
    <row r="83" spans="1:17" ht="16.2" thickBot="1" x14ac:dyDescent="0.35">
      <c r="A83" t="s">
        <v>168</v>
      </c>
      <c r="B83">
        <v>1.27</v>
      </c>
      <c r="C83">
        <v>1030</v>
      </c>
      <c r="D83" s="7" t="s">
        <v>150</v>
      </c>
      <c r="E83" s="7">
        <v>4</v>
      </c>
      <c r="F83" s="7">
        <v>14.8</v>
      </c>
      <c r="G83" s="7">
        <v>7.17</v>
      </c>
      <c r="H83" s="7">
        <v>106.2</v>
      </c>
      <c r="I83" s="18">
        <v>11004</v>
      </c>
      <c r="J83" s="7">
        <v>41.7</v>
      </c>
      <c r="K83" s="7">
        <v>489</v>
      </c>
      <c r="L83" s="7">
        <v>17.260000000000002</v>
      </c>
      <c r="M83" s="19">
        <v>4.6100000000000003</v>
      </c>
      <c r="N83" s="2"/>
      <c r="O83" s="2"/>
      <c r="P83" s="2"/>
      <c r="Q83" s="2"/>
    </row>
    <row r="84" spans="1:17" ht="16.2" thickBot="1" x14ac:dyDescent="0.35">
      <c r="A84" t="s">
        <v>168</v>
      </c>
      <c r="B84">
        <v>1.27</v>
      </c>
      <c r="C84">
        <v>1030</v>
      </c>
      <c r="D84" s="12" t="s">
        <v>197</v>
      </c>
      <c r="E84" s="12">
        <v>4</v>
      </c>
      <c r="F84" s="12">
        <v>14.8</v>
      </c>
      <c r="G84" s="12">
        <v>3.74</v>
      </c>
      <c r="H84" s="12">
        <v>55.4</v>
      </c>
      <c r="I84" s="13">
        <v>13309</v>
      </c>
      <c r="J84" s="12">
        <v>37.799999999999997</v>
      </c>
      <c r="K84" s="12">
        <v>149</v>
      </c>
      <c r="L84" s="12">
        <v>5.26</v>
      </c>
      <c r="M84" s="14">
        <v>2.69</v>
      </c>
      <c r="N84" s="2"/>
      <c r="O84" s="2"/>
      <c r="P84" s="2"/>
      <c r="Q84" s="2"/>
    </row>
    <row r="85" spans="1:17" ht="16.2" thickBot="1" x14ac:dyDescent="0.35">
      <c r="A85" t="s">
        <v>168</v>
      </c>
      <c r="B85">
        <v>1.27</v>
      </c>
      <c r="C85">
        <v>1030</v>
      </c>
      <c r="D85" s="15" t="s">
        <v>166</v>
      </c>
      <c r="E85" s="15">
        <v>4</v>
      </c>
      <c r="F85" s="15">
        <v>14.8</v>
      </c>
      <c r="G85" s="15">
        <v>5.17</v>
      </c>
      <c r="H85" s="15">
        <v>76.599999999999994</v>
      </c>
      <c r="I85" s="16">
        <v>12348</v>
      </c>
      <c r="J85" s="15">
        <v>46.8</v>
      </c>
      <c r="K85" s="15">
        <v>370</v>
      </c>
      <c r="L85" s="15">
        <v>13.05</v>
      </c>
      <c r="M85" s="17">
        <v>4.83</v>
      </c>
      <c r="N85" s="2"/>
      <c r="O85" s="2"/>
      <c r="P85" s="2"/>
      <c r="Q85" s="2"/>
    </row>
    <row r="86" spans="1:17" ht="16.2" thickBot="1" x14ac:dyDescent="0.35">
      <c r="A86" t="s">
        <v>168</v>
      </c>
      <c r="B86">
        <v>1.27</v>
      </c>
      <c r="C86">
        <v>1030</v>
      </c>
      <c r="D86" s="30" t="s">
        <v>144</v>
      </c>
      <c r="E86" s="30">
        <v>4</v>
      </c>
      <c r="F86" s="30">
        <v>14.8</v>
      </c>
      <c r="G86" s="30">
        <v>7.38</v>
      </c>
      <c r="H86" s="30">
        <v>109.3</v>
      </c>
      <c r="I86" s="31">
        <v>10858</v>
      </c>
      <c r="J86" s="30">
        <v>41.1</v>
      </c>
      <c r="K86" s="30">
        <v>453</v>
      </c>
      <c r="L86" s="30">
        <v>15.97</v>
      </c>
      <c r="M86" s="32">
        <v>4.1399999999999997</v>
      </c>
    </row>
    <row r="87" spans="1:17" ht="16.8" thickTop="1" thickBot="1" x14ac:dyDescent="0.35">
      <c r="A87" t="s">
        <v>345</v>
      </c>
      <c r="B87">
        <v>0.51</v>
      </c>
      <c r="C87">
        <v>1480</v>
      </c>
      <c r="D87" s="12" t="s">
        <v>200</v>
      </c>
      <c r="E87" s="12">
        <v>2</v>
      </c>
      <c r="F87" s="12">
        <v>7.4</v>
      </c>
      <c r="G87" s="12">
        <v>2.31</v>
      </c>
      <c r="H87" s="12">
        <v>17.100000000000001</v>
      </c>
      <c r="I87" s="13">
        <v>8025</v>
      </c>
      <c r="J87" s="12">
        <v>35</v>
      </c>
      <c r="K87" s="12">
        <v>110</v>
      </c>
      <c r="L87" s="12">
        <v>3.87</v>
      </c>
      <c r="M87" s="14">
        <v>6.43</v>
      </c>
      <c r="N87" s="2"/>
      <c r="O87" s="4"/>
      <c r="P87" s="2"/>
      <c r="Q87" s="4"/>
    </row>
    <row r="88" spans="1:17" ht="16.2" thickBot="1" x14ac:dyDescent="0.35">
      <c r="A88" t="s">
        <v>345</v>
      </c>
      <c r="B88">
        <v>0.51</v>
      </c>
      <c r="C88">
        <v>1480</v>
      </c>
      <c r="D88" s="12" t="s">
        <v>159</v>
      </c>
      <c r="E88" s="12">
        <v>2</v>
      </c>
      <c r="F88" s="12">
        <v>7.4</v>
      </c>
      <c r="G88" s="12">
        <v>2.41</v>
      </c>
      <c r="H88" s="12">
        <v>17.8</v>
      </c>
      <c r="I88" s="13">
        <v>7900</v>
      </c>
      <c r="J88" s="12">
        <v>29.9</v>
      </c>
      <c r="K88" s="12">
        <v>119</v>
      </c>
      <c r="L88" s="12">
        <v>4.2</v>
      </c>
      <c r="M88" s="14">
        <v>6.67</v>
      </c>
      <c r="N88" s="2"/>
      <c r="O88" s="4"/>
      <c r="P88" s="2"/>
      <c r="Q88" s="4"/>
    </row>
    <row r="89" spans="1:17" ht="16.2" thickBot="1" x14ac:dyDescent="0.35">
      <c r="A89" t="s">
        <v>345</v>
      </c>
      <c r="B89">
        <v>0.51</v>
      </c>
      <c r="C89">
        <v>1480</v>
      </c>
      <c r="D89" s="15" t="s">
        <v>160</v>
      </c>
      <c r="E89" s="15">
        <v>2</v>
      </c>
      <c r="F89" s="15">
        <v>7.4</v>
      </c>
      <c r="G89" s="15">
        <v>3.05</v>
      </c>
      <c r="H89" s="15">
        <v>22.5</v>
      </c>
      <c r="I89" s="16">
        <v>7105</v>
      </c>
      <c r="J89" s="15">
        <v>28.9</v>
      </c>
      <c r="K89" s="15">
        <v>151</v>
      </c>
      <c r="L89" s="15">
        <v>5.32</v>
      </c>
      <c r="M89" s="17">
        <v>6.7</v>
      </c>
      <c r="N89" s="2"/>
      <c r="O89" s="4"/>
      <c r="P89" s="2"/>
      <c r="Q89" s="4"/>
    </row>
    <row r="90" spans="1:17" ht="16.2" thickBot="1" x14ac:dyDescent="0.35">
      <c r="A90" t="s">
        <v>345</v>
      </c>
      <c r="B90">
        <v>0.51</v>
      </c>
      <c r="C90">
        <v>1480</v>
      </c>
      <c r="D90" s="15" t="s">
        <v>151</v>
      </c>
      <c r="E90" s="15">
        <v>2</v>
      </c>
      <c r="F90" s="15">
        <v>7.4</v>
      </c>
      <c r="G90" s="15">
        <v>2.97</v>
      </c>
      <c r="H90" s="15">
        <v>22</v>
      </c>
      <c r="I90" s="16">
        <v>7178</v>
      </c>
      <c r="J90" s="15">
        <v>30.6</v>
      </c>
      <c r="K90" s="15">
        <v>152</v>
      </c>
      <c r="L90" s="15">
        <v>5.37</v>
      </c>
      <c r="M90" s="17">
        <v>6.93</v>
      </c>
      <c r="N90" s="2"/>
      <c r="O90" s="4"/>
      <c r="P90" s="2"/>
      <c r="Q90" s="4"/>
    </row>
    <row r="91" spans="1:17" ht="16.2" thickBot="1" x14ac:dyDescent="0.35">
      <c r="A91" t="s">
        <v>345</v>
      </c>
      <c r="B91">
        <v>0.51</v>
      </c>
      <c r="C91">
        <v>1480</v>
      </c>
      <c r="D91" s="15" t="s">
        <v>161</v>
      </c>
      <c r="E91" s="15">
        <v>2</v>
      </c>
      <c r="F91" s="15">
        <v>7.4</v>
      </c>
      <c r="G91" s="15">
        <v>3.02</v>
      </c>
      <c r="H91" s="15">
        <v>22.3</v>
      </c>
      <c r="I91" s="16">
        <v>7093</v>
      </c>
      <c r="J91" s="15">
        <v>36.9</v>
      </c>
      <c r="K91" s="15">
        <v>105</v>
      </c>
      <c r="L91" s="15">
        <v>3.72</v>
      </c>
      <c r="M91" s="17">
        <v>4.72</v>
      </c>
      <c r="N91" s="2"/>
      <c r="O91" s="4"/>
      <c r="P91" s="2"/>
      <c r="Q91" s="4"/>
    </row>
    <row r="92" spans="1:17" ht="16.2" thickBot="1" x14ac:dyDescent="0.35">
      <c r="A92" t="s">
        <v>345</v>
      </c>
      <c r="B92">
        <v>0.51</v>
      </c>
      <c r="C92">
        <v>1480</v>
      </c>
      <c r="D92" s="15" t="s">
        <v>152</v>
      </c>
      <c r="E92" s="15">
        <v>2</v>
      </c>
      <c r="F92" s="15">
        <v>7.4</v>
      </c>
      <c r="G92" s="15">
        <v>3.25</v>
      </c>
      <c r="H92" s="15">
        <v>24.1</v>
      </c>
      <c r="I92" s="16">
        <v>6809</v>
      </c>
      <c r="J92" s="15">
        <v>38.700000000000003</v>
      </c>
      <c r="K92" s="15">
        <v>109</v>
      </c>
      <c r="L92" s="15">
        <v>3.85</v>
      </c>
      <c r="M92" s="17">
        <v>4.54</v>
      </c>
      <c r="N92" s="2"/>
      <c r="O92" s="24"/>
      <c r="P92" s="2"/>
      <c r="Q92" s="4"/>
    </row>
    <row r="93" spans="1:17" ht="16.2" thickBot="1" x14ac:dyDescent="0.35">
      <c r="A93" t="s">
        <v>345</v>
      </c>
      <c r="B93">
        <v>0.51</v>
      </c>
      <c r="C93">
        <v>1480</v>
      </c>
      <c r="D93" s="15" t="s">
        <v>146</v>
      </c>
      <c r="E93" s="15">
        <v>2</v>
      </c>
      <c r="F93" s="15">
        <v>7.4</v>
      </c>
      <c r="G93" s="15">
        <v>3.24</v>
      </c>
      <c r="H93" s="15">
        <v>24</v>
      </c>
      <c r="I93" s="16">
        <v>6819</v>
      </c>
      <c r="J93" s="15">
        <v>25.8</v>
      </c>
      <c r="K93" s="15">
        <v>174</v>
      </c>
      <c r="L93" s="15">
        <v>6.15</v>
      </c>
      <c r="M93" s="17">
        <v>7.27</v>
      </c>
      <c r="N93" s="2"/>
      <c r="O93" s="24"/>
      <c r="P93" s="2"/>
      <c r="Q93" s="4"/>
    </row>
    <row r="94" spans="1:17" ht="16.2" thickBot="1" x14ac:dyDescent="0.35">
      <c r="A94" t="s">
        <v>345</v>
      </c>
      <c r="B94">
        <v>0.51</v>
      </c>
      <c r="C94">
        <v>1480</v>
      </c>
      <c r="D94" s="15" t="s">
        <v>194</v>
      </c>
      <c r="E94" s="15">
        <v>2</v>
      </c>
      <c r="F94" s="15">
        <v>7.4</v>
      </c>
      <c r="G94" s="15">
        <v>3.24</v>
      </c>
      <c r="H94" s="15">
        <v>24</v>
      </c>
      <c r="I94" s="16">
        <v>6814</v>
      </c>
      <c r="J94" s="15">
        <v>25.8</v>
      </c>
      <c r="K94" s="15">
        <v>169</v>
      </c>
      <c r="L94" s="15">
        <v>5.95</v>
      </c>
      <c r="M94" s="17">
        <v>7.03</v>
      </c>
      <c r="N94" s="2"/>
      <c r="O94" s="24"/>
      <c r="P94" s="2"/>
      <c r="Q94" s="4"/>
    </row>
    <row r="95" spans="1:17" ht="16.2" thickBot="1" x14ac:dyDescent="0.35">
      <c r="A95" t="s">
        <v>345</v>
      </c>
      <c r="B95">
        <v>0.51</v>
      </c>
      <c r="C95">
        <v>1480</v>
      </c>
      <c r="D95" s="15" t="s">
        <v>148</v>
      </c>
      <c r="E95" s="15">
        <v>2</v>
      </c>
      <c r="F95" s="15">
        <v>7.4</v>
      </c>
      <c r="G95" s="15">
        <v>3.74</v>
      </c>
      <c r="H95" s="15">
        <v>27.6</v>
      </c>
      <c r="I95" s="16">
        <v>6127</v>
      </c>
      <c r="J95" s="15">
        <v>29</v>
      </c>
      <c r="K95" s="15">
        <v>154</v>
      </c>
      <c r="L95" s="15">
        <v>5.43</v>
      </c>
      <c r="M95" s="17">
        <v>5.57</v>
      </c>
      <c r="N95" s="2"/>
      <c r="O95" s="24"/>
      <c r="P95" s="2"/>
      <c r="Q95" s="4"/>
    </row>
    <row r="96" spans="1:17" ht="16.2" thickBot="1" x14ac:dyDescent="0.35">
      <c r="A96" t="s">
        <v>345</v>
      </c>
      <c r="B96">
        <v>0.51</v>
      </c>
      <c r="C96">
        <v>1480</v>
      </c>
      <c r="D96" s="15" t="s">
        <v>195</v>
      </c>
      <c r="E96" s="15">
        <v>2</v>
      </c>
      <c r="F96" s="15">
        <v>7.4</v>
      </c>
      <c r="G96" s="15">
        <v>3.59</v>
      </c>
      <c r="H96" s="15">
        <v>26.6</v>
      </c>
      <c r="I96" s="16">
        <v>6364</v>
      </c>
      <c r="J96" s="15">
        <v>30.1</v>
      </c>
      <c r="K96" s="15">
        <v>166</v>
      </c>
      <c r="L96" s="15">
        <v>5.86</v>
      </c>
      <c r="M96" s="17">
        <v>6.25</v>
      </c>
      <c r="N96" s="2"/>
      <c r="O96" s="24"/>
      <c r="P96" s="2"/>
      <c r="Q96" s="4"/>
    </row>
    <row r="97" spans="1:17" ht="16.2" thickBot="1" x14ac:dyDescent="0.35">
      <c r="A97" t="s">
        <v>345</v>
      </c>
      <c r="B97">
        <v>0.51</v>
      </c>
      <c r="C97">
        <v>1480</v>
      </c>
      <c r="D97" s="15" t="s">
        <v>149</v>
      </c>
      <c r="E97" s="15">
        <v>2</v>
      </c>
      <c r="F97" s="15">
        <v>7.4</v>
      </c>
      <c r="G97" s="15">
        <v>3.95</v>
      </c>
      <c r="H97" s="15">
        <v>29.2</v>
      </c>
      <c r="I97" s="16">
        <v>5838</v>
      </c>
      <c r="J97" s="15">
        <v>33.200000000000003</v>
      </c>
      <c r="K97" s="15">
        <v>154</v>
      </c>
      <c r="L97" s="15">
        <v>5.43</v>
      </c>
      <c r="M97" s="17">
        <v>5.26</v>
      </c>
      <c r="N97" s="2"/>
      <c r="O97" s="24"/>
      <c r="P97" s="2"/>
      <c r="Q97" s="4"/>
    </row>
    <row r="98" spans="1:17" ht="16.2" thickBot="1" x14ac:dyDescent="0.35">
      <c r="A98" t="s">
        <v>345</v>
      </c>
      <c r="B98">
        <v>0.51</v>
      </c>
      <c r="C98">
        <v>1480</v>
      </c>
      <c r="D98" s="15" t="s">
        <v>196</v>
      </c>
      <c r="E98" s="15">
        <v>2</v>
      </c>
      <c r="F98" s="15">
        <v>7.4</v>
      </c>
      <c r="G98" s="15">
        <v>3.94</v>
      </c>
      <c r="H98" s="15">
        <v>29.2</v>
      </c>
      <c r="I98" s="16">
        <v>5833</v>
      </c>
      <c r="J98" s="15">
        <v>33.1</v>
      </c>
      <c r="K98" s="15">
        <v>153</v>
      </c>
      <c r="L98" s="15">
        <v>5.39</v>
      </c>
      <c r="M98" s="17">
        <v>5.23</v>
      </c>
      <c r="N98" s="2"/>
      <c r="O98" s="24"/>
      <c r="P98" s="2"/>
      <c r="Q98" s="4"/>
    </row>
    <row r="99" spans="1:17" ht="16.2" thickBot="1" x14ac:dyDescent="0.35">
      <c r="A99" t="s">
        <v>345</v>
      </c>
      <c r="B99">
        <v>0.51</v>
      </c>
      <c r="C99">
        <v>1480</v>
      </c>
      <c r="D99" s="7" t="s">
        <v>182</v>
      </c>
      <c r="E99" s="7">
        <v>2</v>
      </c>
      <c r="F99" s="7">
        <v>7.4</v>
      </c>
      <c r="G99" s="7">
        <v>4.04</v>
      </c>
      <c r="H99" s="7">
        <v>29.9</v>
      </c>
      <c r="I99" s="18">
        <v>5680</v>
      </c>
      <c r="J99" s="7">
        <v>20.399999999999999</v>
      </c>
      <c r="K99" s="7">
        <v>200</v>
      </c>
      <c r="L99" s="7">
        <v>7.05</v>
      </c>
      <c r="M99" s="19">
        <v>6.69</v>
      </c>
      <c r="N99" s="2"/>
      <c r="O99" s="24"/>
      <c r="P99" s="2"/>
      <c r="Q99" s="4"/>
    </row>
    <row r="100" spans="1:17" ht="16.2" thickBot="1" x14ac:dyDescent="0.35">
      <c r="A100" t="s">
        <v>345</v>
      </c>
      <c r="B100">
        <v>0.51</v>
      </c>
      <c r="C100">
        <v>1480</v>
      </c>
      <c r="D100" s="7" t="s">
        <v>183</v>
      </c>
      <c r="E100" s="7">
        <v>2</v>
      </c>
      <c r="F100" s="7">
        <v>7.4</v>
      </c>
      <c r="G100" s="7">
        <v>4.29</v>
      </c>
      <c r="H100" s="7">
        <v>31.7</v>
      </c>
      <c r="I100" s="18">
        <v>5269</v>
      </c>
      <c r="J100" s="7">
        <v>23.5</v>
      </c>
      <c r="K100" s="7">
        <v>200</v>
      </c>
      <c r="L100" s="7">
        <v>7.06</v>
      </c>
      <c r="M100" s="19">
        <v>6.31</v>
      </c>
      <c r="N100" s="2"/>
      <c r="O100" s="24"/>
      <c r="P100" s="2"/>
      <c r="Q100" s="4"/>
    </row>
    <row r="101" spans="1:17" ht="16.2" thickBot="1" x14ac:dyDescent="0.35">
      <c r="A101" t="s">
        <v>345</v>
      </c>
      <c r="B101">
        <v>0.51</v>
      </c>
      <c r="C101">
        <v>1480</v>
      </c>
      <c r="D101" s="15" t="s">
        <v>346</v>
      </c>
      <c r="E101" s="15">
        <v>2</v>
      </c>
      <c r="F101" s="15">
        <v>7.4</v>
      </c>
      <c r="G101" s="15">
        <v>3.26</v>
      </c>
      <c r="H101" s="15">
        <v>24.1</v>
      </c>
      <c r="I101" s="16">
        <v>6741</v>
      </c>
      <c r="J101" s="15">
        <v>28.7</v>
      </c>
      <c r="K101" s="15">
        <v>152</v>
      </c>
      <c r="L101" s="15">
        <v>5.35</v>
      </c>
      <c r="M101" s="17">
        <v>6.29</v>
      </c>
      <c r="N101" s="2"/>
      <c r="O101" s="24"/>
      <c r="P101" s="2"/>
      <c r="Q101" s="4"/>
    </row>
    <row r="102" spans="1:17" ht="16.2" thickBot="1" x14ac:dyDescent="0.35">
      <c r="A102" t="s">
        <v>345</v>
      </c>
      <c r="B102">
        <v>0.51</v>
      </c>
      <c r="C102">
        <v>1480</v>
      </c>
      <c r="D102" s="15" t="s">
        <v>347</v>
      </c>
      <c r="E102" s="15">
        <v>2</v>
      </c>
      <c r="F102" s="15">
        <v>7.4</v>
      </c>
      <c r="G102" s="15">
        <v>2.64</v>
      </c>
      <c r="H102" s="15">
        <v>19.5</v>
      </c>
      <c r="I102" s="16">
        <v>7586</v>
      </c>
      <c r="J102" s="15">
        <v>32.299999999999997</v>
      </c>
      <c r="K102" s="15">
        <v>141</v>
      </c>
      <c r="L102" s="15">
        <v>4.97</v>
      </c>
      <c r="M102" s="17">
        <v>7.21</v>
      </c>
      <c r="N102" s="2"/>
      <c r="O102" s="24"/>
      <c r="P102" s="2"/>
      <c r="Q102" s="4"/>
    </row>
    <row r="103" spans="1:17" ht="16.2" thickBot="1" x14ac:dyDescent="0.35">
      <c r="A103" t="s">
        <v>345</v>
      </c>
      <c r="B103">
        <v>0.51</v>
      </c>
      <c r="C103">
        <v>1480</v>
      </c>
      <c r="D103" s="15" t="s">
        <v>348</v>
      </c>
      <c r="E103" s="15">
        <v>2</v>
      </c>
      <c r="F103" s="15">
        <v>7.4</v>
      </c>
      <c r="G103" s="15">
        <v>3.62</v>
      </c>
      <c r="H103" s="15">
        <v>26.8</v>
      </c>
      <c r="I103" s="16">
        <v>6294</v>
      </c>
      <c r="J103" s="15">
        <v>26.8</v>
      </c>
      <c r="K103" s="15">
        <v>176</v>
      </c>
      <c r="L103" s="15">
        <v>6.19</v>
      </c>
      <c r="M103" s="17">
        <v>6.56</v>
      </c>
      <c r="N103" s="2"/>
      <c r="O103" s="24"/>
      <c r="P103" s="2"/>
      <c r="Q103" s="4"/>
    </row>
    <row r="104" spans="1:17" ht="16.2" thickBot="1" x14ac:dyDescent="0.35">
      <c r="A104" t="s">
        <v>345</v>
      </c>
      <c r="B104">
        <v>0.51</v>
      </c>
      <c r="C104">
        <v>1480</v>
      </c>
      <c r="D104" s="27" t="s">
        <v>198</v>
      </c>
      <c r="E104" s="27">
        <v>3</v>
      </c>
      <c r="F104" s="27">
        <v>11.1</v>
      </c>
      <c r="G104" s="27">
        <v>3.81</v>
      </c>
      <c r="H104" s="27">
        <v>42.3</v>
      </c>
      <c r="I104" s="28">
        <v>10787</v>
      </c>
      <c r="J104" s="27">
        <v>43.9</v>
      </c>
      <c r="K104" s="27">
        <v>185</v>
      </c>
      <c r="L104" s="27">
        <v>6.54</v>
      </c>
      <c r="M104" s="29">
        <v>4.38</v>
      </c>
      <c r="N104" s="2"/>
      <c r="O104" s="3"/>
      <c r="P104" s="2"/>
      <c r="Q104" s="4"/>
    </row>
    <row r="105" spans="1:17" ht="16.2" thickBot="1" x14ac:dyDescent="0.35">
      <c r="A105" t="s">
        <v>345</v>
      </c>
      <c r="B105">
        <v>0.51</v>
      </c>
      <c r="C105">
        <v>1480</v>
      </c>
      <c r="D105" s="15" t="s">
        <v>199</v>
      </c>
      <c r="E105" s="15">
        <v>3</v>
      </c>
      <c r="F105" s="15">
        <v>11.1</v>
      </c>
      <c r="G105" s="15">
        <v>3.79</v>
      </c>
      <c r="H105" s="15">
        <v>42.1</v>
      </c>
      <c r="I105" s="16">
        <v>10819</v>
      </c>
      <c r="J105" s="15">
        <v>46.1</v>
      </c>
      <c r="K105" s="15">
        <v>181</v>
      </c>
      <c r="L105" s="15">
        <v>6.37</v>
      </c>
      <c r="M105" s="17">
        <v>4.29</v>
      </c>
      <c r="N105" s="2"/>
      <c r="O105" s="3"/>
      <c r="P105" s="2"/>
      <c r="Q105" s="4"/>
    </row>
    <row r="106" spans="1:17" ht="16.2" thickBot="1" x14ac:dyDescent="0.35">
      <c r="A106" t="s">
        <v>345</v>
      </c>
      <c r="B106">
        <v>0.51</v>
      </c>
      <c r="C106">
        <v>1480</v>
      </c>
      <c r="D106" s="15" t="s">
        <v>200</v>
      </c>
      <c r="E106" s="15">
        <v>3</v>
      </c>
      <c r="F106" s="15">
        <v>11.1</v>
      </c>
      <c r="G106" s="15">
        <v>3.84</v>
      </c>
      <c r="H106" s="15">
        <v>42.6</v>
      </c>
      <c r="I106" s="16">
        <v>10738</v>
      </c>
      <c r="J106" s="15">
        <v>46.8</v>
      </c>
      <c r="K106" s="15">
        <v>195</v>
      </c>
      <c r="L106" s="15">
        <v>6.89</v>
      </c>
      <c r="M106" s="17">
        <v>4.58</v>
      </c>
      <c r="N106" s="2"/>
      <c r="O106" s="3"/>
      <c r="P106" s="2"/>
      <c r="Q106" s="4"/>
    </row>
    <row r="107" spans="1:17" ht="16.2" thickBot="1" x14ac:dyDescent="0.35">
      <c r="A107" t="s">
        <v>345</v>
      </c>
      <c r="B107">
        <v>0.51</v>
      </c>
      <c r="C107">
        <v>1480</v>
      </c>
      <c r="D107" s="7" t="s">
        <v>159</v>
      </c>
      <c r="E107" s="7">
        <v>3</v>
      </c>
      <c r="F107" s="7">
        <v>11.1</v>
      </c>
      <c r="G107" s="7">
        <v>4.04</v>
      </c>
      <c r="H107" s="7">
        <v>44.9</v>
      </c>
      <c r="I107" s="18">
        <v>10376</v>
      </c>
      <c r="J107" s="7">
        <v>39.299999999999997</v>
      </c>
      <c r="K107" s="7">
        <v>205</v>
      </c>
      <c r="L107" s="7">
        <v>7.24</v>
      </c>
      <c r="M107" s="19">
        <v>4.58</v>
      </c>
      <c r="N107" s="2"/>
      <c r="O107" s="3"/>
      <c r="P107" s="2"/>
      <c r="Q107" s="4"/>
    </row>
    <row r="108" spans="1:17" ht="16.2" thickBot="1" x14ac:dyDescent="0.35">
      <c r="A108" t="s">
        <v>345</v>
      </c>
      <c r="B108">
        <v>0.51</v>
      </c>
      <c r="C108">
        <v>1480</v>
      </c>
      <c r="D108" s="7" t="s">
        <v>161</v>
      </c>
      <c r="E108" s="7">
        <v>3</v>
      </c>
      <c r="F108" s="7">
        <v>11.1</v>
      </c>
      <c r="G108" s="7">
        <v>4.8</v>
      </c>
      <c r="H108" s="7">
        <v>53.3</v>
      </c>
      <c r="I108" s="18">
        <v>9126</v>
      </c>
      <c r="J108" s="7">
        <v>47.5</v>
      </c>
      <c r="K108" s="7">
        <v>177</v>
      </c>
      <c r="L108" s="7">
        <v>6.26</v>
      </c>
      <c r="M108" s="19">
        <v>3.33</v>
      </c>
      <c r="N108" s="2"/>
      <c r="O108" s="3"/>
      <c r="P108" s="2"/>
      <c r="Q108" s="4"/>
    </row>
    <row r="109" spans="1:17" ht="16.2" thickBot="1" x14ac:dyDescent="0.35">
      <c r="A109" t="s">
        <v>345</v>
      </c>
      <c r="B109">
        <v>0.51</v>
      </c>
      <c r="C109">
        <v>1480</v>
      </c>
      <c r="D109" s="7" t="s">
        <v>152</v>
      </c>
      <c r="E109" s="7">
        <v>3</v>
      </c>
      <c r="F109" s="7">
        <v>11.1</v>
      </c>
      <c r="G109" s="7">
        <v>4.9400000000000004</v>
      </c>
      <c r="H109" s="7">
        <v>54.8</v>
      </c>
      <c r="I109" s="18">
        <v>8836</v>
      </c>
      <c r="J109" s="7">
        <v>50.2</v>
      </c>
      <c r="K109" s="7">
        <v>185</v>
      </c>
      <c r="L109" s="7">
        <v>6.54</v>
      </c>
      <c r="M109" s="19">
        <v>3.38</v>
      </c>
      <c r="N109" s="2"/>
      <c r="O109" s="3"/>
      <c r="P109" s="2"/>
      <c r="Q109" s="4"/>
    </row>
    <row r="110" spans="1:17" ht="16.2" thickBot="1" x14ac:dyDescent="0.35">
      <c r="A110" t="s">
        <v>345</v>
      </c>
      <c r="B110">
        <v>0.51</v>
      </c>
      <c r="C110">
        <v>1480</v>
      </c>
      <c r="D110" s="12" t="s">
        <v>349</v>
      </c>
      <c r="E110" s="12">
        <v>3</v>
      </c>
      <c r="F110" s="12">
        <v>11.1</v>
      </c>
      <c r="G110" s="12">
        <v>1.87</v>
      </c>
      <c r="H110" s="12">
        <v>20.7</v>
      </c>
      <c r="I110" s="13">
        <v>13688</v>
      </c>
      <c r="J110" s="12">
        <v>38.9</v>
      </c>
      <c r="K110" s="12">
        <v>146</v>
      </c>
      <c r="L110" s="12">
        <v>5.15</v>
      </c>
      <c r="M110" s="14">
        <v>7.05</v>
      </c>
      <c r="N110" s="2"/>
      <c r="O110" s="3"/>
      <c r="P110" s="2"/>
      <c r="Q110" s="4"/>
    </row>
    <row r="111" spans="1:17" ht="16.2" thickBot="1" x14ac:dyDescent="0.35">
      <c r="A111" t="s">
        <v>345</v>
      </c>
      <c r="B111">
        <v>0.51</v>
      </c>
      <c r="C111">
        <v>1480</v>
      </c>
      <c r="D111" s="15" t="s">
        <v>350</v>
      </c>
      <c r="E111" s="15">
        <v>3</v>
      </c>
      <c r="F111" s="15">
        <v>11.1</v>
      </c>
      <c r="G111" s="15">
        <v>2.6</v>
      </c>
      <c r="H111" s="15">
        <v>28.8</v>
      </c>
      <c r="I111" s="16">
        <v>12553</v>
      </c>
      <c r="J111" s="15">
        <v>47.5</v>
      </c>
      <c r="K111" s="15">
        <v>180</v>
      </c>
      <c r="L111" s="15">
        <v>6.36</v>
      </c>
      <c r="M111" s="17">
        <v>6.25</v>
      </c>
      <c r="N111" s="2"/>
      <c r="O111" s="3"/>
      <c r="P111" s="2"/>
      <c r="Q111" s="4"/>
    </row>
    <row r="112" spans="1:17" ht="16.2" thickBot="1" x14ac:dyDescent="0.35">
      <c r="A112" t="s">
        <v>345</v>
      </c>
      <c r="B112">
        <v>0.51</v>
      </c>
      <c r="C112">
        <v>1480</v>
      </c>
      <c r="D112" s="15" t="s">
        <v>351</v>
      </c>
      <c r="E112" s="15">
        <v>3</v>
      </c>
      <c r="F112" s="15">
        <v>11.1</v>
      </c>
      <c r="G112" s="15">
        <v>3.79</v>
      </c>
      <c r="H112" s="15">
        <v>42</v>
      </c>
      <c r="I112" s="16">
        <v>10796</v>
      </c>
      <c r="J112" s="15">
        <v>46</v>
      </c>
      <c r="K112" s="15">
        <v>206</v>
      </c>
      <c r="L112" s="15">
        <v>7.26</v>
      </c>
      <c r="M112" s="17">
        <v>4.9000000000000004</v>
      </c>
      <c r="N112" s="2"/>
      <c r="O112" s="3"/>
      <c r="P112" s="2"/>
      <c r="Q112" s="4"/>
    </row>
    <row r="113" spans="1:17" ht="16.2" thickBot="1" x14ac:dyDescent="0.35">
      <c r="A113" t="s">
        <v>345</v>
      </c>
      <c r="B113">
        <v>0.51</v>
      </c>
      <c r="C113">
        <v>1480</v>
      </c>
      <c r="D113" s="15" t="s">
        <v>352</v>
      </c>
      <c r="E113" s="15">
        <v>3</v>
      </c>
      <c r="F113" s="15">
        <v>11.1</v>
      </c>
      <c r="G113" s="15">
        <v>2.63</v>
      </c>
      <c r="H113" s="15">
        <v>29.2</v>
      </c>
      <c r="I113" s="16">
        <v>12500</v>
      </c>
      <c r="J113" s="15">
        <v>53.3</v>
      </c>
      <c r="K113" s="15">
        <v>176</v>
      </c>
      <c r="L113" s="15">
        <v>6.22</v>
      </c>
      <c r="M113" s="17">
        <v>6.04</v>
      </c>
      <c r="N113" s="2"/>
      <c r="O113" s="3"/>
      <c r="P113" s="2"/>
      <c r="Q113" s="4"/>
    </row>
    <row r="114" spans="1:17" ht="16.2" thickBot="1" x14ac:dyDescent="0.35">
      <c r="A114" t="s">
        <v>345</v>
      </c>
      <c r="B114">
        <v>0.51</v>
      </c>
      <c r="C114">
        <v>1480</v>
      </c>
      <c r="D114" s="15" t="s">
        <v>353</v>
      </c>
      <c r="E114" s="15">
        <v>3</v>
      </c>
      <c r="F114" s="15">
        <v>11.1</v>
      </c>
      <c r="G114" s="15">
        <v>2.6</v>
      </c>
      <c r="H114" s="15">
        <v>28.9</v>
      </c>
      <c r="I114" s="16">
        <v>12541</v>
      </c>
      <c r="J114" s="15">
        <v>35.6</v>
      </c>
      <c r="K114" s="15">
        <v>188</v>
      </c>
      <c r="L114" s="15">
        <v>6.65</v>
      </c>
      <c r="M114" s="17">
        <v>6.52</v>
      </c>
      <c r="N114" s="2"/>
      <c r="O114" s="3"/>
      <c r="P114" s="2"/>
      <c r="Q114" s="4"/>
    </row>
    <row r="115" spans="1:17" ht="16.2" thickBot="1" x14ac:dyDescent="0.35">
      <c r="A115" t="s">
        <v>345</v>
      </c>
      <c r="B115">
        <v>0.51</v>
      </c>
      <c r="C115">
        <v>1480</v>
      </c>
      <c r="D115" s="6" t="s">
        <v>346</v>
      </c>
      <c r="E115" s="6">
        <v>3</v>
      </c>
      <c r="F115" s="6">
        <v>11.1</v>
      </c>
      <c r="G115" s="6">
        <v>5.07</v>
      </c>
      <c r="H115" s="6">
        <v>56.2</v>
      </c>
      <c r="I115" s="20">
        <v>8543</v>
      </c>
      <c r="J115" s="6">
        <v>36.4</v>
      </c>
      <c r="K115" s="6">
        <v>242</v>
      </c>
      <c r="L115" s="6">
        <v>8.5299999999999994</v>
      </c>
      <c r="M115" s="21">
        <v>4.3</v>
      </c>
      <c r="N115" s="2"/>
      <c r="O115" s="3"/>
      <c r="P115" s="2"/>
      <c r="Q115" s="4"/>
    </row>
    <row r="116" spans="1:17" ht="16.2" thickBot="1" x14ac:dyDescent="0.35">
      <c r="A116" t="s">
        <v>345</v>
      </c>
      <c r="B116">
        <v>0.51</v>
      </c>
      <c r="C116">
        <v>1480</v>
      </c>
      <c r="D116" s="30" t="s">
        <v>347</v>
      </c>
      <c r="E116" s="30">
        <v>3</v>
      </c>
      <c r="F116" s="30">
        <v>11.1</v>
      </c>
      <c r="G116" s="30">
        <v>4.29</v>
      </c>
      <c r="H116" s="30">
        <v>47.6</v>
      </c>
      <c r="I116" s="31">
        <v>9997</v>
      </c>
      <c r="J116" s="30">
        <v>42.6</v>
      </c>
      <c r="K116" s="30">
        <v>246</v>
      </c>
      <c r="L116" s="30">
        <v>8.68</v>
      </c>
      <c r="M116" s="32">
        <v>5.17</v>
      </c>
    </row>
    <row r="117" spans="1:17" ht="16.8" thickTop="1" thickBot="1" x14ac:dyDescent="0.35">
      <c r="A117" t="s">
        <v>362</v>
      </c>
      <c r="B117">
        <v>17.28</v>
      </c>
      <c r="C117">
        <v>370</v>
      </c>
      <c r="D117" s="12" t="s">
        <v>43</v>
      </c>
      <c r="E117" s="12">
        <v>6</v>
      </c>
      <c r="F117" s="12">
        <v>22.2</v>
      </c>
      <c r="G117" s="12">
        <v>26.54</v>
      </c>
      <c r="H117" s="12">
        <v>589.29999999999995</v>
      </c>
      <c r="I117" s="13">
        <v>7406</v>
      </c>
      <c r="J117" s="12">
        <v>42.1</v>
      </c>
      <c r="K117" s="13">
        <v>3208</v>
      </c>
      <c r="L117" s="12">
        <v>113.16</v>
      </c>
      <c r="M117" s="14">
        <v>5.44</v>
      </c>
      <c r="N117" s="2"/>
      <c r="O117" s="2"/>
      <c r="P117" s="2"/>
      <c r="Q117" s="2"/>
    </row>
    <row r="118" spans="1:17" ht="16.2" thickBot="1" x14ac:dyDescent="0.35">
      <c r="A118" t="s">
        <v>362</v>
      </c>
      <c r="B118">
        <v>17.28</v>
      </c>
      <c r="C118">
        <v>370</v>
      </c>
      <c r="D118" s="12" t="s">
        <v>0</v>
      </c>
      <c r="E118" s="12">
        <v>6</v>
      </c>
      <c r="F118" s="12">
        <v>22.2</v>
      </c>
      <c r="G118" s="12">
        <v>29.91</v>
      </c>
      <c r="H118" s="12">
        <v>664</v>
      </c>
      <c r="I118" s="13">
        <v>7398</v>
      </c>
      <c r="J118" s="12">
        <v>56</v>
      </c>
      <c r="K118" s="13">
        <v>3297</v>
      </c>
      <c r="L118" s="12">
        <v>116.3</v>
      </c>
      <c r="M118" s="14">
        <v>4.97</v>
      </c>
      <c r="N118" s="2"/>
      <c r="O118" s="2"/>
      <c r="P118" s="2"/>
      <c r="Q118" s="2"/>
    </row>
    <row r="119" spans="1:17" ht="16.2" thickBot="1" x14ac:dyDescent="0.35">
      <c r="A119" t="s">
        <v>362</v>
      </c>
      <c r="B119">
        <v>17.28</v>
      </c>
      <c r="C119">
        <v>370</v>
      </c>
      <c r="D119" s="15" t="s">
        <v>1</v>
      </c>
      <c r="E119" s="15">
        <v>6</v>
      </c>
      <c r="F119" s="15">
        <v>22.2</v>
      </c>
      <c r="G119" s="15">
        <v>43.99</v>
      </c>
      <c r="H119" s="15">
        <v>976.6</v>
      </c>
      <c r="I119" s="16">
        <v>7085</v>
      </c>
      <c r="J119" s="15">
        <v>67.099999999999994</v>
      </c>
      <c r="K119" s="16">
        <v>3703</v>
      </c>
      <c r="L119" s="15">
        <v>130.62</v>
      </c>
      <c r="M119" s="17">
        <v>3.79</v>
      </c>
      <c r="N119" s="2"/>
      <c r="O119" s="2"/>
      <c r="P119" s="2"/>
      <c r="Q119" s="2"/>
    </row>
    <row r="120" spans="1:17" ht="16.2" thickBot="1" x14ac:dyDescent="0.35">
      <c r="A120" t="s">
        <v>362</v>
      </c>
      <c r="B120">
        <v>17.28</v>
      </c>
      <c r="C120">
        <v>370</v>
      </c>
      <c r="D120" s="12" t="s">
        <v>3</v>
      </c>
      <c r="E120" s="12">
        <v>6</v>
      </c>
      <c r="F120" s="12">
        <v>22.2</v>
      </c>
      <c r="G120" s="12">
        <v>36.450000000000003</v>
      </c>
      <c r="H120" s="12">
        <v>809.1</v>
      </c>
      <c r="I120" s="13">
        <v>7277</v>
      </c>
      <c r="J120" s="12">
        <v>55.1</v>
      </c>
      <c r="K120" s="13">
        <v>3767</v>
      </c>
      <c r="L120" s="12">
        <v>132.88</v>
      </c>
      <c r="M120" s="14">
        <v>4.66</v>
      </c>
      <c r="N120" s="2"/>
      <c r="O120" s="2"/>
      <c r="P120" s="2"/>
      <c r="Q120" s="2"/>
    </row>
    <row r="121" spans="1:17" ht="16.2" thickBot="1" x14ac:dyDescent="0.35">
      <c r="A121" t="s">
        <v>362</v>
      </c>
      <c r="B121">
        <v>17.28</v>
      </c>
      <c r="C121">
        <v>370</v>
      </c>
      <c r="D121" s="15" t="s">
        <v>4</v>
      </c>
      <c r="E121" s="15">
        <v>6</v>
      </c>
      <c r="F121" s="15">
        <v>22.2</v>
      </c>
      <c r="G121" s="15">
        <v>53.05</v>
      </c>
      <c r="H121" s="15">
        <v>1177.7</v>
      </c>
      <c r="I121" s="16">
        <v>6905</v>
      </c>
      <c r="J121" s="15">
        <v>65.400000000000006</v>
      </c>
      <c r="K121" s="16">
        <v>4403</v>
      </c>
      <c r="L121" s="15">
        <v>155.31</v>
      </c>
      <c r="M121" s="17">
        <v>3.74</v>
      </c>
      <c r="N121" s="2"/>
      <c r="O121" s="2"/>
      <c r="P121" s="2"/>
      <c r="Q121" s="2"/>
    </row>
    <row r="122" spans="1:17" ht="16.2" thickBot="1" x14ac:dyDescent="0.35">
      <c r="A122" t="s">
        <v>362</v>
      </c>
      <c r="B122">
        <v>17.28</v>
      </c>
      <c r="C122">
        <v>370</v>
      </c>
      <c r="D122" s="7" t="s">
        <v>5</v>
      </c>
      <c r="E122" s="7">
        <v>6</v>
      </c>
      <c r="F122" s="7">
        <v>22.2</v>
      </c>
      <c r="G122" s="7">
        <v>62.97</v>
      </c>
      <c r="H122" s="7">
        <v>1397.9</v>
      </c>
      <c r="I122" s="18">
        <v>6724</v>
      </c>
      <c r="J122" s="7">
        <v>76.400000000000006</v>
      </c>
      <c r="K122" s="18">
        <v>3959</v>
      </c>
      <c r="L122" s="7">
        <v>139.65</v>
      </c>
      <c r="M122" s="19">
        <v>2.83</v>
      </c>
      <c r="N122" s="2"/>
      <c r="O122" s="2"/>
      <c r="P122" s="2"/>
      <c r="Q122" s="2"/>
    </row>
    <row r="123" spans="1:17" ht="16.2" thickBot="1" x14ac:dyDescent="0.35">
      <c r="A123" t="s">
        <v>362</v>
      </c>
      <c r="B123">
        <v>17.28</v>
      </c>
      <c r="C123">
        <v>370</v>
      </c>
      <c r="D123" s="15" t="s">
        <v>7</v>
      </c>
      <c r="E123" s="15">
        <v>6</v>
      </c>
      <c r="F123" s="15">
        <v>22.2</v>
      </c>
      <c r="G123" s="15">
        <v>52.02</v>
      </c>
      <c r="H123" s="15">
        <v>1154.8</v>
      </c>
      <c r="I123" s="16">
        <v>6950</v>
      </c>
      <c r="J123" s="15">
        <v>52.7</v>
      </c>
      <c r="K123" s="16">
        <v>4907</v>
      </c>
      <c r="L123" s="15">
        <v>173.09</v>
      </c>
      <c r="M123" s="17">
        <v>4.25</v>
      </c>
      <c r="N123" s="2"/>
      <c r="O123" s="2"/>
      <c r="P123" s="2"/>
      <c r="Q123" s="2"/>
    </row>
    <row r="124" spans="1:17" ht="16.2" thickBot="1" x14ac:dyDescent="0.35">
      <c r="A124" t="s">
        <v>362</v>
      </c>
      <c r="B124">
        <v>17.28</v>
      </c>
      <c r="C124">
        <v>370</v>
      </c>
      <c r="D124" s="7" t="s">
        <v>8</v>
      </c>
      <c r="E124" s="7">
        <v>6</v>
      </c>
      <c r="F124" s="7">
        <v>22.2</v>
      </c>
      <c r="G124" s="7">
        <v>62.14</v>
      </c>
      <c r="H124" s="7">
        <v>1379.5</v>
      </c>
      <c r="I124" s="18">
        <v>6738</v>
      </c>
      <c r="J124" s="7">
        <v>63.8</v>
      </c>
      <c r="K124" s="18">
        <v>5078</v>
      </c>
      <c r="L124" s="7">
        <v>179.12</v>
      </c>
      <c r="M124" s="19">
        <v>3.68</v>
      </c>
      <c r="N124" s="2"/>
      <c r="O124" s="2"/>
      <c r="P124" s="2"/>
      <c r="Q124" s="2"/>
    </row>
    <row r="125" spans="1:17" ht="16.2" thickBot="1" x14ac:dyDescent="0.35">
      <c r="A125" t="s">
        <v>362</v>
      </c>
      <c r="B125">
        <v>17.28</v>
      </c>
      <c r="C125">
        <v>370</v>
      </c>
      <c r="D125" s="7" t="s">
        <v>9</v>
      </c>
      <c r="E125" s="7">
        <v>6</v>
      </c>
      <c r="F125" s="7">
        <v>22.2</v>
      </c>
      <c r="G125" s="7">
        <v>69.59</v>
      </c>
      <c r="H125" s="7">
        <v>1544.8</v>
      </c>
      <c r="I125" s="18">
        <v>6580</v>
      </c>
      <c r="J125" s="7">
        <v>74.8</v>
      </c>
      <c r="K125" s="18">
        <v>4956</v>
      </c>
      <c r="L125" s="7">
        <v>174.82</v>
      </c>
      <c r="M125" s="19">
        <v>3.21</v>
      </c>
      <c r="N125" s="2"/>
      <c r="O125" s="2"/>
      <c r="P125" s="2"/>
      <c r="Q125" s="2"/>
    </row>
    <row r="126" spans="1:17" ht="16.2" thickBot="1" x14ac:dyDescent="0.35">
      <c r="A126" t="s">
        <v>362</v>
      </c>
      <c r="B126">
        <v>17.28</v>
      </c>
      <c r="C126">
        <v>370</v>
      </c>
      <c r="D126" s="15" t="s">
        <v>10</v>
      </c>
      <c r="E126" s="15">
        <v>6</v>
      </c>
      <c r="F126" s="15">
        <v>22.2</v>
      </c>
      <c r="G126" s="15">
        <v>52.62</v>
      </c>
      <c r="H126" s="15">
        <v>1168.3</v>
      </c>
      <c r="I126" s="16">
        <v>6934</v>
      </c>
      <c r="J126" s="15">
        <v>52.5</v>
      </c>
      <c r="K126" s="16">
        <v>5778</v>
      </c>
      <c r="L126" s="15">
        <v>203.81</v>
      </c>
      <c r="M126" s="17">
        <v>4.95</v>
      </c>
      <c r="N126" s="2"/>
      <c r="O126" s="2"/>
      <c r="P126" s="2"/>
      <c r="Q126" s="2"/>
    </row>
    <row r="127" spans="1:17" ht="16.2" thickBot="1" x14ac:dyDescent="0.35">
      <c r="A127" t="s">
        <v>362</v>
      </c>
      <c r="B127">
        <v>17.28</v>
      </c>
      <c r="C127">
        <v>370</v>
      </c>
      <c r="D127" s="7" t="s">
        <v>11</v>
      </c>
      <c r="E127" s="7">
        <v>6</v>
      </c>
      <c r="F127" s="7">
        <v>22.2</v>
      </c>
      <c r="G127" s="7">
        <v>63.51</v>
      </c>
      <c r="H127" s="7">
        <v>1409.9</v>
      </c>
      <c r="I127" s="18">
        <v>6687</v>
      </c>
      <c r="J127" s="7">
        <v>63.3</v>
      </c>
      <c r="K127" s="18">
        <v>6038</v>
      </c>
      <c r="L127" s="7">
        <v>212.98</v>
      </c>
      <c r="M127" s="19">
        <v>4.28</v>
      </c>
      <c r="N127" s="2"/>
      <c r="O127" s="2"/>
      <c r="P127" s="2"/>
      <c r="Q127" s="2"/>
    </row>
    <row r="128" spans="1:17" ht="16.2" thickBot="1" x14ac:dyDescent="0.35">
      <c r="A128" t="s">
        <v>362</v>
      </c>
      <c r="B128">
        <v>17.28</v>
      </c>
      <c r="C128">
        <v>370</v>
      </c>
      <c r="D128" s="6" t="s">
        <v>12</v>
      </c>
      <c r="E128" s="6">
        <v>6</v>
      </c>
      <c r="F128" s="6">
        <v>22.2</v>
      </c>
      <c r="G128" s="6">
        <v>87.31</v>
      </c>
      <c r="H128" s="6">
        <v>1938.4</v>
      </c>
      <c r="I128" s="20">
        <v>6523</v>
      </c>
      <c r="J128" s="6">
        <v>74.099999999999994</v>
      </c>
      <c r="K128" s="20">
        <v>5622</v>
      </c>
      <c r="L128" s="6">
        <v>198.31</v>
      </c>
      <c r="M128" s="21">
        <v>2.9</v>
      </c>
      <c r="N128" s="2"/>
      <c r="O128" s="2"/>
      <c r="P128" s="2"/>
      <c r="Q128" s="2"/>
    </row>
    <row r="129" spans="1:17" ht="16.2" thickBot="1" x14ac:dyDescent="0.35">
      <c r="A129" t="s">
        <v>362</v>
      </c>
      <c r="B129">
        <v>17.28</v>
      </c>
      <c r="C129">
        <v>370</v>
      </c>
      <c r="D129" s="7" t="s">
        <v>13</v>
      </c>
      <c r="E129" s="7">
        <v>6</v>
      </c>
      <c r="F129" s="7">
        <v>22.2</v>
      </c>
      <c r="G129" s="7">
        <v>74.599999999999994</v>
      </c>
      <c r="H129" s="7">
        <v>1656.1</v>
      </c>
      <c r="I129" s="18">
        <v>6527</v>
      </c>
      <c r="J129" s="7">
        <v>49.4</v>
      </c>
      <c r="K129" s="18">
        <v>6766</v>
      </c>
      <c r="L129" s="7">
        <v>238.66</v>
      </c>
      <c r="M129" s="19">
        <v>4.09</v>
      </c>
      <c r="N129" s="2"/>
      <c r="O129" s="2"/>
      <c r="P129" s="2"/>
      <c r="Q129" s="2"/>
    </row>
    <row r="130" spans="1:17" ht="16.2" thickBot="1" x14ac:dyDescent="0.35">
      <c r="A130" t="s">
        <v>362</v>
      </c>
      <c r="B130">
        <v>17.28</v>
      </c>
      <c r="C130">
        <v>370</v>
      </c>
      <c r="D130" s="7" t="s">
        <v>14</v>
      </c>
      <c r="E130" s="7">
        <v>6</v>
      </c>
      <c r="F130" s="7">
        <v>22.2</v>
      </c>
      <c r="G130" s="7">
        <v>72.430000000000007</v>
      </c>
      <c r="H130" s="7">
        <v>1607.9</v>
      </c>
      <c r="I130" s="18">
        <v>6538</v>
      </c>
      <c r="J130" s="7">
        <v>61.9</v>
      </c>
      <c r="K130" s="18">
        <v>6908</v>
      </c>
      <c r="L130" s="7">
        <v>243.67</v>
      </c>
      <c r="M130" s="19">
        <v>4.3</v>
      </c>
      <c r="N130" s="2"/>
      <c r="O130" s="2"/>
      <c r="P130" s="2"/>
      <c r="Q130" s="2"/>
    </row>
    <row r="131" spans="1:17" ht="16.2" thickBot="1" x14ac:dyDescent="0.35">
      <c r="A131" t="s">
        <v>362</v>
      </c>
      <c r="B131">
        <v>17.28</v>
      </c>
      <c r="C131">
        <v>370</v>
      </c>
      <c r="D131" s="6" t="s">
        <v>109</v>
      </c>
      <c r="E131" s="6">
        <v>6</v>
      </c>
      <c r="F131" s="6">
        <v>22.2</v>
      </c>
      <c r="G131" s="6">
        <v>86.2</v>
      </c>
      <c r="H131" s="6">
        <v>1913.6</v>
      </c>
      <c r="I131" s="20">
        <v>6515</v>
      </c>
      <c r="J131" s="6">
        <v>74</v>
      </c>
      <c r="K131" s="20">
        <v>7017</v>
      </c>
      <c r="L131" s="6">
        <v>247.51</v>
      </c>
      <c r="M131" s="21">
        <v>3.67</v>
      </c>
      <c r="N131" s="2"/>
      <c r="O131" s="2"/>
      <c r="P131" s="2"/>
      <c r="Q131" s="2"/>
    </row>
    <row r="132" spans="1:17" ht="16.2" thickBot="1" x14ac:dyDescent="0.35">
      <c r="A132" t="s">
        <v>362</v>
      </c>
      <c r="B132">
        <v>17.28</v>
      </c>
      <c r="C132">
        <v>370</v>
      </c>
      <c r="D132" s="6" t="s">
        <v>15</v>
      </c>
      <c r="E132" s="6">
        <v>6</v>
      </c>
      <c r="F132" s="6">
        <v>22.2</v>
      </c>
      <c r="G132" s="6">
        <v>76.45</v>
      </c>
      <c r="H132" s="6">
        <v>1697.2</v>
      </c>
      <c r="I132" s="20">
        <v>6562</v>
      </c>
      <c r="J132" s="6">
        <v>49.7</v>
      </c>
      <c r="K132" s="20">
        <v>7580</v>
      </c>
      <c r="L132" s="6">
        <v>267.37</v>
      </c>
      <c r="M132" s="21">
        <v>4.47</v>
      </c>
      <c r="N132" s="2"/>
      <c r="O132" s="2"/>
      <c r="P132" s="2"/>
      <c r="Q132" s="2"/>
    </row>
    <row r="133" spans="1:17" ht="16.2" thickBot="1" x14ac:dyDescent="0.35">
      <c r="A133" t="s">
        <v>362</v>
      </c>
      <c r="B133">
        <v>17.28</v>
      </c>
      <c r="C133">
        <v>370</v>
      </c>
      <c r="D133" s="12" t="s">
        <v>43</v>
      </c>
      <c r="E133" s="12">
        <v>7</v>
      </c>
      <c r="F133" s="12">
        <v>25.9</v>
      </c>
      <c r="G133" s="12">
        <v>37.08</v>
      </c>
      <c r="H133" s="12">
        <v>960.2</v>
      </c>
      <c r="I133" s="13">
        <v>8500</v>
      </c>
      <c r="J133" s="9">
        <v>48.3</v>
      </c>
      <c r="K133" s="13">
        <v>4366</v>
      </c>
      <c r="L133" s="12">
        <v>154</v>
      </c>
      <c r="M133" s="14">
        <v>4.55</v>
      </c>
      <c r="N133" s="2"/>
      <c r="O133" s="3"/>
      <c r="P133" s="2"/>
      <c r="Q133" s="4"/>
    </row>
    <row r="134" spans="1:17" ht="16.2" thickBot="1" x14ac:dyDescent="0.35">
      <c r="A134" t="s">
        <v>362</v>
      </c>
      <c r="B134">
        <v>17.28</v>
      </c>
      <c r="C134">
        <v>370</v>
      </c>
      <c r="D134" s="15" t="s">
        <v>0</v>
      </c>
      <c r="E134" s="15">
        <v>7</v>
      </c>
      <c r="F134" s="15">
        <v>25.9</v>
      </c>
      <c r="G134" s="15">
        <v>40.590000000000003</v>
      </c>
      <c r="H134" s="15">
        <v>1051.4000000000001</v>
      </c>
      <c r="I134" s="16">
        <v>8413</v>
      </c>
      <c r="J134" s="15">
        <v>63.7</v>
      </c>
      <c r="K134" s="16">
        <v>4304</v>
      </c>
      <c r="L134" s="15">
        <v>151.82</v>
      </c>
      <c r="M134" s="17">
        <v>4.09</v>
      </c>
      <c r="N134" s="2"/>
      <c r="O134" s="3"/>
      <c r="P134" s="2"/>
      <c r="Q134" s="4"/>
    </row>
    <row r="135" spans="1:17" ht="16.2" thickBot="1" x14ac:dyDescent="0.35">
      <c r="A135" t="s">
        <v>362</v>
      </c>
      <c r="B135">
        <v>17.28</v>
      </c>
      <c r="C135">
        <v>370</v>
      </c>
      <c r="D135" s="7" t="s">
        <v>1</v>
      </c>
      <c r="E135" s="7">
        <v>7</v>
      </c>
      <c r="F135" s="7">
        <v>25.9</v>
      </c>
      <c r="G135" s="7">
        <v>60.84</v>
      </c>
      <c r="H135" s="7">
        <v>1575.8</v>
      </c>
      <c r="I135" s="18">
        <v>7990</v>
      </c>
      <c r="J135" s="7">
        <v>75.7</v>
      </c>
      <c r="K135" s="18">
        <v>4690</v>
      </c>
      <c r="L135" s="7">
        <v>165.43</v>
      </c>
      <c r="M135" s="19">
        <v>2.98</v>
      </c>
      <c r="N135" s="2"/>
      <c r="O135" s="3"/>
      <c r="P135" s="2"/>
      <c r="Q135" s="4"/>
    </row>
    <row r="136" spans="1:17" ht="16.2" thickBot="1" x14ac:dyDescent="0.35">
      <c r="A136" t="s">
        <v>362</v>
      </c>
      <c r="B136">
        <v>17.28</v>
      </c>
      <c r="C136">
        <v>370</v>
      </c>
      <c r="D136" s="7" t="s">
        <v>3</v>
      </c>
      <c r="E136" s="7">
        <v>7</v>
      </c>
      <c r="F136" s="7">
        <v>25.9</v>
      </c>
      <c r="G136" s="7">
        <v>66.78</v>
      </c>
      <c r="H136" s="7">
        <v>1729.7</v>
      </c>
      <c r="I136" s="18">
        <v>7889</v>
      </c>
      <c r="J136" s="7">
        <v>59.8</v>
      </c>
      <c r="K136" s="18">
        <v>5489</v>
      </c>
      <c r="L136" s="7">
        <v>193.62</v>
      </c>
      <c r="M136" s="19">
        <v>3.17</v>
      </c>
      <c r="N136" s="2"/>
      <c r="O136" s="3"/>
      <c r="P136" s="2"/>
      <c r="Q136" s="4"/>
    </row>
    <row r="137" spans="1:17" ht="16.2" thickBot="1" x14ac:dyDescent="0.35">
      <c r="A137" t="s">
        <v>362</v>
      </c>
      <c r="B137">
        <v>17.28</v>
      </c>
      <c r="C137">
        <v>370</v>
      </c>
      <c r="D137" s="7" t="s">
        <v>4</v>
      </c>
      <c r="E137" s="7">
        <v>7</v>
      </c>
      <c r="F137" s="7">
        <v>25.9</v>
      </c>
      <c r="G137" s="7">
        <v>73.47</v>
      </c>
      <c r="H137" s="7">
        <v>1902.8</v>
      </c>
      <c r="I137" s="18">
        <v>7787</v>
      </c>
      <c r="J137" s="7">
        <v>73.7</v>
      </c>
      <c r="K137" s="18">
        <v>5558</v>
      </c>
      <c r="L137" s="7">
        <v>196.05</v>
      </c>
      <c r="M137" s="19">
        <v>2.92</v>
      </c>
      <c r="N137" s="2"/>
      <c r="O137" s="3"/>
      <c r="P137" s="2"/>
      <c r="Q137" s="4"/>
    </row>
    <row r="138" spans="1:17" ht="16.2" thickBot="1" x14ac:dyDescent="0.35">
      <c r="A138" t="s">
        <v>362</v>
      </c>
      <c r="B138">
        <v>17.28</v>
      </c>
      <c r="C138">
        <v>370</v>
      </c>
      <c r="D138" s="6" t="s">
        <v>5</v>
      </c>
      <c r="E138" s="6">
        <v>7</v>
      </c>
      <c r="F138" s="6">
        <v>25.9</v>
      </c>
      <c r="G138" s="6">
        <v>83.78</v>
      </c>
      <c r="H138" s="6">
        <v>2169.9</v>
      </c>
      <c r="I138" s="20">
        <v>7686</v>
      </c>
      <c r="J138" s="6">
        <v>87.3</v>
      </c>
      <c r="K138" s="20">
        <v>5012</v>
      </c>
      <c r="L138" s="6">
        <v>176.79</v>
      </c>
      <c r="M138" s="21">
        <v>2.31</v>
      </c>
      <c r="N138" s="2"/>
      <c r="O138" s="3"/>
      <c r="P138" s="2"/>
      <c r="Q138" s="4"/>
    </row>
    <row r="139" spans="1:17" ht="16.2" thickBot="1" x14ac:dyDescent="0.35">
      <c r="A139" t="s">
        <v>362</v>
      </c>
      <c r="B139">
        <v>17.28</v>
      </c>
      <c r="C139">
        <v>370</v>
      </c>
      <c r="D139" s="7" t="s">
        <v>7</v>
      </c>
      <c r="E139" s="7">
        <v>7</v>
      </c>
      <c r="F139" s="7">
        <v>25.9</v>
      </c>
      <c r="G139" s="7">
        <v>70.75</v>
      </c>
      <c r="H139" s="7">
        <v>1832.5</v>
      </c>
      <c r="I139" s="18">
        <v>7873</v>
      </c>
      <c r="J139" s="7">
        <v>59.6</v>
      </c>
      <c r="K139" s="18">
        <v>6219</v>
      </c>
      <c r="L139" s="7">
        <v>219.37</v>
      </c>
      <c r="M139" s="19">
        <v>3.39</v>
      </c>
      <c r="N139" s="2"/>
      <c r="O139" s="3"/>
      <c r="P139" s="2"/>
      <c r="Q139" s="4"/>
    </row>
    <row r="140" spans="1:17" ht="16.2" thickBot="1" x14ac:dyDescent="0.35">
      <c r="A140" t="s">
        <v>362</v>
      </c>
      <c r="B140">
        <v>17.28</v>
      </c>
      <c r="C140">
        <v>370</v>
      </c>
      <c r="D140" s="6" t="s">
        <v>8</v>
      </c>
      <c r="E140" s="6">
        <v>7</v>
      </c>
      <c r="F140" s="6">
        <v>25.9</v>
      </c>
      <c r="G140" s="6">
        <v>84.51</v>
      </c>
      <c r="H140" s="6">
        <v>2188.9</v>
      </c>
      <c r="I140" s="20">
        <v>7633</v>
      </c>
      <c r="J140" s="6">
        <v>72.3</v>
      </c>
      <c r="K140" s="20">
        <v>6436</v>
      </c>
      <c r="L140" s="6">
        <v>227.02</v>
      </c>
      <c r="M140" s="21">
        <v>2.94</v>
      </c>
      <c r="N140" s="2"/>
      <c r="O140" s="3"/>
      <c r="P140" s="2"/>
      <c r="Q140" s="4"/>
    </row>
    <row r="141" spans="1:17" ht="16.2" thickBot="1" x14ac:dyDescent="0.35">
      <c r="A141" t="s">
        <v>362</v>
      </c>
      <c r="B141">
        <v>17.28</v>
      </c>
      <c r="C141">
        <v>370</v>
      </c>
      <c r="D141" s="7" t="s">
        <v>10</v>
      </c>
      <c r="E141" s="7">
        <v>7</v>
      </c>
      <c r="F141" s="7">
        <v>25.9</v>
      </c>
      <c r="G141" s="7">
        <v>69.42</v>
      </c>
      <c r="H141" s="7">
        <v>1798.1</v>
      </c>
      <c r="I141" s="18">
        <v>7850</v>
      </c>
      <c r="J141" s="7">
        <v>59.5</v>
      </c>
      <c r="K141" s="18">
        <v>7415</v>
      </c>
      <c r="L141" s="7">
        <v>261.55</v>
      </c>
      <c r="M141" s="19">
        <v>4.12</v>
      </c>
      <c r="N141" s="2"/>
      <c r="O141" s="3"/>
      <c r="P141" s="2"/>
      <c r="Q141" s="4"/>
    </row>
    <row r="142" spans="1:17" ht="16.2" thickBot="1" x14ac:dyDescent="0.35">
      <c r="A142" t="s">
        <v>362</v>
      </c>
      <c r="B142">
        <v>17.28</v>
      </c>
      <c r="C142">
        <v>370</v>
      </c>
      <c r="D142" s="6" t="s">
        <v>11</v>
      </c>
      <c r="E142" s="6">
        <v>7</v>
      </c>
      <c r="F142" s="6">
        <v>25.9</v>
      </c>
      <c r="G142" s="6">
        <v>83.79</v>
      </c>
      <c r="H142" s="6">
        <v>2170.1</v>
      </c>
      <c r="I142" s="20">
        <v>7650</v>
      </c>
      <c r="J142" s="6">
        <v>72.400000000000006</v>
      </c>
      <c r="K142" s="20">
        <v>7749</v>
      </c>
      <c r="L142" s="6">
        <v>273.33999999999997</v>
      </c>
      <c r="M142" s="21">
        <v>3.57</v>
      </c>
      <c r="N142" s="2"/>
      <c r="O142" s="3"/>
      <c r="P142" s="2"/>
      <c r="Q142" s="4"/>
    </row>
    <row r="143" spans="1:17" ht="16.2" thickBot="1" x14ac:dyDescent="0.35">
      <c r="A143" t="s">
        <v>362</v>
      </c>
      <c r="B143">
        <v>17.28</v>
      </c>
      <c r="C143">
        <v>370</v>
      </c>
      <c r="D143" s="15" t="s">
        <v>43</v>
      </c>
      <c r="E143" s="15">
        <v>8</v>
      </c>
      <c r="F143" s="15">
        <v>29.6</v>
      </c>
      <c r="G143" s="15">
        <v>49.72</v>
      </c>
      <c r="H143" s="15">
        <v>1471.6</v>
      </c>
      <c r="I143" s="16">
        <v>9445</v>
      </c>
      <c r="J143" s="27">
        <v>53.7</v>
      </c>
      <c r="K143" s="16">
        <v>5381</v>
      </c>
      <c r="L143" s="15">
        <v>189.81</v>
      </c>
      <c r="M143" s="17">
        <v>3.66</v>
      </c>
      <c r="N143" s="2"/>
      <c r="O143" s="3"/>
      <c r="P143" s="2"/>
      <c r="Q143" s="4"/>
    </row>
    <row r="144" spans="1:17" ht="16.2" thickBot="1" x14ac:dyDescent="0.35">
      <c r="A144" t="s">
        <v>362</v>
      </c>
      <c r="B144">
        <v>17.28</v>
      </c>
      <c r="C144">
        <v>370</v>
      </c>
      <c r="D144" s="15" t="s">
        <v>0</v>
      </c>
      <c r="E144" s="15">
        <v>8</v>
      </c>
      <c r="F144" s="15">
        <v>29.6</v>
      </c>
      <c r="G144" s="15">
        <v>53.14</v>
      </c>
      <c r="H144" s="15">
        <v>1572.9</v>
      </c>
      <c r="I144" s="16">
        <v>9384</v>
      </c>
      <c r="J144" s="15">
        <v>71.099999999999994</v>
      </c>
      <c r="K144" s="16">
        <v>5307</v>
      </c>
      <c r="L144" s="15">
        <v>187.2</v>
      </c>
      <c r="M144" s="17">
        <v>3.37</v>
      </c>
      <c r="N144" s="2"/>
      <c r="O144" s="3"/>
      <c r="P144" s="2"/>
      <c r="Q144" s="4"/>
    </row>
    <row r="145" spans="1:13" ht="16.2" thickBot="1" x14ac:dyDescent="0.35">
      <c r="A145" t="s">
        <v>362</v>
      </c>
      <c r="B145">
        <v>17.28</v>
      </c>
      <c r="C145">
        <v>370</v>
      </c>
      <c r="D145" s="41" t="s">
        <v>1</v>
      </c>
      <c r="E145" s="41">
        <v>8</v>
      </c>
      <c r="F145" s="41">
        <v>29.6</v>
      </c>
      <c r="G145" s="41">
        <v>81.150000000000006</v>
      </c>
      <c r="H145" s="41">
        <v>2402</v>
      </c>
      <c r="I145" s="42">
        <v>9027</v>
      </c>
      <c r="J145" s="41">
        <v>85.5</v>
      </c>
      <c r="K145" s="42">
        <v>5647</v>
      </c>
      <c r="L145" s="41">
        <v>199.19</v>
      </c>
      <c r="M145" s="43">
        <v>2.35</v>
      </c>
    </row>
    <row r="146" spans="1:13" ht="15" thickTop="1" x14ac:dyDescent="0.3"/>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CFFD79-4E6E-4847-964F-84D574596D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Full Motor List</vt:lpstr>
      <vt:lpstr>Batt Capacity and Sys Weight</vt:lpstr>
      <vt:lpstr>Sorted Motor List 2021-2022</vt:lpstr>
      <vt:lpstr>Sheet1</vt:lpstr>
      <vt:lpstr>Tempest Motor Data</vt:lpstr>
      <vt:lpstr>In the works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Ethan Reussow</dc:creator>
  <cp:lastModifiedBy>Ethan Reussow</cp:lastModifiedBy>
  <cp:lastPrinted>2021-10-17T10:07:09Z</cp:lastPrinted>
  <dcterms:created xsi:type="dcterms:W3CDTF">2021-10-17T02:17:57Z</dcterms:created>
  <dcterms:modified xsi:type="dcterms:W3CDTF">2021-10-30T23:20:30Z</dcterms:modified>
</cp:coreProperties>
</file>